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Resumo - PROJETOS" sheetId="2" r:id="rId6"/>
    <sheet state="visible" name="Resumo - TIMESHEETS" sheetId="3" r:id="rId7"/>
    <sheet state="visible" name="Tabela dinâmica 1" sheetId="4" r:id="rId8"/>
    <sheet state="visible" name="RH" sheetId="5" r:id="rId9"/>
    <sheet state="visible" name="Resumo - TERCEIROS" sheetId="6" r:id="rId10"/>
    <sheet state="visible" name="Tabela dinâmica 2" sheetId="7" r:id="rId11"/>
    <sheet state="visible" name="IRIS" sheetId="8" r:id="rId12"/>
    <sheet state="visible" name="IRIS MILESTONES" sheetId="9" r:id="rId13"/>
    <sheet state="visible" name="IRIS TIMESHEET" sheetId="10" r:id="rId14"/>
    <sheet state="visible" name="IRIS TERCEIROS" sheetId="11" r:id="rId15"/>
    <sheet state="visible" name="NOTIFY" sheetId="12" r:id="rId16"/>
    <sheet state="visible" name="NOTIFY TIMESHEET" sheetId="13" r:id="rId17"/>
    <sheet state="visible" name="NOTIFY MILESTONES" sheetId="14" r:id="rId18"/>
    <sheet state="visible" name="NOTIFY TERCEIROS" sheetId="15" r:id="rId19"/>
    <sheet state="visible" name="P&amp;D_1" sheetId="16" r:id="rId20"/>
    <sheet state="visible" name="P&amp;D_1 MILESTONES" sheetId="17" r:id="rId21"/>
    <sheet state="visible" name="P&amp;D_1 TIMESHEET" sheetId="18" r:id="rId22"/>
    <sheet state="visible" name="P&amp;D_1 TERCEIROS" sheetId="19" r:id="rId23"/>
    <sheet state="visible" name="P&amp;D_2" sheetId="20" r:id="rId24"/>
    <sheet state="visible" name="P&amp;D_2 MILESTONES" sheetId="21" r:id="rId25"/>
    <sheet state="visible" name="P&amp;D_2 TERCEIROS" sheetId="22" r:id="rId26"/>
    <sheet state="visible" name="P&amp;D_2 TIMESHEET" sheetId="23" r:id="rId27"/>
    <sheet state="visible" name="P&amp;D_3" sheetId="24" r:id="rId28"/>
    <sheet state="visible" name="P&amp;D_3 MILESTONES" sheetId="25" r:id="rId29"/>
    <sheet state="visible" name="P&amp;D_3 TIMESHEET" sheetId="26" r:id="rId30"/>
    <sheet state="visible" name="P&amp;D_3 TERCEIROS" sheetId="27" r:id="rId31"/>
    <sheet state="visible" name="# CPRBINSS" sheetId="28" r:id="rId32"/>
  </sheets>
  <definedNames>
    <definedName hidden="1" localSheetId="2" name="_xlnm._FilterDatabase">'Resumo - TIMESHEETS'!$A$11:$P$1012</definedName>
    <definedName hidden="1" localSheetId="5" name="_xlnm._FilterDatabase">'Resumo - TERCEIROS'!$A$11:$L$579</definedName>
    <definedName hidden="1" localSheetId="9" name="_xlnm._FilterDatabase">'IRIS TIMESHEET'!$B$11:$J$149</definedName>
    <definedName hidden="1" localSheetId="12" name="_xlnm._FilterDatabase">'NOTIFY TIMESHEET'!$B$11:$J$103</definedName>
    <definedName hidden="1" localSheetId="14" name="_xlnm._FilterDatabase">'NOTIFY TERCEIROS'!$A$11:$L$56</definedName>
  </definedNames>
  <calcPr/>
  <pivotCaches>
    <pivotCache cacheId="0" r:id="rId33"/>
    <pivotCache cacheId="1" r:id="rId34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2">
      <text>
        <t xml:space="preserve">Investigação científica: mediante trabalhos experimentais ou teóricos desenvolvidos principalmente com a finalidade de adquirir novos conhecimentos sobre fundamentos de fenômenos e fatos observáveis, mesmo que ainda não haja uma aplicação já definida</t>
      </text>
    </comment>
    <comment authorId="0" ref="M13">
      <text>
        <t xml:space="preserve">Pesquisa aplicada: são os procedimentos realizados para determinar as possíveis (novas) utilizações de conhecimentos obtidos por meio de pesquisa básica</t>
      </text>
    </comment>
    <comment authorId="0" ref="M14">
      <text>
        <t xml:space="preserve">Desenvolvimento experimental: consiste na realização de trabalhos sistemáticos fundamentados em conhecimentos pré-existentes, para criar ou aperfeiçoar consideravelmente: materiais, produtos, dispositivos, processos ou serviços</t>
      </text>
    </comment>
    <comment authorId="0" ref="M16">
      <text>
        <t xml:space="preserve">Inovação tecnológica de produto:   caracterizada quando objetiva-se em resultar:
- produto tecnologicamente novo, ou 
- produto tecnologicamente aprimorado</t>
      </text>
    </comment>
    <comment authorId="0" ref="M17">
      <text>
        <t xml:space="preserve">Inovação tecnológica de processo: caracteriza-se pela concepção de uma nova tecnologia de produção, seus equipamentos associados e até softwares com impacto nas atividades de suporte à produção.</t>
      </text>
    </comment>
    <comment authorId="0" ref="M18">
      <text>
        <t xml:space="preserve">Inovação tecnológica de serviços: desenvolvimento de software tecnologicamente novo ou tecnologicamente aprimorado, ou outros serviços que envolvam riscos tecnológicos</t>
      </text>
    </comment>
    <comment authorId="0" ref="M20">
      <text>
        <t xml:space="preserve">Inovador para a empresa: quando a empresa não tem acesso e isso representa um passo tecnológico científico para sua equipe, apesar de não ser algo novo para o mundo.</t>
      </text>
    </comment>
    <comment authorId="0" ref="M21">
      <text>
        <t xml:space="preserve">Inovador para o Brasil: quando o objetivo do projeto já foi alcançado em outro país, mas realizá-lo aqui representa um passo tecnológico científico para o cenário brasileiro</t>
      </text>
    </comment>
    <comment authorId="0" ref="M22">
      <text>
        <t xml:space="preserve">Inovador para o Mundo: quando há o desenvolvimento de algo efetivamente novo</t>
      </text>
    </comment>
    <comment authorId="0" ref="H27">
      <text>
        <t xml:space="preserve">Para que as atividades desenvolvidas por um membro da equipe de PD&amp;I possam ser incentivadas pela Lei do Bem, seu contrato de trabalho deve mencionar a realização desse tipo de atividade, mesmo que parcialmente</t>
      </text>
    </comment>
    <comment authorId="0" ref="M28">
      <text>
        <t xml:space="preserve">Técnico: é todo profissional que tenha as qualificações para as atividades reconhecidas pela empresa, obtidas em cursos livres, curso técnico, cursos internos, ou experiência de trabalho mas, que não possua graduação acadêmica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2">
      <text>
        <t xml:space="preserve">Investigação científica: mediante trabalhos experimentais ou teóricos desenvolvidos principalmente com a finalidade de adquirir novos conhecimentos sobre fundamentos de fenômenos e fatos observáveis, mesmo que ainda não haja uma aplicação já definida</t>
      </text>
    </comment>
    <comment authorId="0" ref="M13">
      <text>
        <t xml:space="preserve">Pesquisa aplicada: são os procedimentos realizados para determinar as possíveis (novas) utilizações de conhecimentos obtidos por meio de pesquisa básica</t>
      </text>
    </comment>
    <comment authorId="0" ref="M14">
      <text>
        <t xml:space="preserve">Desenvolvimento experimental: consiste na realização de trabalhos sistemáticos fundamentados em conhecimentos pré-existentes, para criar ou aperfeiçoar consideravelmente: materiais, produtos, dispositivos, processos ou serviços</t>
      </text>
    </comment>
    <comment authorId="0" ref="M16">
      <text>
        <t xml:space="preserve">Inovação tecnológica de produto:   caracterizada quando objetiva-se em resultar:
- produto tecnologicamente novo, ou 
- produto tecnologicamente aprimorado</t>
      </text>
    </comment>
    <comment authorId="0" ref="M17">
      <text>
        <t xml:space="preserve">Inovação tecnológica de processo: caracteriza-se pela concepção de uma nova tecnologia de produção, seus equipamentos associados e até softwares com impacto nas atividades de suporte à produção.</t>
      </text>
    </comment>
    <comment authorId="0" ref="M18">
      <text>
        <t xml:space="preserve">Inovação tecnológica de serviços: desenvolvimento de software tecnologicamente novo ou tecnologicamente aprimorado, ou outros serviços que envolvam riscos tecnológicos</t>
      </text>
    </comment>
    <comment authorId="0" ref="M20">
      <text>
        <t xml:space="preserve">Inovador para a empresa: quando a empresa não tem acesso e isso representa um passo tecnológico científico para sua equipe, apesar de não ser algo novo para o mundo.</t>
      </text>
    </comment>
    <comment authorId="0" ref="M21">
      <text>
        <t xml:space="preserve">Inovador para o Brasil: quando o objetivo do projeto já foi alcançado em outro país, mas realizá-lo aqui representa um passo tecnológico científico para o cenário brasileiro</t>
      </text>
    </comment>
    <comment authorId="0" ref="M22">
      <text>
        <t xml:space="preserve">Inovador para o Mundo: quando há o desenvolvimento de algo efetivamente novo</t>
      </text>
    </comment>
    <comment authorId="0" ref="H27">
      <text>
        <t xml:space="preserve">Para que as atividades desenvolvidas por um membro da equipe de PD&amp;I possam ser incentivadas pela Lei do Bem, seu contrato de trabalho deve mencionar a realização desse tipo de atividade, mesmo que parcialmente</t>
      </text>
    </comment>
    <comment authorId="0" ref="M28">
      <text>
        <t xml:space="preserve">Técnico: é todo profissional que tenha as qualificações para as atividades reconhecidas pela empresa, obtidas em cursos livres, curso técnico, cursos internos, ou experiência de trabalho mas, que não possua graduação acadêmica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2">
      <text>
        <t xml:space="preserve">Investigação científica: mediante trabalhos experimentais ou teóricos desenvolvidos principalmente com a finalidade de adquirir novos conhecimentos sobre fundamentos de fenômenos e fatos observáveis, mesmo que ainda não haja uma aplicação já definida</t>
      </text>
    </comment>
    <comment authorId="0" ref="M13">
      <text>
        <t xml:space="preserve">Pesquisa aplicada: são os procedimentos realizados para determinar as possíveis (novas) utilizações de conhecimentos obtidos por meio de pesquisa básica</t>
      </text>
    </comment>
    <comment authorId="0" ref="M14">
      <text>
        <t xml:space="preserve">Desenvolvimento experimental: consiste na realização de trabalhos sistemáticos fundamentados em conhecimentos pré-existentes, para criar ou aperfeiçoar consideravelmente: materiais, produtos, dispositivos, processos ou serviços</t>
      </text>
    </comment>
    <comment authorId="0" ref="M16">
      <text>
        <t xml:space="preserve">Inovação tecnológica de produto:   caracterizada quando objetiva-se em resultar:
- produto tecnologicamente novo, ou 
- produto tecnologicamente aprimorado</t>
      </text>
    </comment>
    <comment authorId="0" ref="M17">
      <text>
        <t xml:space="preserve">Inovação tecnológica de processo: caracteriza-se pela concepção de uma nova tecnologia de produção, seus equipamentos associados e até softwares com impacto nas atividades de suporte à produção.</t>
      </text>
    </comment>
    <comment authorId="0" ref="M18">
      <text>
        <t xml:space="preserve">Inovação tecnológica de serviços: desenvolvimento de software tecnologicamente novo ou tecnologicamente aprimorado, ou outros serviços que envolvam riscos tecnológicos</t>
      </text>
    </comment>
    <comment authorId="0" ref="M20">
      <text>
        <t xml:space="preserve">Inovador para a empresa: quando a empresa não tem acesso e isso representa um passo tecnológico científico para sua equipe, apesar de não ser algo novo para o mundo.</t>
      </text>
    </comment>
    <comment authorId="0" ref="M21">
      <text>
        <t xml:space="preserve">Inovador para o Brasil: quando o objetivo do projeto já foi alcançado em outro país, mas realizá-lo aqui representa um passo tecnológico científico para o cenário brasileiro</t>
      </text>
    </comment>
    <comment authorId="0" ref="M22">
      <text>
        <t xml:space="preserve">Inovador para o Mundo: quando há o desenvolvimento de algo efetivamente novo</t>
      </text>
    </comment>
    <comment authorId="0" ref="H27">
      <text>
        <t xml:space="preserve">Para que as atividades desenvolvidas por um membro da equipe de PD&amp;I possam ser incentivadas pela Lei do Bem, seu contrato de trabalho deve mencionar a realização desse tipo de atividade, mesmo que parcialmente</t>
      </text>
    </comment>
    <comment authorId="0" ref="M28">
      <text>
        <t xml:space="preserve">Técnico: é todo profissional que tenha as qualificações para as atividades reconhecidas pela empresa, obtidas em cursos livres, curso técnico, cursos internos, ou experiência de trabalho mas, que não possua graduação acadêmica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2">
      <text>
        <t xml:space="preserve">Investigação científica: mediante trabalhos experimentais ou teóricos desenvolvidos principalmente com a finalidade de adquirir novos conhecimentos sobre fundamentos de fenômenos e fatos observáveis, mesmo que ainda não haja uma aplicação já definida</t>
      </text>
    </comment>
    <comment authorId="0" ref="M13">
      <text>
        <t xml:space="preserve">Pesquisa aplicada: são os procedimentos realizados para determinar as possíveis (novas) utilizações de conhecimentos obtidos por meio de pesquisa básica</t>
      </text>
    </comment>
    <comment authorId="0" ref="M14">
      <text>
        <t xml:space="preserve">Desenvolvimento experimental: consiste na realização de trabalhos sistemáticos fundamentados em conhecimentos pré-existentes, para criar ou aperfeiçoar consideravelmente: materiais, produtos, dispositivos, processos ou serviços</t>
      </text>
    </comment>
    <comment authorId="0" ref="M16">
      <text>
        <t xml:space="preserve">Inovação tecnológica de produto:   caracterizada quando objetiva-se em resultar:
- produto tecnologicamente novo, ou 
- produto tecnologicamente aprimorado</t>
      </text>
    </comment>
    <comment authorId="0" ref="M17">
      <text>
        <t xml:space="preserve">Inovação tecnológica de processo: caracteriza-se pela concepção de uma nova tecnologia de produção, seus equipamentos associados e até softwares com impacto nas atividades de suporte à produção.</t>
      </text>
    </comment>
    <comment authorId="0" ref="M18">
      <text>
        <t xml:space="preserve">Inovação tecnológica de serviços: desenvolvimento de software tecnologicamente novo ou tecnologicamente aprimorado, ou outros serviços que envolvam riscos tecnológicos</t>
      </text>
    </comment>
    <comment authorId="0" ref="M20">
      <text>
        <t xml:space="preserve">Inovador para a empresa: quando a empresa não tem acesso e isso representa um passo tecnológico científico para sua equipe, apesar de não ser algo novo para o mundo.</t>
      </text>
    </comment>
    <comment authorId="0" ref="M21">
      <text>
        <t xml:space="preserve">Inovador para o Brasil: quando o objetivo do projeto já foi alcançado em outro país, mas realizá-lo aqui representa um passo tecnológico científico para o cenário brasileiro</t>
      </text>
    </comment>
    <comment authorId="0" ref="M22">
      <text>
        <t xml:space="preserve">Inovador para o Mundo: quando há o desenvolvimento de algo efetivamente novo</t>
      </text>
    </comment>
    <comment authorId="0" ref="H27">
      <text>
        <t xml:space="preserve">Para que as atividades desenvolvidas por um membro da equipe de PD&amp;I possam ser incentivadas pela Lei do Bem, seu contrato de trabalho deve mencionar a realização desse tipo de atividade, mesmo que parcialmente</t>
      </text>
    </comment>
    <comment authorId="0" ref="M28">
      <text>
        <t xml:space="preserve">Técnico: é todo profissional que tenha as qualificações para as atividades reconhecidas pela empresa, obtidas em cursos livres, curso técnico, cursos internos, ou experiência de trabalho mas, que não possua graduação acadêmica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2">
      <text>
        <t xml:space="preserve">Investigação científica: mediante trabalhos experimentais ou teóricos desenvolvidos principalmente com a finalidade de adquirir novos conhecimentos sobre fundamentos de fenômenos e fatos observáveis, mesmo que ainda não haja uma aplicação já definida</t>
      </text>
    </comment>
    <comment authorId="0" ref="M13">
      <text>
        <t xml:space="preserve">Pesquisa aplicada: são os procedimentos realizados para determinar as possíveis (novas) utilizações de conhecimentos obtidos por meio de pesquisa básica</t>
      </text>
    </comment>
    <comment authorId="0" ref="M14">
      <text>
        <t xml:space="preserve">Desenvolvimento experimental: consiste na realização de trabalhos sistemáticos fundamentados em conhecimentos pré-existentes, para criar ou aperfeiçoar consideravelmente: materiais, produtos, dispositivos, processos ou serviços</t>
      </text>
    </comment>
    <comment authorId="0" ref="M16">
      <text>
        <t xml:space="preserve">Inovação tecnológica de produto:   caracterizada quando objetiva-se em resultar:
- produto tecnologicamente novo, ou 
- produto tecnologicamente aprimorado</t>
      </text>
    </comment>
    <comment authorId="0" ref="M17">
      <text>
        <t xml:space="preserve">Inovação tecnológica de processo: caracteriza-se pela concepção de uma nova tecnologia de produção, seus equipamentos associados e até softwares com impacto nas atividades de suporte à produção.</t>
      </text>
    </comment>
    <comment authorId="0" ref="M18">
      <text>
        <t xml:space="preserve">Inovação tecnológica de serviços: desenvolvimento de software tecnologicamente novo ou tecnologicamente aprimorado, ou outros serviços que envolvam riscos tecnológicos</t>
      </text>
    </comment>
    <comment authorId="0" ref="M20">
      <text>
        <t xml:space="preserve">Inovador para a empresa: quando a empresa não tem acesso e isso representa um passo tecnológico científico para sua equipe, apesar de não ser algo novo para o mundo.</t>
      </text>
    </comment>
    <comment authorId="0" ref="M21">
      <text>
        <t xml:space="preserve">Inovador para o Brasil: quando o objetivo do projeto já foi alcançado em outro país, mas realizá-lo aqui representa um passo tecnológico científico para o cenário brasileiro</t>
      </text>
    </comment>
    <comment authorId="0" ref="M22">
      <text>
        <t xml:space="preserve">Inovador para o Mundo: quando há o desenvolvimento de algo efetivamente novo</t>
      </text>
    </comment>
    <comment authorId="0" ref="H27">
      <text>
        <t xml:space="preserve">Para que as atividades desenvolvidas por um membro da equipe de PD&amp;I possam ser incentivadas pela Lei do Bem, seu contrato de trabalho deve mencionar a realização desse tipo de atividade, mesmo que parcialmente</t>
      </text>
    </comment>
    <comment authorId="0" ref="M28">
      <text>
        <t xml:space="preserve">Técnico: é todo profissional que tenha as qualificações para as atividades reconhecidas pela empresa, obtidas em cursos livres, curso técnico, cursos internos, ou experiência de trabalho mas, que não possua graduação acadêmica</t>
      </text>
    </comment>
  </commentList>
</comments>
</file>

<file path=xl/sharedStrings.xml><?xml version="1.0" encoding="utf-8"?>
<sst xmlns="http://schemas.openxmlformats.org/spreadsheetml/2006/main" count="5423" uniqueCount="542">
  <si>
    <t>Resumo dos investimentos</t>
  </si>
  <si>
    <t>BENEFÍCIO FISCAL DE PD&amp;I 2024</t>
  </si>
  <si>
    <t>NETZSCH INDUSTRIA E COMERCIO DE EQUIPAMENTOS DE MOAGEM LTDA</t>
  </si>
  <si>
    <t>CNPJ 07.389.050/0001-51</t>
  </si>
  <si>
    <t>2023-026 - NETZSCH MOAGEM</t>
  </si>
  <si>
    <t>Rua Emilio Marquardt, 300, Ribeirão Souto - SC - SUL - POMERODE - CEP 89.107-000</t>
  </si>
  <si>
    <t>Natureza</t>
  </si>
  <si>
    <t>1º Trimestre</t>
  </si>
  <si>
    <t>2º Trimestre</t>
  </si>
  <si>
    <t>3º Trimestre</t>
  </si>
  <si>
    <t>4º Trimestre</t>
  </si>
  <si>
    <t>TOTAL</t>
  </si>
  <si>
    <t>Material</t>
  </si>
  <si>
    <t>-</t>
  </si>
  <si>
    <t>Terceiros</t>
  </si>
  <si>
    <r>
      <rPr>
        <rFont val="Cairo"/>
        <color rgb="FF000000"/>
        <sz val="10.0"/>
      </rPr>
      <t>RH (</t>
    </r>
    <r>
      <rPr>
        <rFont val="Cairo"/>
        <i/>
        <color rgb="FF000000"/>
        <sz val="10.0"/>
      </rPr>
      <t>Parcial inovação</t>
    </r>
    <r>
      <rPr>
        <rFont val="Cairo"/>
        <color rgb="FF000000"/>
        <sz val="10.0"/>
      </rPr>
      <t>)</t>
    </r>
  </si>
  <si>
    <r>
      <rPr>
        <rFont val="Cairo"/>
        <color rgb="FF000000"/>
        <sz val="10.0"/>
      </rPr>
      <t>RH (</t>
    </r>
    <r>
      <rPr>
        <rFont val="Cairo"/>
        <i/>
        <color rgb="FF000000"/>
        <sz val="10.0"/>
      </rPr>
      <t>Exclusivo inovação</t>
    </r>
    <r>
      <rPr>
        <rFont val="Cairo"/>
        <color rgb="FF000000"/>
        <sz val="10.0"/>
      </rPr>
      <t>)</t>
    </r>
  </si>
  <si>
    <t>Total 1</t>
  </si>
  <si>
    <t>Percentual Exclusão</t>
  </si>
  <si>
    <t>Exclusão da Base de cálculo do IRPJ e CSLL</t>
  </si>
  <si>
    <r>
      <rPr>
        <rFont val="Cairo"/>
        <b/>
        <color rgb="FFFFFFFF"/>
        <sz val="10.0"/>
      </rPr>
      <t>Economia Estimada [</t>
    </r>
    <r>
      <rPr>
        <rFont val="Cairo"/>
        <b/>
        <color rgb="FFFFFFFF"/>
        <sz val="10.0"/>
      </rPr>
      <t>34%</t>
    </r>
    <r>
      <rPr>
        <rFont val="Cairo"/>
        <b/>
        <color rgb="FFFFFFFF"/>
        <sz val="10.0"/>
      </rPr>
      <t>]</t>
    </r>
  </si>
  <si>
    <t>Comissão McBenner</t>
  </si>
  <si>
    <t>Observações:</t>
  </si>
  <si>
    <t>1. Os dispêndios devem ser registrados na contabilidade em conta específica</t>
  </si>
  <si>
    <t>2. O benefício deve ser aproveitado na ECF do respectivo ano/competência</t>
  </si>
  <si>
    <r>
      <rPr>
        <rFont val="Cairo"/>
        <color rgb="FF000000"/>
        <sz val="10.0"/>
      </rPr>
      <t xml:space="preserve">3. O formulário do MCTIC (governo) será enviado até fim de </t>
    </r>
    <r>
      <rPr>
        <rFont val="Cairo"/>
        <b/>
        <color rgb="FF000000"/>
        <sz val="10.0"/>
      </rPr>
      <t>Julho/2025</t>
    </r>
  </si>
  <si>
    <t>4. Os projetos estão descritos em arquivo a parte a ser anexado no FORM PD&amp;I</t>
  </si>
  <si>
    <t>5. Alguns benefícios previstos na Lei do Bem não foram utilizados:</t>
  </si>
  <si>
    <t>- 5.1. Depreciação acelerada</t>
  </si>
  <si>
    <t>- 5.2. Redução de IPI na aquisição de equipamento para PD&amp;I</t>
  </si>
  <si>
    <r>
      <rPr>
        <rFont val="Cairo"/>
        <i/>
        <color rgb="FF000000"/>
        <sz val="10.0"/>
      </rPr>
      <t xml:space="preserve">- 5.3. </t>
    </r>
    <r>
      <rPr>
        <rFont val="Cairo"/>
        <b/>
        <i/>
        <color rgb="FF000000"/>
        <sz val="10.0"/>
      </rPr>
      <t xml:space="preserve">Acréscimo de até 20% </t>
    </r>
    <r>
      <rPr>
        <rFont val="Cairo"/>
        <i/>
        <color rgb="FF000000"/>
        <sz val="10.0"/>
      </rPr>
      <t xml:space="preserve">na exclusão por incrementar o número de pesquisadores contratados
</t>
    </r>
    <r>
      <rPr>
        <rFont val="Cairo"/>
        <b/>
        <i/>
        <color rgb="FF000000"/>
        <sz val="10.0"/>
        <u/>
      </rPr>
      <t>(exclusivos)</t>
    </r>
    <r>
      <rPr>
        <rFont val="Cairo"/>
        <i/>
        <color rgb="FF000000"/>
        <sz val="10.0"/>
      </rPr>
      <t xml:space="preserve"> em percentual acima de 5% ou até 5% em comparação ao ano-calendário anterior</t>
    </r>
  </si>
  <si>
    <t xml:space="preserve">--- 5.3. Até 70% de exclusão por incrementar o numero de pesquisadores contratados em percentual até 5% </t>
  </si>
  <si>
    <t>Equipe de PD&amp;I</t>
  </si>
  <si>
    <t>Quadro de resumo</t>
  </si>
  <si>
    <t>Dedicação Parcial</t>
  </si>
  <si>
    <t>Dedicação Exclusiva</t>
  </si>
  <si>
    <t>Qtd</t>
  </si>
  <si>
    <t>Valor gasto</t>
  </si>
  <si>
    <t>Horas</t>
  </si>
  <si>
    <t>Técnico</t>
  </si>
  <si>
    <t>Tecnologo</t>
  </si>
  <si>
    <t>Superior Completo</t>
  </si>
  <si>
    <t>Pós graduado</t>
  </si>
  <si>
    <t>Mestrado</t>
  </si>
  <si>
    <t>Doutorado</t>
  </si>
  <si>
    <t>Valores por projeto de PD&amp;I</t>
  </si>
  <si>
    <t>Projetos</t>
  </si>
  <si>
    <t>Vlr materiais</t>
  </si>
  <si>
    <t>Vlr terceiros</t>
  </si>
  <si>
    <t>Vlr Rh parcial</t>
  </si>
  <si>
    <t>Vlr exclusivos</t>
  </si>
  <si>
    <t>NOTIFY</t>
  </si>
  <si>
    <t>P&amp;D_1</t>
  </si>
  <si>
    <t>P&amp;D_2</t>
  </si>
  <si>
    <t>P&amp;D_3</t>
  </si>
  <si>
    <t xml:space="preserve">Subtotais </t>
  </si>
  <si>
    <t>NETZSCH</t>
  </si>
  <si>
    <t>Pesquisa, Desenvolvimento &amp; Inovação</t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</si>
  <si>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</si>
  <si>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t>- preencher somente os campos sombreados (cinza)</t>
  </si>
  <si>
    <t>Dossiê do projeto</t>
  </si>
  <si>
    <t>Investimentos com terceiros</t>
  </si>
  <si>
    <t>Projeto</t>
  </si>
  <si>
    <t>Incentivado pela Lei do Bem</t>
  </si>
  <si>
    <t>Objetiva tornar-se um Ativo</t>
  </si>
  <si>
    <t>Objetiva gerar patente/registro</t>
  </si>
  <si>
    <t>IRIS</t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</si>
  <si>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</si>
  <si>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t>Treinamento</t>
  </si>
  <si>
    <t>Pesquisa</t>
  </si>
  <si>
    <t>Desenvolvimento</t>
  </si>
  <si>
    <t>Atividades de Pesquisa, Desenvolvimento e Inovação</t>
  </si>
  <si>
    <t>Gestão e outros</t>
  </si>
  <si>
    <t>RowID</t>
  </si>
  <si>
    <t>Etapa</t>
  </si>
  <si>
    <t>Colaborador</t>
  </si>
  <si>
    <t>CPF</t>
  </si>
  <si>
    <t>Data</t>
  </si>
  <si>
    <t>Tempo (h)</t>
  </si>
  <si>
    <t>Classificação</t>
  </si>
  <si>
    <t>Descrição da atividade e observações</t>
  </si>
  <si>
    <t>Custo/hora</t>
  </si>
  <si>
    <t>Custo total</t>
  </si>
  <si>
    <t>Atividade incentiv.</t>
  </si>
  <si>
    <t>Projeto incentiv.</t>
  </si>
  <si>
    <t>Dedic.</t>
  </si>
  <si>
    <t>Processo aprimorado de moagem no modo  passada</t>
  </si>
  <si>
    <t>Gabriel Alves Ferraz</t>
  </si>
  <si>
    <t>Desenvolvimento IHM</t>
  </si>
  <si>
    <t>Gabriel Oliveira</t>
  </si>
  <si>
    <t>Design UX/UI</t>
  </si>
  <si>
    <t>Parcial</t>
  </si>
  <si>
    <t>Guilherme Jacques</t>
  </si>
  <si>
    <t>Desenvolvimento PLC</t>
  </si>
  <si>
    <t>Filipe Harbs</t>
  </si>
  <si>
    <t>Italo Ebel</t>
  </si>
  <si>
    <t>Documentação</t>
  </si>
  <si>
    <t>Ivo Ersching</t>
  </si>
  <si>
    <t>Johann Ribeiro</t>
  </si>
  <si>
    <t>Rafael Augusto Barbieri Lobato</t>
  </si>
  <si>
    <t>Processo aprimorado de moagem no modo circulação</t>
  </si>
  <si>
    <t>Alexandre Baseggio</t>
  </si>
  <si>
    <t>Comunicação criptografada entre os elementos de controle e operação</t>
  </si>
  <si>
    <t>Marcos Tribess</t>
  </si>
  <si>
    <t>Registro avançado de dados de processo</t>
  </si>
  <si>
    <t>Portabilidade para funcionamento com CLP da Rockwell</t>
  </si>
  <si>
    <t>Gerenciamento  de dados remanecentes</t>
  </si>
  <si>
    <t>Implementação de sistema automático de gerenciamento de garantia;</t>
  </si>
  <si>
    <t>IRIS  V3 Epsilon InView - Desenvolvimento</t>
  </si>
  <si>
    <t>IRIS V3 for Confectionary - Prototipação</t>
  </si>
  <si>
    <t>IRIS  V3 Epsilon InView - Recontrole</t>
  </si>
  <si>
    <t>IRIS V3 BeadMill Essential</t>
  </si>
  <si>
    <t>William Buttenberg</t>
  </si>
  <si>
    <t>IRIS V3 for Confectionary - Desenvolvimento</t>
  </si>
  <si>
    <t>IRIS  V3 Epsilon InView - Validação em campo e documentação</t>
  </si>
  <si>
    <t>IRIS V3 BeadMill Inside - Desenvolvimento</t>
  </si>
  <si>
    <t>IRIS V3 BeadMill Inview - Advance Training video</t>
  </si>
  <si>
    <t>Edição de videos</t>
  </si>
  <si>
    <t>Gravação de videos</t>
  </si>
  <si>
    <t>Notify</t>
  </si>
  <si>
    <t>Relatório de lotes</t>
  </si>
  <si>
    <t>085.943.039-12</t>
  </si>
  <si>
    <t>Desenvolvimento dos designs (UI/UX)</t>
  </si>
  <si>
    <t>Configuração Gateway para o IRIS V3</t>
  </si>
  <si>
    <t>Arthur Muniz</t>
  </si>
  <si>
    <t>037.196.611-64</t>
  </si>
  <si>
    <t>Desenvolvimento Beckend</t>
  </si>
  <si>
    <t>Exclusivo</t>
  </si>
  <si>
    <t>Exportar dados para o Excel</t>
  </si>
  <si>
    <t>534.546.398-08</t>
  </si>
  <si>
    <t>Testes</t>
  </si>
  <si>
    <t>Adequação do Gateway para o IRIS V3</t>
  </si>
  <si>
    <t>Bruno katzjarowksi</t>
  </si>
  <si>
    <t>080.850.859-84</t>
  </si>
  <si>
    <t>Templates de gráficos</t>
  </si>
  <si>
    <t>Cleiton Capristano</t>
  </si>
  <si>
    <t>068.504.079-88</t>
  </si>
  <si>
    <t>Desenvolvimento Fronend</t>
  </si>
  <si>
    <t>Gabriel Possamai</t>
  </si>
  <si>
    <t>085.815.809-47</t>
  </si>
  <si>
    <t>Especificação da funcionalidade</t>
  </si>
  <si>
    <t>Paulo Odwazny</t>
  </si>
  <si>
    <t>035.705.119-01</t>
  </si>
  <si>
    <t>Cristiano Schroeder</t>
  </si>
  <si>
    <t>080.335.889-00</t>
  </si>
  <si>
    <t>Design System</t>
  </si>
  <si>
    <t>100.110.019-09</t>
  </si>
  <si>
    <t>Gerenciamento interno</t>
  </si>
  <si>
    <t>Alberto Reuters</t>
  </si>
  <si>
    <t>041.176.229-00</t>
  </si>
  <si>
    <t>Validação da documentação</t>
  </si>
  <si>
    <t>Troca de infraestrutura</t>
  </si>
  <si>
    <t>Outros tamanhos e geometrias de dentes das ferramentas, outros materiais</t>
  </si>
  <si>
    <t>Jivago Rusch</t>
  </si>
  <si>
    <t>Teste com ferramentas de 5mm com amendoim</t>
  </si>
  <si>
    <t>Ferramentas resistente ao desgaste</t>
  </si>
  <si>
    <t>Modelamento de ferramenta com novo design progressivo para maior resistencia ao desgaste</t>
  </si>
  <si>
    <t>Melhorias do MasterCream MINI</t>
  </si>
  <si>
    <t>Testes com novas ferramentas</t>
  </si>
  <si>
    <t>Rotor liso para redução da viscosidade após a moagem</t>
  </si>
  <si>
    <t>Testes com rotor liso para redução da viscosidade do chocolate</t>
  </si>
  <si>
    <t>Adequação conforme design higienico</t>
  </si>
  <si>
    <t>Desenho em corte do MC10 e MCIL10 com melhorias proposta conforme design higienico</t>
  </si>
  <si>
    <t>Adequações do MC10 conforme norma americana  NFS ANSI 8</t>
  </si>
  <si>
    <t>Desenvolvimento do projeto do equipamento MC10 atendendo requisitos da norma do mercado de alimentos americana NFS ANSI 8 para certificar o equipamento e facilitar processos de limpeza CIP e garantir a segurança alimentar</t>
  </si>
  <si>
    <t>Testes de limpeza e e secagem com linha Rumba sem tanques</t>
  </si>
  <si>
    <t>Teste 3.5 - Chocolate ao leite</t>
  </si>
  <si>
    <t>Fernando Leal</t>
  </si>
  <si>
    <t>Teste 3.6 - Chocolate ao leite</t>
  </si>
  <si>
    <t>Teste 3.7 - Compound</t>
  </si>
  <si>
    <t>Teste 3.8 - Chocolate amargo</t>
  </si>
  <si>
    <t>Teste 3.9 - Chocolate ao leite - Cristalização da lactose</t>
  </si>
  <si>
    <t>Teste 3.10 - Chocolate ao leite - Cristalização da lactose</t>
  </si>
  <si>
    <t>Teste 3.11 - Chocolate branco</t>
  </si>
  <si>
    <t>Teste 3.12 - Recheio com amendoim. Realizada analise de alergenicos para amendoim. Foi identificada a presença de alergenicos na tubulação, porem a analise não quantifica. Necessario desenvolver uma analise que quantifique em ppm.</t>
  </si>
  <si>
    <t>Teste 3.14 - Recheio com amendoim 2%, realizada a limpeza e analise de alergenicos de amendoim, resultados abaixo de 2ppm.</t>
  </si>
  <si>
    <t>SUM de Custo total</t>
  </si>
  <si>
    <t>SUM de Tempo (h)</t>
  </si>
  <si>
    <t>Ok</t>
  </si>
  <si>
    <t>IRIS Total</t>
  </si>
  <si>
    <t>Notify Total</t>
  </si>
  <si>
    <t>P&amp;D_3 Total</t>
  </si>
  <si>
    <t>Total geral</t>
  </si>
  <si>
    <t>Pesquisa ,Desenvolvimento &amp; Inovação</t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</si>
  <si>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</si>
  <si>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t>-preencher somente os campos sombreados (cinza)</t>
  </si>
  <si>
    <t>Cálculo de custo - Pessoal</t>
  </si>
  <si>
    <t>Salário bruto</t>
  </si>
  <si>
    <t>Nome Completo</t>
  </si>
  <si>
    <t>notas</t>
  </si>
  <si>
    <t>Cargo/função</t>
  </si>
  <si>
    <t>Formação</t>
  </si>
  <si>
    <t>Attachments</t>
  </si>
  <si>
    <t>Salário 01</t>
  </si>
  <si>
    <t>Salário 02</t>
  </si>
  <si>
    <t>Salário 03</t>
  </si>
  <si>
    <t>Salário 04</t>
  </si>
  <si>
    <t>Salário 05</t>
  </si>
  <si>
    <t>Salário 06</t>
  </si>
  <si>
    <t>Salário 07</t>
  </si>
  <si>
    <t>Salário 08</t>
  </si>
  <si>
    <t>Salário 09</t>
  </si>
  <si>
    <t>Salário 10</t>
  </si>
  <si>
    <t>Salário 11</t>
  </si>
  <si>
    <t>Salário 12</t>
  </si>
  <si>
    <t>PD&amp;I time</t>
  </si>
  <si>
    <t>PD&amp;I (%)</t>
  </si>
  <si>
    <t>Pesquisador</t>
  </si>
  <si>
    <t>Gerente de Desenvolvimento e Automação</t>
  </si>
  <si>
    <t>020.066.430-10</t>
  </si>
  <si>
    <t>Desenvolvedor</t>
  </si>
  <si>
    <t>Eduardo Flohr</t>
  </si>
  <si>
    <t>064.303.159-67</t>
  </si>
  <si>
    <t>Supervisor de Automação</t>
  </si>
  <si>
    <t>087.609.209-12</t>
  </si>
  <si>
    <t>132.105.086-07</t>
  </si>
  <si>
    <t>Designer</t>
  </si>
  <si>
    <t>085.705.039-70</t>
  </si>
  <si>
    <t>052.208.059-67</t>
  </si>
  <si>
    <t>057.903.319-80</t>
  </si>
  <si>
    <t>Supervisor de Desenvolvimento</t>
  </si>
  <si>
    <t>374.320.848-23</t>
  </si>
  <si>
    <t>091.530.489-97</t>
  </si>
  <si>
    <t>Projetista</t>
  </si>
  <si>
    <t>Analista de Automação</t>
  </si>
  <si>
    <t>416.012.648-01</t>
  </si>
  <si>
    <t>Bolsista</t>
  </si>
  <si>
    <t>Cálculo do custo/hora</t>
  </si>
  <si>
    <t>Patronal</t>
  </si>
  <si>
    <t>// Informações recebidas por e-mail do RH</t>
  </si>
  <si>
    <t>RAT</t>
  </si>
  <si>
    <t>INSS</t>
  </si>
  <si>
    <t>FGTS</t>
  </si>
  <si>
    <t>Férias</t>
  </si>
  <si>
    <t>13º</t>
  </si>
  <si>
    <t>PD&amp;I R$</t>
  </si>
  <si>
    <t>Aprovado R$</t>
  </si>
  <si>
    <t>Feriados</t>
  </si>
  <si>
    <t>Segunda-Feira</t>
  </si>
  <si>
    <t>Ano Novo</t>
  </si>
  <si>
    <t>Sexta-Feira</t>
  </si>
  <si>
    <t>Sexta-Feira Santa</t>
  </si>
  <si>
    <t>2º dia de Páscoa</t>
  </si>
  <si>
    <t>Quarta-feira</t>
  </si>
  <si>
    <t>Dia do Trabalhado</t>
  </si>
  <si>
    <t>Quinta-feira</t>
  </si>
  <si>
    <t>Corpus Christi</t>
  </si>
  <si>
    <t>Dia da Reforma</t>
  </si>
  <si>
    <t>Proclamação da República</t>
  </si>
  <si>
    <t>Dia da Consciência Negra</t>
  </si>
  <si>
    <t>Natal</t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</si>
  <si>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</si>
  <si>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t>Fornecedor</t>
  </si>
  <si>
    <t>CNPJ</t>
  </si>
  <si>
    <t>Nota fiscal</t>
  </si>
  <si>
    <t>Valor</t>
  </si>
  <si>
    <t>Descrição da Atividade</t>
  </si>
  <si>
    <t>Objetivo do gasto e eventual info de rateio</t>
  </si>
  <si>
    <t>Gasto incentiv.</t>
  </si>
  <si>
    <t>KMCC Equipamentos Elétricos Ltda</t>
  </si>
  <si>
    <t>07.389.050/0001-51</t>
  </si>
  <si>
    <t>Pedido 2304662. Total  do pedido: R$ 10.451,00. Percentual no projeto: 99%</t>
  </si>
  <si>
    <t>Pedido 2302666. Total  do pedido: R$ 18.491,00. Percentual no projeto: 100 %</t>
  </si>
  <si>
    <t>Pedido 2304623. Total  do pedido: R$ 17.467,00. Percentual no projeto: 97 %</t>
  </si>
  <si>
    <t>NFS 2292</t>
  </si>
  <si>
    <t>NFS 2310</t>
  </si>
  <si>
    <t>Implementação de sistema automático de gerenciamento de garantia</t>
  </si>
  <si>
    <t>NFS 2311</t>
  </si>
  <si>
    <t>NFS 21013</t>
  </si>
  <si>
    <t>Percentual no projeto: 7,6 %</t>
  </si>
  <si>
    <t>Percentual no projeto: 10,4 %</t>
  </si>
  <si>
    <t>Requisição de pedido: 4401020</t>
  </si>
  <si>
    <t>Percentual no projeto: 16,8 %</t>
  </si>
  <si>
    <t>Percentual no projeto: 15,1 %</t>
  </si>
  <si>
    <t>Pedido: 2316035</t>
  </si>
  <si>
    <t>Percentual no projeto: 13,4 %</t>
  </si>
  <si>
    <t>Percentual no projeto: 34 %</t>
  </si>
  <si>
    <t>Materialize Serviços Digitais Ltda</t>
  </si>
  <si>
    <t>34.269.716/0001-00</t>
  </si>
  <si>
    <t>Agenciamento de serviços de desenvovimento de software</t>
  </si>
  <si>
    <t>Total nota fiscal: R$ 32040. Rateio: 100 %</t>
  </si>
  <si>
    <t>Mout´s Soluçõesem Tecnologia da Informação Ltda.</t>
  </si>
  <si>
    <t>5.056.849/0001-08</t>
  </si>
  <si>
    <t>Total nota fiscal: R$ 39698,55. Rateio: 50 %</t>
  </si>
  <si>
    <t>Amazon AWS Serviços Brasil Ltda</t>
  </si>
  <si>
    <t>23.412.247/0001-10</t>
  </si>
  <si>
    <t>2709240_ECNZ6XB8</t>
  </si>
  <si>
    <t>Custo da infraestrutura em nuvem</t>
  </si>
  <si>
    <t>Total nota fiscal: R$ 10825,52. Rateio: 50 %</t>
  </si>
  <si>
    <t>Total nota fiscal: R$ 44118,88. Rateio: 50 %</t>
  </si>
  <si>
    <t>2845975_9ZHR17CA</t>
  </si>
  <si>
    <t>Total nota fiscal: R$ 10993,07. Rateio: 50 %</t>
  </si>
  <si>
    <t>Total nota fiscal: R$ 48173,2. Rateio: 33,33 %</t>
  </si>
  <si>
    <t>2901379_BRL69BTP</t>
  </si>
  <si>
    <t>Total nota fiscal: R$ 10973,56. Rateio: 50 %</t>
  </si>
  <si>
    <t>Agênciamento de serviços de desenvovimento de software</t>
  </si>
  <si>
    <t>Total nota fiscal: R$ 44653,83. Rateio: 33,33 %</t>
  </si>
  <si>
    <t>2992055_YIQTWU6S</t>
  </si>
  <si>
    <t>Total nota fiscal: R$ 12930,29. Rateio: 50 %</t>
  </si>
  <si>
    <t>Total nota fiscal: R$ 44006,26. Rateio: 33,33 %</t>
  </si>
  <si>
    <t>3125620_V8RXCCLU</t>
  </si>
  <si>
    <t>Total nota fiscal: R$ 20021,22. Rateio: 50 %</t>
  </si>
  <si>
    <t>Total nota fiscal: R$ 10135,8. Rateio: 50 %</t>
  </si>
  <si>
    <t>Total nota fiscal: R$ 30420. Rateio: 50 %</t>
  </si>
  <si>
    <t>3196905_5AZYVJH6</t>
  </si>
  <si>
    <t>Total nota fiscal: R$ 21043,05. Rateio: 100 %</t>
  </si>
  <si>
    <t>Total nota fiscal: R$ 27900. Rateio: 50 %</t>
  </si>
  <si>
    <t>3286189_BGKZLLHT</t>
  </si>
  <si>
    <t>Total nota fiscal: R$ 21293,57. Rateio: 100 %</t>
  </si>
  <si>
    <t>Total nota fiscal: R$ 33210. Rateio: 50 %</t>
  </si>
  <si>
    <t>3385593_HEEGDXLC</t>
  </si>
  <si>
    <t>Total nota fiscal: R$ 19166,67. Rateio: 100 %</t>
  </si>
  <si>
    <t>Total nota fiscal: R$ 30690. Rateio: 50 %</t>
  </si>
  <si>
    <t>3488856_KVCXJ5V5</t>
  </si>
  <si>
    <t>Total nota fiscal: R$ 17677,81. Rateio: 100 %</t>
  </si>
  <si>
    <t>Total nota fiscal: R$ 17216,12. Rateio: 100 %</t>
  </si>
  <si>
    <t>Gateway para IRIS V3 Essentials</t>
  </si>
  <si>
    <t>Total nota fiscal: R$ 31336,51. Rateio: 50 %</t>
  </si>
  <si>
    <t>3584324_1DMEVBAE</t>
  </si>
  <si>
    <t>Total nota fiscal: R$ 34470. Rateio: 50 %</t>
  </si>
  <si>
    <t>3689410_LLXIYFEF</t>
  </si>
  <si>
    <t>Total nota fiscal: R$ 18479,53. Rateio: 100 %</t>
  </si>
  <si>
    <t>Total nota fiscal: R$ 30960. Rateio: 50 %</t>
  </si>
  <si>
    <t>3790213_FDP4MRWP</t>
  </si>
  <si>
    <t>Total nota fiscal: R$ 22299,43. Rateio: 100 %</t>
  </si>
  <si>
    <t>Melhorias do MasterCream MINI / Outros tamanhos e geometrias de dentes das ferramentas, outros materiais /  Facas de pré-corte</t>
  </si>
  <si>
    <t>Material para teste de laboratorio</t>
  </si>
  <si>
    <t>Horas de laboratorio</t>
  </si>
  <si>
    <t>Materia prima de fabricação mecanica</t>
  </si>
  <si>
    <t>Usinagem interna</t>
  </si>
  <si>
    <t>IFM ELECTRONIC LTDA</t>
  </si>
  <si>
    <t>02.263.430/0001-21</t>
  </si>
  <si>
    <t>compra de PT-100 higienico</t>
  </si>
  <si>
    <t>Adequar conexoes de sensores de temperatura conforme design higienico</t>
  </si>
  <si>
    <t>Limpeza com água</t>
  </si>
  <si>
    <t>Peças complementares de equipamento</t>
  </si>
  <si>
    <t>LABOR FOOD LABORATORIO DE ANALISES</t>
  </si>
  <si>
    <t>41.077.883/0001-15</t>
  </si>
  <si>
    <t>Analise de alergenicos</t>
  </si>
  <si>
    <t>Analise de resultados dos testes</t>
  </si>
  <si>
    <t>LABORATORIO ALAC LTDA</t>
  </si>
  <si>
    <t>94.088.952/0001-52</t>
  </si>
  <si>
    <t>SJV SERVICOS INDUSTRIAIS LTDA</t>
  </si>
  <si>
    <t>39.724.206/0001-08</t>
  </si>
  <si>
    <t>Servico de soldagem</t>
  </si>
  <si>
    <t>Adaptar conexao MC10 conforme design higienico</t>
  </si>
  <si>
    <t>JGW MECANICA INDUSTRIAL LTDA</t>
  </si>
  <si>
    <t>07.564.023/0001-78</t>
  </si>
  <si>
    <t>Servico de polimento de tubulação</t>
  </si>
  <si>
    <t>Redução da rugosidade da tubulação para melhor limpeza</t>
  </si>
  <si>
    <t>Teste 3.14</t>
  </si>
  <si>
    <t>NFS 115436</t>
  </si>
  <si>
    <t>Teste 3.15</t>
  </si>
  <si>
    <t>NFS 63465</t>
  </si>
  <si>
    <t>NFS 10975</t>
  </si>
  <si>
    <t>Análise de diferença de cor em chocolate branco</t>
  </si>
  <si>
    <t>Análise de diferença de cor</t>
  </si>
  <si>
    <t>NFS 116603</t>
  </si>
  <si>
    <t>NFS 116646</t>
  </si>
  <si>
    <t>NFS 11082</t>
  </si>
  <si>
    <t>Teste 3.16</t>
  </si>
  <si>
    <t>NFS 63991</t>
  </si>
  <si>
    <t>Teste 3.18</t>
  </si>
  <si>
    <t>NFS 117178</t>
  </si>
  <si>
    <t>NFS 117319</t>
  </si>
  <si>
    <t>Analise de alergenicos em produto final</t>
  </si>
  <si>
    <t>Verificação de residual de alergênicos em chocolate</t>
  </si>
  <si>
    <t>SUM de Valor</t>
  </si>
  <si>
    <t>Configuração Gateway para o IRIS V3 Total</t>
  </si>
  <si>
    <t>Gateway para IRIS V3 Essentials Total</t>
  </si>
  <si>
    <t>Relatório de lotes Total</t>
  </si>
  <si>
    <t>Templates de gráficos Total</t>
  </si>
  <si>
    <t>23.412.247/0001-10 Total</t>
  </si>
  <si>
    <t>Gerenciamento interno Total</t>
  </si>
  <si>
    <t>34.269.716/0001-00 Total</t>
  </si>
  <si>
    <t>Design System Total</t>
  </si>
  <si>
    <t>5.056.849/0001-08 Total</t>
  </si>
  <si>
    <t>Netzsch Moagem</t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</si>
  <si>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</si>
  <si>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r>
      <rPr>
        <rFont val="Source Sans Pro"/>
        <color rgb="FF666666"/>
        <sz val="8.0"/>
      </rPr>
      <t xml:space="preserve">- preencher somente os campos sombreados (cinza) e 
- adicionar </t>
    </r>
    <r>
      <rPr>
        <rFont val="Source Sans Pro"/>
        <b/>
        <color rgb="FF666666"/>
        <sz val="8.0"/>
      </rPr>
      <t xml:space="preserve">cronograma </t>
    </r>
    <r>
      <rPr>
        <rFont val="Source Sans Pro"/>
        <color rgb="FF666666"/>
        <sz val="8.0"/>
      </rPr>
      <t>no formato de imagem ao fim do formulário
- preencher um deste para cada projeto de PD&amp;I</t>
    </r>
  </si>
  <si>
    <t>Dados gerais para identificação e validação do projeto de PD&amp;I</t>
  </si>
  <si>
    <t>Nome do projeto</t>
  </si>
  <si>
    <t xml:space="preserve">IRIS -&gt; IRIS V3		</t>
  </si>
  <si>
    <t>Pesquisa básica</t>
  </si>
  <si>
    <t>📑</t>
  </si>
  <si>
    <t>Classificação do projeto</t>
  </si>
  <si>
    <t>Desenvolvimento experimental</t>
  </si>
  <si>
    <t>Pesquisa aplicada</t>
  </si>
  <si>
    <t>Objetivos do projeto</t>
  </si>
  <si>
    <t>Desenvolver uma série de funcionalidades inovadoras para o software de automação de equipamento de moagem a úmido, que permitam maior precisão e eficiência no processo de moagem, reduzindo o consumo de energia e aumentando a produtividade. O projeto visa implementar algoritmos avançados de controle de processos e análise preditiva para otimizar as operações de moagem em tempo real.</t>
  </si>
  <si>
    <t>Inovação tecnológica de produto</t>
  </si>
  <si>
    <t>Tipo de inovação</t>
  </si>
  <si>
    <t>Inovação tecnológica de processo</t>
  </si>
  <si>
    <t>Inovação tecnológica de serviços</t>
  </si>
  <si>
    <t>Elemento inovador</t>
  </si>
  <si>
    <t xml:space="preserve">O software incorporará algoritmos de aprendizado de máquina para adaptar automaticamente os parâmetros de moagem com base em variações de matéria-prima e condições de operação. Essa abordagem inovadora permite uma resposta dinâmica do sistema, introduzindo um nível de automação e inteligência artificial que atualmente não é utilizado nesta indústria em nossa região.
</t>
  </si>
  <si>
    <t xml:space="preserve">- Não podem ser consideradas as inovações organizacionais, comerciais e de marketing
</t>
  </si>
  <si>
    <t>Empresa ou segmento regional</t>
  </si>
  <si>
    <t>Nível de inovação</t>
  </si>
  <si>
    <t>Inovador para o Brasil</t>
  </si>
  <si>
    <t>Inovador para o Mundo</t>
  </si>
  <si>
    <t>Risco tecnológico</t>
  </si>
  <si>
    <t xml:space="preserve">"Processo aprimorado de moagem no modo passada; Processo aprimorado de moagem no modo circulação; Registro avançado de dados de processo
Portabilidade para funcionamento com CLP da Rockwell; Gerenciamento de dados remanecentes; Portabilidade para funcionamento com CLP da Rockwell; Implementação de sistema automático de gerenciamento de garantia; Portabilidade para funcionamento com CLP da Rockwell; IRIS  V3 Epsilon InView - Desenvolvimento; IRIS V3 for Confectionary - Prototipação; IRIS  V3 Epsilon InView - Desenvolvimento; IRIS V3 for Confectionary - Prototipação; IRIS  V3 Epsilon InView - Recontrole; IRIS V3 for Confectionary - Prototipação"                </t>
  </si>
  <si>
    <t>Metodologias</t>
  </si>
  <si>
    <t>Classificação e Análise de Feedback de Clientes: Utilização de técnicas de análise de dados para classificar e priorizar as sugestões e necessidades dos clientes em termos de funcionalidades de software.
Desenvolvimento e Validação de Protótipos: Protótipos serão desenvolvidos usando métodos ágeis para iterar rapidamente com base no feedback do usuário.
Implementação de Funcionalidades: Desenvolvimento de novas funcionalidades utilizando programação orientada a objetos e práticas de desenvolvimento de software seguro.
Testes em Ambiente Controlado e Validação com Usuários: Testes rigorosos em ambientes simulados e em condições reais de operação para garantir a funcionalidade e segurança.
Lançamento de Funcionalidades: Implementação gradual das novas funcionalidades para todos os usuários, com monitoramento contínuo de performance e coleta de feedback para futuras melhorias.</t>
  </si>
  <si>
    <t>Equipe</t>
  </si>
  <si>
    <t>Cargo/Função</t>
  </si>
  <si>
    <t>Qualificação</t>
  </si>
  <si>
    <t>!</t>
  </si>
  <si>
    <t xml:space="preserve"> </t>
  </si>
  <si>
    <t>Graduação</t>
  </si>
  <si>
    <t>Pós-graduação</t>
  </si>
  <si>
    <t>Cronograma</t>
  </si>
  <si>
    <t>[anexar imagem - preferencialmente Gantt]</t>
  </si>
  <si>
    <t>Theron Harbs</t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</si>
  <si>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</si>
  <si>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t>Um objetivo a ser concluído durante esta etapa. Podemos ter vários em cada etapa.</t>
  </si>
  <si>
    <t>Uma data estimada que atualizará após etapa concluída</t>
  </si>
  <si>
    <t>Etapas e Milestones</t>
  </si>
  <si>
    <t>Principais atividades</t>
  </si>
  <si>
    <t>Milestones</t>
  </si>
  <si>
    <t>Data inicial</t>
  </si>
  <si>
    <t>Data conclusão</t>
  </si>
  <si>
    <t>Observações do gestor</t>
  </si>
  <si>
    <t>Processo guiado de moagem no modo passada, com fluxos de ação para auxiliar o operador. Possibilidade de cálculo de energia específica por passada de foram automáticas pelo sistema. Cálculo baseado no total da solução ou na concentração do princípio ativo.</t>
  </si>
  <si>
    <t>Conclusão e validação da etapa</t>
  </si>
  <si>
    <t>Processo guiado de moagem em modo de circulação, com fluxos de ação para auxiliar o operador. Possibilidade adicional de operação por taxa de produção, energia específica ou cálculo de ciclos.  Cálculo da energia específica baseada no total da solução ou na concentração do princípio ativo.</t>
  </si>
  <si>
    <t>Registro, coleta e armazenamento de todas as etapas operacionais e ações realzidas pelo operador durante  o processo de moagem</t>
  </si>
  <si>
    <t>Reprogramação de todos as funcionalidaes desenvolvidas no CLP (Controlador Lógico Programável) da Siemens para o fabricante Rockwell. Estudo dos requerimentos, avaliação das capacidades e desenvolvimento</t>
  </si>
  <si>
    <t>Automatização no registro de dados para garantir a integridade dos dados de processo</t>
  </si>
  <si>
    <t>Gerenciamento em tempo real da garantia do equipamento. Previsão levando em consideração relação comercial do faturamento, e instalação do equipamento no cliente</t>
  </si>
  <si>
    <t>Desenvolviemnto de software de automação com a platafaorma IRIS V3</t>
  </si>
  <si>
    <t>Validação da etapa de desenvolvimento com o recontrole de Epsilon presente no laboratório da empresa</t>
  </si>
  <si>
    <t>Pesquisa, documentação, criação de mockup (protótipo) e validação com clientes internos e externos</t>
  </si>
  <si>
    <t>Upgrade da automação da linha de entrada do moinho a umido, equipamento operado por botões, permitindo a coleta de dados por meio de um dispositivo IoT para posterior análise de processo no Notify. O processo consiste nas etapas de pesquisa, documentação e validação.</t>
  </si>
  <si>
    <t>Desenvolvimento da base do software de automação com a plataforma IRIS V3 após  a fase de prototipação</t>
  </si>
  <si>
    <t>Validação do software com equipamento real e finalização da documentação operacional</t>
  </si>
  <si>
    <t>Upgrade da automação da linha de intermedária do moinho a umido, equipamento operado por botões, permitindo a coleta de dados por meio de um dispositivo IoT para posterior análise de processo no Notify. O processo consiste nas etapas de pesquisa, documentação e desenvolvimento.</t>
  </si>
  <si>
    <t>Desenvolvimento de treinaemnto especializado com videos sobdemanda de cada um das funcionalidades do IRIS V3 BeadMill InvVew utilizadas por técnicos de After-Sales</t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</si>
  <si>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</si>
  <si>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</si>
  <si>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t>Recebido via e-mail pela senhora Edilaine</t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</si>
  <si>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</si>
  <si>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r>
      <rPr>
        <rFont val="Source Sans Pro"/>
        <color rgb="FF666666"/>
        <sz val="8.0"/>
      </rPr>
      <t xml:space="preserve">- preencher somente os campos sombreados (cinza) e 
- adicionar </t>
    </r>
    <r>
      <rPr>
        <rFont val="Source Sans Pro"/>
        <b/>
        <color rgb="FF666666"/>
        <sz val="8.0"/>
      </rPr>
      <t xml:space="preserve">cronograma </t>
    </r>
    <r>
      <rPr>
        <rFont val="Source Sans Pro"/>
        <color rgb="FF666666"/>
        <sz val="8.0"/>
      </rPr>
      <t>no formato de imagem ao fim do formulário
- preencher um deste para cada projeto de PD&amp;I</t>
    </r>
  </si>
  <si>
    <t>Notify - Novas funcionalidades</t>
  </si>
  <si>
    <t>Desenvolver novas funcionalidades no software Notify para aprimorar a análise de dados operacionais das máquinas e enriquecer a experiência do usuário. As funcionalidades pretendem tornar o software uma ferramenta mais intuitiva e capaz de oferecer insights operacionais detalhados através de uma interface de usuário otimizada e funcionalidades avançadas de relatório.</t>
  </si>
  <si>
    <t>Gerenciamento de Licenças: Introdução de um sistema sofisticado para gerenciar licenças de software que facilita a expansão de uso sem complicações.
Duplicação de Máquinas Existentes: Permitir aos usuários duplicar configurações de máquinas existentes para novas instalações, economizando tempo e reduzindo erros.
Relatório de Lotes: Desenvolvimento de uma funcionalidade para relatórios detalhados de lotes de produção que pode ser personalizado conforme as necessidades operacionais.
Exportação de Dados para o Excel: Facilitar a exportação de dados operacionais para Excel para análises mais profundas.
Adequação e Configuração do Gateway para o IRIS V3: Adaptar o software para integrar com a nova versão do sistema IRIS, permitindo uma comunicação mais eficiente e segura.
Templates de Gráficos e Design System dos Produtos Digitais: Desenvolver templates para gráficos e um design system unificado que melhore a consistência visual e a usabilidade em todos os produtos digitais da empresa.</t>
  </si>
  <si>
    <t>O desenvolvimento das funcionalidades envolve riscos tecnológicos relacionados à integração com sistemas existentes, adaptação às novas versões de softwares de base e garantia de que as novas funcionalidades operem conforme o esperado em diferentes ambientes tecnológicos. Os riscos incluem a possibilidade de falhas técnicas durante a integração e a necessidade de ajustes significativos após os testes iniciais.</t>
  </si>
  <si>
    <t>Classificação de Feedbacks: Análise detalhada dos feedbacks dos clientes para priorizar o desenvolvimento conforme as necessidades mais críticas.
Criação e Validação de Protótipos: Prototipagem rápida e iterativa com a participação ativa dos usuários para garantir que as novas funcionalidades atendam às expectativas e requisitos operacionais.
Desenvolvimento das Funcionalidades: Utilização de metodologias ágeis para o desenvolvimento de software, permitindo flexibilidade e adaptação durante o ciclo de desenvolvimento.
Validação em Ambiente de Teste: Testes rigorosos em ambientes controlados para garantir a funcionalidade e robustez antes da implementação final.
Liberação das Funcionalidades: Implantação gradual das funcionalidades para todos os usuários, acompanhada de suporte técnico proativo para resolver qualquer questão emergente.</t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</si>
  <si>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</si>
  <si>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</si>
  <si>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t>Relatório dos lotes produzidos pelas máquinas NETZSCH</t>
  </si>
  <si>
    <t>Documentação para apresentação ao Board</t>
  </si>
  <si>
    <t>Gateway para envio dos dados de máquina para os servidores do Notify</t>
  </si>
  <si>
    <t>Lançamento da funcionalidade</t>
  </si>
  <si>
    <t>Modelo de gráfico para comparação de sensores</t>
  </si>
  <si>
    <t>Configuração do gateway de envio de dados da máquina para os servidores do Notify pelo aplicativo Manager Tool, disponível para os técnicos da NETZSCH</t>
  </si>
  <si>
    <t>Conjunto de padrões e componentes que define a linguagem visual e funcional de um produto digital, promovendo consistência, eficiência e colaboração entre equipes de design e desenvolvimento.</t>
  </si>
  <si>
    <t>Migração dos dados do banco de dados Timescale para o Timescale Cloud, com o objetivo de possibilitar a compressão de dados menos acessados e, assim, reduzir os custos de armazenamento.</t>
  </si>
  <si>
    <t>Desenvolvimento de atualização de gateways, tabela para verificar licenças expiradas e biblioteca de componentes para acelerar o desenvolvimento</t>
  </si>
  <si>
    <t>Gateway para envio dos dados de máquina, equipadas com o sistema de controle IRIS V3 Essenstials, para os servidores do Notify</t>
  </si>
  <si>
    <t>Gateway para IRIS V3 Inside</t>
  </si>
  <si>
    <t>Gateway para envio dos dados de máquina, equipadas com o sistema de controle IRIS V3 Inside, para os servidores do Notify</t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</si>
  <si>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</si>
  <si>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</si>
  <si>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r>
      <rPr>
        <rFont val="Source Sans Pro"/>
        <color rgb="FF666666"/>
        <sz val="8.0"/>
      </rPr>
      <t xml:space="preserve">- preencher somente os campos sombreados (cinza) e 
- adicionar </t>
    </r>
    <r>
      <rPr>
        <rFont val="Source Sans Pro"/>
        <b/>
        <color rgb="FF666666"/>
        <sz val="8.0"/>
      </rPr>
      <t xml:space="preserve">cronograma </t>
    </r>
    <r>
      <rPr>
        <rFont val="Source Sans Pro"/>
        <color rgb="FF666666"/>
        <sz val="8.0"/>
      </rPr>
      <t>no formato de imagem ao fim do formulário
- preencher um deste para cada projeto de PD&amp;I</t>
    </r>
  </si>
  <si>
    <t>ChocoFlow</t>
  </si>
  <si>
    <t>Projeto 1 - Otimização da viscosidade do chocolate ao leite</t>
  </si>
  <si>
    <t>A partir do processo de fabricação da massa de chocolate desenvolvido pela Netzsch, reduzir a viscosidade e ponto de fluidez de um chocolate ao leite europeu sem adição de PGPR . O valor maximo de viscosidade deve ser 2,3Pas, valor do ponto de fluidez deve estar entre 10 a 20Pa e granulometria de 18 a 22µm</t>
  </si>
  <si>
    <t>Processo de cristalização da lactose antes da etapa de conchagem a seco para liberação da gordura do leite que possibilita a redução da quantidade de manteiga de cacau (ingrediente de alto valor agregado) melhoria na reologia e sabor caracteristico de leite dos chocolates europeus. Inclusão da maquina Netzsch MasterCream Inline com ferramentas lisas após o processo de moagem para reduzir a viscosidade sem aumento consideravel no ponto de fluidez. Retenção de manteiga do processo para adição após o processo de moagem que possibilita a melhoria consideravel na reologia.</t>
  </si>
  <si>
    <t>Não identificado</t>
  </si>
  <si>
    <t xml:space="preserve">Realização de testes de fabricação de massa de chocolate ao leite no laboratório de food da Netzsch moagem em Pomerode.
Coletar dados de reologia, umidade, granulometria e capacidade do processo.
A partir dos dados coletados, ajustar parâmetros como potência, tamanho de esferas, quantidade de esferas, emulsificantes, tamanho de dente da ferramenta de pre moagem, temperatura, tempo de conchagem/cristalização da lactose, quantidade de água, quantidade de manteiga retida.
Realizar ajuste de parâmetros para teste seguinte e coletar dados.
Depois de realizar um teste com resultados efetivos, realizar teste de repetição e passar os parâmetros para a NFT para ser realizado na Alemanha.
</t>
  </si>
  <si>
    <t>Theron Wolfgang Harbs</t>
  </si>
  <si>
    <t xml:space="preserve">Consultor </t>
  </si>
  <si>
    <t>Projetista Industrial</t>
  </si>
  <si>
    <t>[anexar imagem - preferencialmente Gantt em pdf]</t>
  </si>
  <si>
    <t>Formulário de PD&amp;I - Ano 2024</t>
  </si>
  <si>
    <t>Adaptação para produto do mercado da NEM</t>
  </si>
  <si>
    <t>Replicar teste 9, receita similar mas sem lactose, utilizar PGPR, granulometria mais alta</t>
  </si>
  <si>
    <t>Produzir um produto que atenda o mercado do Brasil e America latina</t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</si>
  <si>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</si>
  <si>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</si>
  <si>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r>
      <rPr>
        <rFont val="Source Sans Pro"/>
        <color rgb="FF666666"/>
        <sz val="8.0"/>
      </rPr>
      <t xml:space="preserve">- preencher somente os campos sombreados (cinza) e 
- adicionar </t>
    </r>
    <r>
      <rPr>
        <rFont val="Source Sans Pro"/>
        <b/>
        <color rgb="FF666666"/>
        <sz val="8.0"/>
      </rPr>
      <t xml:space="preserve">cronograma </t>
    </r>
    <r>
      <rPr>
        <rFont val="Source Sans Pro"/>
        <color rgb="FF666666"/>
        <sz val="8.0"/>
      </rPr>
      <t>no formato de imagem ao fim do formulário
- preencher um deste para cada projeto de PD&amp;I</t>
    </r>
  </si>
  <si>
    <t>MasterCream Maximizer</t>
  </si>
  <si>
    <t>Projeto 2 - Expansão das Aplicações do Equipamento MasterCream</t>
  </si>
  <si>
    <t>Desenvolver outros tamanhos e geometrias de dentes/estator, alvo: suspensão com alguns pedaços ou granulado como produto final.
Melhorias no funil/tubo de alimentação e no eixo helicoidal, como feito no Mini MasterCream para produtos difíceis de alimentar.
Desenvolver facas de pré-corte para produtos como amêndoas que são difíceis de moer, especialmente quando têm umidade de até 4%, como aplicado na Lübecker para MasterCream 20.
Desenvolver altura ajustável de estator cônico para produtos em pedaços grandes.
Melhorar a construção de acordo com o projeto higiênico para facilitar o trabalho com possível sistema CIP. Em conjunto com o projeto 1, desenvolver ferramentas com rotor/estator liso para reduzir a viscosidade após a moagem</t>
  </si>
  <si>
    <t>Limpeza do sistema de moagem, conchagem e seus perifericos como tubulação, tanques de processo, bombas etc. aplicado a fabricação de chocolate e coberturas, com intuito de atingir um grau de limpeza que possibilite a troca de produto entre um lote e outro, por exemplo, a troca de um chocolate meio amargo para um chocolate branco ou um produto não vegano para um produto vegano.</t>
  </si>
  <si>
    <t>1 - Dentes maiores: a partir de 5 mm em anéis cilíndricos, incluindo estator cônico
2 - Avaliar um melhor esvaziamento do produto moído, menos por tubulação e mais por gravidade – queda livre
3 - Adicionar (como opcional) o rotor helicoidal central para melhor alimentação do funil, sem formação de ponte
4 - Acompanhe os resultados da configuração resistente ao desgaste – revestimentos ou materiais
5 - Adicionar (como opcional) a ferramenta de pré-corte grosso da faca, como feito no cliente Lübecker na Alemanha
6 - Adicionar a possibilidade de aumentar a distância entre o rotor cônico e o estator, até cerca de 10 mm, sem alterar a posição relativa dos anéis estáticos
7 - Verifique o design higiênico, materiais resistentes à corrosão e vedações
8 - Criar um banco de dados MasterCream com informações de vazão, potência, rotação, tamanho de partícula, etc.
9 - Melhoria MasterCream MINI.
10 - Rotor/estator cego para melhoria da viscosidade após o moinho</t>
  </si>
  <si>
    <t>Desenvolver ferramentas com dentes de 5mm para pastas com granulados; desenvolver ferramentas com materiais resistentes ao desgaste;  redução da area de moagem do MCIL40, redução da capacidade de bombeamento do MCIL40</t>
  </si>
  <si>
    <t xml:space="preserve">Produzir pastas com granulados de amendoim, alho, pimenta etc. Testar ferramentas de WC ZrO2 com açai e mostarda </t>
  </si>
  <si>
    <t>Desenvolver novo rotor de moagem, acionamento com mais potencia, dispositivo para diferentes tamanhos de entrada de produto, tubo de imersão, valvula para limitação da area de descarga</t>
  </si>
  <si>
    <t>Possibilitar a operação continua com o funil afogado</t>
  </si>
  <si>
    <t>Facas de pré-corte</t>
  </si>
  <si>
    <t>Desenvolver facas de pré-corte na entrada do MasterCream</t>
  </si>
  <si>
    <t>Cortar o produto com alto teor de umidade e possibilitar que o rotor superior faça a pré quebra</t>
  </si>
  <si>
    <t>Altura ajustavel do estator conico</t>
  </si>
  <si>
    <t>Desenvolver dispositivo para ajuste da altura do estator conico</t>
  </si>
  <si>
    <t>Testar dispositivo com produtos dificies de moer</t>
  </si>
  <si>
    <t>Eixo helicoidal para alimentação</t>
  </si>
  <si>
    <t>Desenvolver eixo helicoidal similar ao do MC-MINI para  MC10, 20, 40</t>
  </si>
  <si>
    <t>Otimizar alimentação vertical</t>
  </si>
  <si>
    <t>Desenvolver carcaça, conexão de entrada, conexão de  saída, funil, vedações e ferramentas conforme design higienico</t>
  </si>
  <si>
    <t>Diminuir a quantidade de acumolo residual</t>
  </si>
  <si>
    <t>Criar banco de dados de processo com informações de vazão, potencia, rotação e tamanho de particula para MasterCream</t>
  </si>
  <si>
    <t>Desenvolver planilha de scale up para os diferentes tamanhos de maquina para comparar os dados de processo</t>
  </si>
  <si>
    <t>Coletar os dados de processo do MCIL40 que está operando em cliene</t>
  </si>
  <si>
    <t>Desenvolver ferramentas para MasterCream lisas</t>
  </si>
  <si>
    <t>Montar após o moinho e testar para verificar possivel redução da viscosidade</t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</si>
  <si>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</si>
  <si>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</si>
  <si>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r>
      <rPr>
        <rFont val="Source Sans Pro"/>
        <color rgb="FF666666"/>
        <sz val="8.0"/>
      </rPr>
      <t xml:space="preserve">- preencher somente os campos sombreados (cinza) e 
- adicionar </t>
    </r>
    <r>
      <rPr>
        <rFont val="Source Sans Pro"/>
        <b/>
        <color rgb="FF666666"/>
        <sz val="8.0"/>
      </rPr>
      <t xml:space="preserve">cronograma </t>
    </r>
    <r>
      <rPr>
        <rFont val="Source Sans Pro"/>
        <color rgb="FF666666"/>
        <sz val="8.0"/>
      </rPr>
      <t>no formato de imagem ao fim do formulário
- preencher um deste para cada projeto de PD&amp;I</t>
    </r>
  </si>
  <si>
    <t>Projeto 3 - Desenvolvimento de Processo de Limpeza CIP e SIP para linhas Food</t>
  </si>
  <si>
    <t>A NETZSCH é pioneira em CIP à base de óleo para máquinas de produção de confeitaria como Conch, Mixer, Bead Mill, em grande parte devido ao conceito de processo fechado
O recurso CIP, bem como a configuração rápida com menor consumo de meios de limpeza, exigem design higiênico (HD) para que todos os componentes em contato com o produto sejam eficientes
As diretrizes EHEDG (European Hygienic Engineering &amp; Design Group), HACCP (Hazard Analysis Critical Control Point) e GMP (Good Manufacturing Practice), bem como a própria experiência, fornecem muitas recomendações valiosas para HD.
Embora exista um conceito básico, ele ainda não foi aplicado a toda a linha de produção, consequentemente.
Algumas ferramentas ainda não estão totalmente otimizadas, como os cabeçotes de limpeza, que permanecem dentro da máquina durante o processo, representando peças estáticas que acumulam resíduos e por isso necessitam de esforços extras para serem totalmente limpas.
Outros equipamentos, como o Bead Mill MasterRefiner, possuem um conceito para HD que ainda precisa ser validado e posteriormente implementado pela Engenharia apoiada pela Equipe de P&amp;D.</t>
  </si>
  <si>
    <t>1 - Especificar preliminarmente as etapas do sistema CIP para a planta Rumba/Salsa 300 do laboratório NEM.
2 - Configurar um sistema CIP preliminar para testar os cabeçotes de limpeza no MAC300 e coletar dados como vazão, temperatura, pressão e tempo.
3 - Verificar a quantidade de resíduo restante na concha e verificar os pontos mais críticos.
4 - Melhorar a construção de equipamentos, tubulações, válvulas, pontos de amostragem e conexões respeitando as diretrizes de projeto higiênico.
5 - Com a ajuda do engenheiro de alimentos, realizar análises microbiológicas para determinar o grau de limpeza alcançado.
6 - Especificar o grau de limpeza aceitável conforme normas para cada tipo de aplicação, por exemplo, trocando o produto de chocolate ao leite por chocolate branco ou produto não vegano para vegano.
7 - Desenvolver o sistema definitivo, descrevendo as etapas de cada aplicação e projeto de automação</t>
  </si>
  <si>
    <t>MasterRefiner 30 Hygienic design</t>
  </si>
  <si>
    <t>Desenvolver peças para adequar o MR30 do laboratorio conforme design higienico</t>
  </si>
  <si>
    <t>Realizar teste de limpeza</t>
  </si>
  <si>
    <t>Sistema de limpeza com água</t>
  </si>
  <si>
    <t>Desenvolver fluxo de limpeza para Rumba/Salsa 300</t>
  </si>
  <si>
    <t>Testar cabeçotes Hydroclaw</t>
  </si>
  <si>
    <t>Sistema de esvaziamento com ar comprimido</t>
  </si>
  <si>
    <t>Desenvolver sistema de pressurização para Moinho, tubulação e sistema de pre moagem</t>
  </si>
  <si>
    <t>Testar esvaziamento no moinho</t>
  </si>
  <si>
    <t>Sistema de secagem com ar quente</t>
  </si>
  <si>
    <t>Adequar sistema de ar quente existente na concha para secagem do sistema completo</t>
  </si>
  <si>
    <t>Testar secagem do sistema</t>
  </si>
  <si>
    <t>Sistema de secagem com vácuo</t>
  </si>
  <si>
    <t>Adequar sistema de vacuo existente no lab para secagem do sistema completo</t>
  </si>
  <si>
    <t>Testar secagem com vacuo no sistema</t>
  </si>
  <si>
    <t>Adequação do laboratorio Rumba 300 para CIP/Design higienico</t>
  </si>
  <si>
    <t>Projetar tanques de processo, tubulação, bombas e valvulas conforme design higienico</t>
  </si>
  <si>
    <t>Realizar teste de CIP completo</t>
  </si>
  <si>
    <t>Caracterização de nivel de residuos remanescentes</t>
  </si>
  <si>
    <t>Pesquisar normas/legislação brasileira, europeia e americana. Desenvolver metodo de analise de residuos</t>
  </si>
  <si>
    <t>Classificar grau de limpeza requerido para troca de produto</t>
  </si>
  <si>
    <r>
      <rPr>
        <rFont val="Source Sans Pro"/>
        <color rgb="FF666666"/>
        <sz val="10.0"/>
      </rPr>
      <t xml:space="preserve">Formulário de PD&amp;I - </t>
    </r>
    <r>
      <rPr>
        <rFont val="Source Sans Pro"/>
        <b/>
        <color rgb="FF666666"/>
        <sz val="10.0"/>
      </rPr>
      <t>Ano 2024</t>
    </r>
  </si>
  <si>
    <t>Empregados</t>
  </si>
  <si>
    <t>Cont. Inviduais</t>
  </si>
  <si>
    <t>INSS empresa</t>
  </si>
  <si>
    <t>% Patronal</t>
  </si>
  <si>
    <t>% Patronal efetivo</t>
  </si>
  <si>
    <t>Faturamento 2,5%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</si>
</sst>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, &quot;mmmm&quot; de &quot;yyyy"/>
    <numFmt numFmtId="165" formatCode="#,##0.00;(#,##0.00)"/>
    <numFmt numFmtId="166" formatCode="_-* #,##0.00_-;\-* #,##0.00_-;_-* &quot;-&quot;??_-;_-@"/>
    <numFmt numFmtId="167" formatCode="dd/MM/yyyy"/>
    <numFmt numFmtId="168" formatCode="dd/mm/yyyy"/>
    <numFmt numFmtId="169" formatCode="0.0000%"/>
    <numFmt numFmtId="170" formatCode="d/m/yyyy"/>
  </numFmts>
  <fonts count="50">
    <font>
      <sz val="10.0"/>
      <color rgb="FF000000"/>
      <name val="Arial"/>
      <scheme val="minor"/>
    </font>
    <font>
      <b/>
      <sz val="10.0"/>
      <color rgb="FF000000"/>
      <name val="Cairo"/>
    </font>
    <font>
      <sz val="10.0"/>
      <color rgb="FF000000"/>
      <name val="Cairo"/>
    </font>
    <font>
      <sz val="20.0"/>
      <color rgb="FF000000"/>
      <name val="Cairo"/>
    </font>
    <font>
      <sz val="11.0"/>
      <color rgb="FF000000"/>
      <name val="Cairo"/>
    </font>
    <font>
      <b/>
      <sz val="11.0"/>
      <color rgb="FF000000"/>
      <name val="Cairo"/>
    </font>
    <font>
      <sz val="8.0"/>
      <color rgb="FF000000"/>
      <name val="Cairo"/>
    </font>
    <font>
      <i/>
      <sz val="10.0"/>
      <color rgb="FF000000"/>
      <name val="Cairo"/>
    </font>
    <font>
      <b/>
      <sz val="10.0"/>
      <color rgb="FFFFFFFF"/>
      <name val="Cairo"/>
    </font>
    <font>
      <color theme="1"/>
      <name val="Arial"/>
    </font>
    <font>
      <b/>
      <color rgb="FF000000"/>
      <name val="&quot;Source Sans Pro&quot;"/>
    </font>
    <font>
      <color rgb="FF000000"/>
      <name val="&quot;Source Sans Pro&quot;"/>
    </font>
    <font>
      <i/>
      <color rgb="FF000000"/>
      <name val="&quot;Source Sans Pro&quot;"/>
    </font>
    <font>
      <color theme="1"/>
      <name val="Cairo"/>
    </font>
    <font>
      <b/>
      <sz val="12.0"/>
      <color rgb="FF000000"/>
      <name val="Cairo"/>
    </font>
    <font>
      <color rgb="FF666666"/>
      <name val="Source Sans Pro"/>
    </font>
    <font>
      <b/>
      <sz val="12.0"/>
      <color rgb="FF666666"/>
      <name val="Source Sans Pro"/>
    </font>
    <font>
      <b/>
      <sz val="10.0"/>
      <color rgb="FF999999"/>
      <name val="Source Sans Pro"/>
    </font>
    <font>
      <sz val="10.0"/>
      <color rgb="FF666666"/>
      <name val="Source Sans Pro"/>
    </font>
    <font>
      <sz val="8.0"/>
      <color rgb="FF666666"/>
      <name val="Source Sans Pro"/>
    </font>
    <font>
      <b/>
      <sz val="10.0"/>
      <color rgb="FF666666"/>
      <name val="Source Sans Pro"/>
    </font>
    <font>
      <b/>
      <sz val="8.0"/>
      <color rgb="FF666666"/>
      <name val="Source Sans Pro"/>
    </font>
    <font>
      <sz val="8.0"/>
      <color rgb="FF666666"/>
      <name val="&quot;Source Sans Pro&quot;"/>
    </font>
    <font>
      <color theme="1"/>
      <name val="Arial"/>
      <scheme val="minor"/>
    </font>
    <font>
      <color theme="1"/>
      <name val="Source Sans Pro"/>
    </font>
    <font>
      <b/>
      <color theme="1"/>
      <name val="Source Sans Pro"/>
    </font>
    <font>
      <i/>
      <sz val="8.0"/>
      <color rgb="FF666666"/>
      <name val="Source Sans Pro"/>
    </font>
    <font>
      <b/>
      <i/>
      <sz val="8.0"/>
      <color theme="1"/>
      <name val="Source Sans Pro"/>
    </font>
    <font>
      <sz val="9.0"/>
      <color rgb="FF666666"/>
      <name val="Source Sans Pro"/>
    </font>
    <font>
      <sz val="9.0"/>
      <color rgb="FF3C4043"/>
      <name val="Source Sans Pro"/>
    </font>
    <font>
      <b/>
      <color rgb="FF666666"/>
      <name val="Source Sans Pro"/>
    </font>
    <font>
      <b/>
      <color rgb="FFFF0000"/>
      <name val="Source Sans Pro"/>
    </font>
    <font>
      <i/>
      <sz val="8.0"/>
      <color theme="1"/>
      <name val="Source Sans Pro"/>
    </font>
    <font>
      <sz val="8.0"/>
      <color theme="1"/>
      <name val="Source Sans Pro"/>
    </font>
    <font>
      <b/>
      <color rgb="FF666666"/>
      <name val="&quot;Source Sans Pro&quot;"/>
    </font>
    <font>
      <i/>
      <color rgb="FF666666"/>
      <name val="&quot;Source Sans Pro&quot;"/>
    </font>
    <font>
      <sz val="8.0"/>
      <color rgb="FF666666"/>
      <name val="&quot;Segoe UI Emoji&quot;"/>
    </font>
    <font>
      <color rgb="FF666666"/>
      <name val="Arial"/>
      <scheme val="minor"/>
    </font>
    <font>
      <sz val="8.0"/>
      <color rgb="FF666666"/>
      <name val="Arial"/>
      <scheme val="minor"/>
    </font>
    <font>
      <sz val="7.0"/>
      <color rgb="FF666666"/>
      <name val="Source Sans Pro"/>
    </font>
    <font/>
    <font>
      <i/>
      <sz val="10.0"/>
      <color rgb="FF666666"/>
      <name val="Source Sans Pro"/>
    </font>
    <font>
      <i/>
      <sz val="9.0"/>
      <color rgb="FF666666"/>
      <name val="Architects Daughter"/>
    </font>
    <font>
      <b/>
      <i/>
      <sz val="8.0"/>
      <color rgb="FF666666"/>
      <name val="Source Sans Pro"/>
    </font>
    <font>
      <sz val="10.0"/>
      <color rgb="FF666666"/>
      <name val="&quot;Source Sans Pro&quot;"/>
    </font>
    <font>
      <sz val="8.0"/>
      <color rgb="FF666666"/>
      <name val="&quot;docs-Source Sans Pro&quot;"/>
    </font>
    <font>
      <color rgb="FF666666"/>
      <name val="&quot;Source Sans Pro&quot;"/>
    </font>
    <font>
      <b/>
      <i/>
      <sz val="9.0"/>
      <color rgb="FF666666"/>
      <name val="Source Sans Pro"/>
    </font>
    <font>
      <b/>
      <color theme="1"/>
      <name val="Arial"/>
      <scheme val="minor"/>
    </font>
    <font>
      <i/>
      <sz val="11.0"/>
      <color rgb="FF3C4043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496C60"/>
        <bgColor rgb="FF496C60"/>
      </patternFill>
    </fill>
    <fill>
      <patternFill patternType="solid">
        <fgColor rgb="FF8B8D8E"/>
        <bgColor rgb="FF8B8D8E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6">
    <border/>
    <border>
      <top style="dotted">
        <color rgb="FF8B8D8E"/>
      </top>
    </border>
    <border>
      <bottom style="dotted">
        <color rgb="FF8B8D8E"/>
      </bottom>
    </border>
    <border>
      <bottom style="thin">
        <color rgb="FF434343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666666"/>
      </top>
      <bottom style="thin">
        <color rgb="FF666666"/>
      </bottom>
    </border>
    <border>
      <left style="thin">
        <color rgb="FF666666"/>
      </left>
    </border>
    <border>
      <left style="hair">
        <color rgb="FF000000"/>
      </left>
    </border>
    <border>
      <bottom style="hair">
        <color rgb="FF999999"/>
      </bottom>
    </border>
    <border>
      <bottom style="double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top style="thin">
        <color rgb="FF666666"/>
      </top>
    </border>
    <border>
      <left style="hair">
        <color rgb="FF999999"/>
      </left>
    </border>
    <border>
      <right style="dotted">
        <color rgb="FF000000"/>
      </right>
      <top style="thin">
        <color rgb="FF666666"/>
      </top>
    </border>
    <border>
      <top style="dotted">
        <color rgb="FF000000"/>
      </top>
    </border>
    <border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3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0" fillId="0" fontId="6" numFmtId="0" xfId="0" applyAlignment="1" applyFont="1">
      <alignment horizontal="right" readingOrder="0" vertical="center"/>
    </xf>
    <xf borderId="2" fillId="0" fontId="7" numFmtId="0" xfId="0" applyAlignment="1" applyBorder="1" applyFont="1">
      <alignment readingOrder="0" vertical="top"/>
    </xf>
    <xf borderId="2" fillId="0" fontId="2" numFmtId="0" xfId="0" applyAlignment="1" applyBorder="1" applyFont="1">
      <alignment vertical="top"/>
    </xf>
    <xf borderId="0" fillId="0" fontId="6" numFmtId="164" xfId="0" applyAlignment="1" applyFont="1" applyNumberFormat="1">
      <alignment horizontal="right" readingOrder="0" vertical="top"/>
    </xf>
    <xf borderId="0" fillId="3" fontId="8" numFmtId="0" xfId="0" applyAlignment="1" applyFill="1" applyFont="1">
      <alignment vertical="center"/>
    </xf>
    <xf borderId="0" fillId="3" fontId="8" numFmtId="0" xfId="0" applyAlignment="1" applyFont="1">
      <alignment horizontal="right" readingOrder="0" vertical="center"/>
    </xf>
    <xf borderId="3" fillId="0" fontId="9" numFmtId="0" xfId="0" applyAlignment="1" applyBorder="1" applyFont="1">
      <alignment vertical="bottom"/>
    </xf>
    <xf borderId="3" fillId="4" fontId="10" numFmtId="0" xfId="0" applyAlignment="1" applyBorder="1" applyFill="1" applyFont="1">
      <alignment horizontal="right"/>
    </xf>
    <xf borderId="0" fillId="0" fontId="2" numFmtId="165" xfId="0" applyAlignment="1" applyFont="1" applyNumberFormat="1">
      <alignment horizontal="right" vertical="center"/>
    </xf>
    <xf borderId="0" fillId="0" fontId="2" numFmtId="165" xfId="0" applyAlignment="1" applyFont="1" applyNumberFormat="1">
      <alignment horizontal="right" readingOrder="0" vertical="center"/>
    </xf>
    <xf borderId="0" fillId="0" fontId="9" numFmtId="165" xfId="0" applyAlignment="1" applyFont="1" applyNumberFormat="1">
      <alignment vertical="bottom"/>
    </xf>
    <xf borderId="0" fillId="4" fontId="11" numFmtId="165" xfId="0" applyAlignment="1" applyFont="1" applyNumberFormat="1">
      <alignment horizontal="right"/>
    </xf>
    <xf borderId="4" fillId="2" fontId="8" numFmtId="0" xfId="0" applyAlignment="1" applyBorder="1" applyFont="1">
      <alignment readingOrder="0" vertical="center"/>
    </xf>
    <xf borderId="4" fillId="2" fontId="8" numFmtId="165" xfId="0" applyAlignment="1" applyBorder="1" applyFont="1" applyNumberFormat="1">
      <alignment horizontal="right" vertical="center"/>
    </xf>
    <xf borderId="3" fillId="0" fontId="9" numFmtId="165" xfId="0" applyAlignment="1" applyBorder="1" applyFont="1" applyNumberFormat="1">
      <alignment vertical="bottom"/>
    </xf>
    <xf borderId="3" fillId="4" fontId="10" numFmtId="165" xfId="0" applyAlignment="1" applyBorder="1" applyFont="1" applyNumberFormat="1">
      <alignment horizontal="right"/>
    </xf>
    <xf borderId="0" fillId="5" fontId="7" numFmtId="0" xfId="0" applyAlignment="1" applyFill="1" applyFont="1">
      <alignment vertical="center"/>
    </xf>
    <xf borderId="0" fillId="5" fontId="7" numFmtId="9" xfId="0" applyAlignment="1" applyFont="1" applyNumberFormat="1">
      <alignment horizontal="right" readingOrder="0" vertical="center"/>
    </xf>
    <xf borderId="0" fillId="0" fontId="9" numFmtId="0" xfId="0" applyAlignment="1" applyFont="1">
      <alignment vertical="bottom"/>
    </xf>
    <xf borderId="0" fillId="4" fontId="12" numFmtId="9" xfId="0" applyAlignment="1" applyFont="1" applyNumberFormat="1">
      <alignment horizontal="right" readingOrder="0"/>
    </xf>
    <xf borderId="4" fillId="2" fontId="8" numFmtId="0" xfId="0" applyAlignment="1" applyBorder="1" applyFont="1">
      <alignment vertical="center"/>
    </xf>
    <xf borderId="0" fillId="0" fontId="6" numFmtId="0" xfId="0" applyAlignment="1" applyFont="1">
      <alignment readingOrder="0" vertical="center"/>
    </xf>
    <xf borderId="0" fillId="0" fontId="6" numFmtId="165" xfId="0" applyAlignment="1" applyFont="1" applyNumberFormat="1">
      <alignment vertical="center"/>
    </xf>
    <xf borderId="0" fillId="0" fontId="13" numFmtId="0" xfId="0" applyFont="1"/>
    <xf borderId="0" fillId="0" fontId="13" numFmtId="165" xfId="0" applyFont="1" applyNumberFormat="1"/>
    <xf borderId="0" fillId="3" fontId="8" numFmtId="0" xfId="0" applyAlignment="1" applyFont="1">
      <alignment readingOrder="0" vertical="center"/>
    </xf>
    <xf borderId="2" fillId="0" fontId="2" numFmtId="0" xfId="0" applyAlignment="1" applyBorder="1" applyFont="1">
      <alignment vertical="center"/>
    </xf>
    <xf borderId="0" fillId="0" fontId="2" numFmtId="4" xfId="0" applyAlignment="1" applyFont="1" applyNumberFormat="1">
      <alignment readingOrder="0" vertical="center"/>
    </xf>
    <xf borderId="0" fillId="0" fontId="2" numFmtId="0" xfId="0" applyAlignment="1" applyFont="1">
      <alignment horizontal="right" vertical="center"/>
    </xf>
    <xf quotePrefix="1" borderId="0" fillId="0" fontId="7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0" fontId="2" numFmtId="0" xfId="0" applyFont="1"/>
    <xf borderId="0" fillId="4" fontId="1" numFmtId="0" xfId="0" applyAlignment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3" fontId="8" numFmtId="0" xfId="0" applyAlignment="1" applyFont="1">
      <alignment horizontal="center" readingOrder="0" vertical="center"/>
    </xf>
    <xf borderId="0" fillId="0" fontId="2" numFmtId="49" xfId="0" applyAlignment="1" applyFont="1" applyNumberFormat="1">
      <alignment horizontal="left" vertical="center"/>
    </xf>
    <xf borderId="0" fillId="0" fontId="2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vertical="center"/>
    </xf>
    <xf borderId="0" fillId="0" fontId="2" numFmtId="49" xfId="0" applyAlignment="1" applyFont="1" applyNumberFormat="1">
      <alignment horizontal="left" readingOrder="0" vertical="center"/>
    </xf>
    <xf borderId="0" fillId="0" fontId="2" numFmtId="165" xfId="0" applyAlignment="1" applyFont="1" applyNumberFormat="1">
      <alignment readingOrder="0" vertical="center"/>
    </xf>
    <xf borderId="0" fillId="0" fontId="2" numFmtId="49" xfId="0" applyAlignment="1" applyFont="1" applyNumberFormat="1">
      <alignment readingOrder="0" vertical="center"/>
    </xf>
    <xf borderId="4" fillId="2" fontId="8" numFmtId="166" xfId="0" applyAlignment="1" applyBorder="1" applyFont="1" applyNumberFormat="1">
      <alignment readingOrder="0" vertical="center"/>
    </xf>
    <xf borderId="4" fillId="2" fontId="8" numFmtId="0" xfId="0" applyAlignment="1" applyBorder="1" applyFont="1">
      <alignment horizontal="center" vertical="center"/>
    </xf>
    <xf borderId="4" fillId="2" fontId="8" numFmtId="165" xfId="0" applyAlignment="1" applyBorder="1" applyFont="1" applyNumberFormat="1">
      <alignment vertical="center"/>
    </xf>
    <xf borderId="0" fillId="3" fontId="8" numFmtId="165" xfId="0" applyAlignment="1" applyFont="1" applyNumberFormat="1">
      <alignment horizontal="right" readingOrder="0" vertical="center"/>
    </xf>
    <xf borderId="0" fillId="3" fontId="8" numFmtId="165" xfId="0" applyAlignment="1" applyFont="1" applyNumberFormat="1">
      <alignment readingOrder="0" vertical="center"/>
    </xf>
    <xf borderId="0" fillId="0" fontId="1" numFmtId="165" xfId="0" applyAlignment="1" applyFont="1" applyNumberFormat="1">
      <alignment horizontal="right" vertical="center"/>
    </xf>
    <xf borderId="0" fillId="0" fontId="4" numFmtId="165" xfId="0" applyAlignment="1" applyFont="1" applyNumberFormat="1">
      <alignment vertical="center"/>
    </xf>
    <xf borderId="0" fillId="5" fontId="2" numFmtId="0" xfId="0" applyAlignment="1" applyFont="1">
      <alignment vertical="center"/>
    </xf>
    <xf borderId="0" fillId="5" fontId="1" numFmtId="165" xfId="0" applyAlignment="1" applyFont="1" applyNumberFormat="1">
      <alignment horizontal="right" vertical="center"/>
    </xf>
    <xf borderId="0" fillId="5" fontId="4" numFmtId="165" xfId="0" applyAlignment="1" applyFont="1" applyNumberFormat="1">
      <alignment vertical="center"/>
    </xf>
    <xf borderId="0" fillId="5" fontId="2" numFmtId="165" xfId="0" applyAlignment="1" applyFont="1" applyNumberFormat="1">
      <alignment horizontal="right" readingOrder="0" vertical="center"/>
    </xf>
    <xf borderId="0" fillId="5" fontId="2" numFmtId="165" xfId="0" applyAlignment="1" applyFont="1" applyNumberFormat="1">
      <alignment horizontal="right" vertical="center"/>
    </xf>
    <xf borderId="0" fillId="2" fontId="8" numFmtId="0" xfId="0" applyAlignment="1" applyFont="1">
      <alignment readingOrder="0" vertical="center"/>
    </xf>
    <xf borderId="0" fillId="2" fontId="8" numFmtId="165" xfId="0" applyAlignment="1" applyFont="1" applyNumberFormat="1">
      <alignment vertical="center"/>
    </xf>
    <xf borderId="0" fillId="2" fontId="8" numFmtId="165" xfId="0" applyAlignment="1" applyFont="1" applyNumberFormat="1">
      <alignment readingOrder="0"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readingOrder="0" vertical="center"/>
    </xf>
    <xf borderId="0" fillId="0" fontId="17" numFmtId="0" xfId="0" applyAlignment="1" applyFont="1">
      <alignment readingOrder="0" vertical="center"/>
    </xf>
    <xf borderId="0" fillId="0" fontId="18" numFmtId="0" xfId="0" applyAlignment="1" applyFont="1">
      <alignment readingOrder="0" vertical="center"/>
    </xf>
    <xf borderId="0" fillId="0" fontId="19" numFmtId="0" xfId="0" applyAlignment="1" applyFont="1">
      <alignment readingOrder="0" shrinkToFit="0" vertical="top" wrapText="1"/>
    </xf>
    <xf borderId="0" fillId="0" fontId="18" numFmtId="0" xfId="0" applyAlignment="1" applyFont="1">
      <alignment vertical="center"/>
    </xf>
    <xf borderId="5" fillId="0" fontId="20" numFmtId="0" xfId="0" applyAlignment="1" applyBorder="1" applyFont="1">
      <alignment readingOrder="0" vertical="center"/>
    </xf>
    <xf borderId="5" fillId="0" fontId="20" numFmtId="0" xfId="0" applyAlignment="1" applyBorder="1" applyFont="1">
      <alignment readingOrder="0" shrinkToFit="0" vertical="center" wrapText="1"/>
    </xf>
    <xf borderId="5" fillId="0" fontId="15" numFmtId="0" xfId="0" applyAlignment="1" applyBorder="1" applyFont="1">
      <alignment vertical="center"/>
    </xf>
    <xf borderId="0" fillId="5" fontId="19" numFmtId="0" xfId="0" applyAlignment="1" applyFont="1">
      <alignment readingOrder="0" vertical="center"/>
    </xf>
    <xf borderId="0" fillId="5" fontId="21" numFmtId="0" xfId="0" applyAlignment="1" applyFont="1">
      <alignment readingOrder="0" vertical="center"/>
    </xf>
    <xf borderId="0" fillId="5" fontId="19" numFmtId="0" xfId="0" applyAlignment="1" applyFont="1">
      <alignment vertical="center"/>
    </xf>
    <xf borderId="0" fillId="7" fontId="19" numFmtId="0" xfId="0" applyAlignment="1" applyFill="1" applyFont="1">
      <alignment readingOrder="0" vertical="center"/>
    </xf>
    <xf borderId="0" fillId="0" fontId="15" numFmtId="167" xfId="0" applyAlignment="1" applyFont="1" applyNumberFormat="1">
      <alignment horizontal="center" vertical="center"/>
    </xf>
    <xf borderId="0" fillId="0" fontId="15" numFmtId="4" xfId="0" applyAlignment="1" applyFont="1" applyNumberFormat="1">
      <alignment horizontal="center" vertical="center"/>
    </xf>
    <xf borderId="0" fillId="0" fontId="15" numFmtId="0" xfId="0" applyAlignment="1" applyFont="1">
      <alignment horizontal="right" vertical="center"/>
    </xf>
    <xf borderId="0" fillId="0" fontId="15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18" numFmtId="167" xfId="0" applyAlignment="1" applyFont="1" applyNumberFormat="1">
      <alignment horizontal="center" vertical="center"/>
    </xf>
    <xf borderId="0" fillId="0" fontId="15" numFmtId="0" xfId="0" applyAlignment="1" applyFont="1">
      <alignment horizontal="center" readingOrder="0" vertical="center"/>
    </xf>
    <xf borderId="6" fillId="0" fontId="19" numFmtId="0" xfId="0" applyAlignment="1" applyBorder="1" applyFont="1">
      <alignment readingOrder="0" vertical="center"/>
    </xf>
    <xf borderId="0" fillId="0" fontId="15" numFmtId="0" xfId="0" applyAlignment="1" applyFont="1">
      <alignment horizontal="right" readingOrder="0" vertical="center"/>
    </xf>
    <xf borderId="6" fillId="0" fontId="15" numFmtId="0" xfId="0" applyAlignment="1" applyBorder="1" applyFont="1">
      <alignment vertical="center"/>
    </xf>
    <xf borderId="0" fillId="0" fontId="21" numFmtId="165" xfId="0" applyAlignment="1" applyFont="1" applyNumberFormat="1">
      <alignment horizontal="right" vertical="center"/>
    </xf>
    <xf borderId="5" fillId="0" fontId="20" numFmtId="0" xfId="0" applyAlignment="1" applyBorder="1" applyFont="1">
      <alignment horizontal="right" readingOrder="0" vertical="center"/>
    </xf>
    <xf borderId="0" fillId="5" fontId="19" numFmtId="167" xfId="0" applyAlignment="1" applyFont="1" applyNumberFormat="1">
      <alignment horizontal="center" vertical="center"/>
    </xf>
    <xf borderId="0" fillId="5" fontId="19" numFmtId="167" xfId="0" applyAlignment="1" applyFont="1" applyNumberFormat="1">
      <alignment horizontal="center" readingOrder="0" vertical="center"/>
    </xf>
    <xf borderId="0" fillId="5" fontId="19" numFmtId="4" xfId="0" applyAlignment="1" applyFont="1" applyNumberFormat="1">
      <alignment horizontal="center" readingOrder="0" vertical="center"/>
    </xf>
    <xf borderId="0" fillId="5" fontId="19" numFmtId="0" xfId="0" applyAlignment="1" applyFont="1">
      <alignment readingOrder="0" shrinkToFit="0" vertical="center" wrapText="1"/>
    </xf>
    <xf borderId="0" fillId="0" fontId="19" numFmtId="165" xfId="0" applyAlignment="1" applyFont="1" applyNumberFormat="1">
      <alignment horizontal="right" readingOrder="0" vertical="center"/>
    </xf>
    <xf borderId="0" fillId="0" fontId="19" numFmtId="165" xfId="0" applyAlignment="1" applyFont="1" applyNumberFormat="1">
      <alignment horizontal="right" vertical="center"/>
    </xf>
    <xf borderId="0" fillId="0" fontId="19" numFmtId="0" xfId="0" applyAlignment="1" applyFont="1">
      <alignment horizontal="center" vertical="center"/>
    </xf>
    <xf borderId="0" fillId="5" fontId="19" numFmtId="0" xfId="0" applyAlignment="1" applyFont="1">
      <alignment shrinkToFit="0" vertical="center" wrapText="1"/>
    </xf>
    <xf borderId="0" fillId="5" fontId="19" numFmtId="168" xfId="0" applyAlignment="1" applyFont="1" applyNumberFormat="1">
      <alignment horizontal="center" readingOrder="0" vertical="center"/>
    </xf>
    <xf borderId="0" fillId="5" fontId="19" numFmtId="0" xfId="0" applyAlignment="1" applyFont="1">
      <alignment vertical="center"/>
    </xf>
    <xf borderId="0" fillId="5" fontId="19" numFmtId="4" xfId="0" applyAlignment="1" applyFont="1" applyNumberFormat="1">
      <alignment horizontal="center" vertical="center"/>
    </xf>
    <xf borderId="0" fillId="5" fontId="22" numFmtId="0" xfId="0" applyAlignment="1" applyFont="1">
      <alignment shrinkToFit="0" vertical="bottom" wrapText="1"/>
    </xf>
    <xf borderId="0" fillId="5" fontId="19" numFmtId="0" xfId="0" applyAlignment="1" applyFont="1">
      <alignment shrinkToFit="0" vertical="center" wrapText="1"/>
    </xf>
    <xf borderId="0" fillId="5" fontId="19" numFmtId="46" xfId="0" applyAlignment="1" applyFont="1" applyNumberFormat="1">
      <alignment vertical="center"/>
    </xf>
    <xf borderId="0" fillId="5" fontId="19" numFmtId="0" xfId="0" applyAlignment="1" applyFont="1">
      <alignment horizontal="center" readingOrder="0" vertical="center"/>
    </xf>
    <xf borderId="0" fillId="0" fontId="23" numFmtId="0" xfId="0" applyFont="1"/>
    <xf borderId="0" fillId="0" fontId="23" numFmtId="0" xfId="0" applyAlignment="1" applyFont="1">
      <alignment horizontal="left"/>
    </xf>
    <xf borderId="0" fillId="0" fontId="23" numFmtId="165" xfId="0" applyFont="1" applyNumberFormat="1"/>
    <xf borderId="0" fillId="0" fontId="23" numFmtId="3" xfId="0" applyFont="1" applyNumberFormat="1"/>
    <xf borderId="0" fillId="0" fontId="23" numFmtId="0" xfId="0" applyAlignment="1" applyFont="1">
      <alignment horizontal="left" readingOrder="0"/>
    </xf>
    <xf borderId="0" fillId="0" fontId="15" numFmtId="0" xfId="0" applyAlignment="1" applyFont="1">
      <alignment horizontal="left" vertical="center"/>
    </xf>
    <xf borderId="0" fillId="0" fontId="18" numFmtId="0" xfId="0" applyAlignment="1" applyFont="1">
      <alignment horizontal="left" vertical="center"/>
    </xf>
    <xf borderId="0" fillId="0" fontId="18" numFmtId="0" xfId="0" applyAlignment="1" applyFont="1">
      <alignment horizontal="left" readingOrder="0" vertical="center"/>
    </xf>
    <xf borderId="0" fillId="0" fontId="15" numFmtId="0" xfId="0" applyAlignment="1" applyFont="1">
      <alignment readingOrder="0" vertical="center"/>
    </xf>
    <xf borderId="0" fillId="0" fontId="19" numFmtId="0" xfId="0" applyAlignment="1" applyFont="1">
      <alignment readingOrder="0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0" fillId="0" fontId="19" numFmtId="4" xfId="0" applyAlignment="1" applyFont="1" applyNumberFormat="1">
      <alignment horizontal="right" vertical="center"/>
    </xf>
    <xf borderId="0" fillId="0" fontId="19" numFmtId="46" xfId="0" applyAlignment="1" applyFont="1" applyNumberFormat="1">
      <alignment horizontal="right" vertical="center"/>
    </xf>
    <xf borderId="5" fillId="0" fontId="20" numFmtId="0" xfId="0" applyAlignment="1" applyBorder="1" applyFont="1">
      <alignment horizontal="left" readingOrder="0" vertical="center"/>
    </xf>
    <xf borderId="5" fillId="0" fontId="20" numFmtId="165" xfId="0" applyAlignment="1" applyBorder="1" applyFont="1" applyNumberFormat="1">
      <alignment horizontal="right" readingOrder="0" vertical="center"/>
    </xf>
    <xf borderId="0" fillId="0" fontId="20" numFmtId="165" xfId="0" applyAlignment="1" applyFont="1" applyNumberFormat="1">
      <alignment horizontal="right" readingOrder="0" vertical="center"/>
    </xf>
    <xf borderId="0" fillId="0" fontId="19" numFmtId="0" xfId="0" applyAlignment="1" applyFont="1">
      <alignment readingOrder="0" vertical="center"/>
    </xf>
    <xf borderId="0" fillId="5" fontId="19" numFmtId="165" xfId="0" applyAlignment="1" applyFont="1" applyNumberFormat="1">
      <alignment readingOrder="0" shrinkToFit="0" vertical="center" wrapText="1"/>
    </xf>
    <xf borderId="0" fillId="5" fontId="19" numFmtId="165" xfId="0" applyAlignment="1" applyFont="1" applyNumberFormat="1">
      <alignment shrinkToFit="0" vertical="center" wrapText="1"/>
    </xf>
    <xf borderId="0" fillId="5" fontId="19" numFmtId="165" xfId="0" applyAlignment="1" applyFont="1" applyNumberFormat="1">
      <alignment horizontal="left" vertical="center"/>
    </xf>
    <xf borderId="0" fillId="5" fontId="19" numFmtId="165" xfId="0" applyAlignment="1" applyFont="1" applyNumberFormat="1">
      <alignment horizontal="left" readingOrder="0" shrinkToFit="0" vertical="center" wrapText="1"/>
    </xf>
    <xf borderId="0" fillId="5" fontId="19" numFmtId="165" xfId="0" applyAlignment="1" applyFont="1" applyNumberFormat="1">
      <alignment horizontal="right" readingOrder="0" vertical="center"/>
    </xf>
    <xf borderId="0" fillId="0" fontId="19" numFmtId="10" xfId="0" applyAlignment="1" applyFont="1" applyNumberFormat="1">
      <alignment horizontal="right" vertical="center"/>
    </xf>
    <xf borderId="0" fillId="0" fontId="24" numFmtId="165" xfId="0" applyAlignment="1" applyFont="1" applyNumberFormat="1">
      <alignment vertical="center"/>
    </xf>
    <xf borderId="0" fillId="0" fontId="24" numFmtId="165" xfId="0" applyAlignment="1" applyFont="1" applyNumberFormat="1">
      <alignment readingOrder="0" vertical="center"/>
    </xf>
    <xf borderId="0" fillId="5" fontId="19" numFmtId="165" xfId="0" applyAlignment="1" applyFont="1" applyNumberFormat="1">
      <alignment horizontal="left" readingOrder="0" vertical="center"/>
    </xf>
    <xf borderId="0" fillId="0" fontId="19" numFmtId="0" xfId="0" applyAlignment="1" applyFont="1">
      <alignment vertical="center"/>
    </xf>
    <xf borderId="0" fillId="0" fontId="24" numFmtId="0" xfId="0" applyFont="1"/>
    <xf borderId="0" fillId="0" fontId="21" numFmtId="165" xfId="0" applyAlignment="1" applyFont="1" applyNumberFormat="1">
      <alignment horizontal="center" vertical="center"/>
    </xf>
    <xf borderId="0" fillId="0" fontId="21" numFmtId="165" xfId="0" applyAlignment="1" applyFont="1" applyNumberFormat="1">
      <alignment vertical="center"/>
    </xf>
    <xf borderId="0" fillId="0" fontId="19" numFmtId="0" xfId="0" applyAlignment="1" applyFont="1">
      <alignment horizontal="right" readingOrder="0" vertical="center"/>
    </xf>
    <xf borderId="0" fillId="0" fontId="25" numFmtId="169" xfId="0" applyAlignment="1" applyFont="1" applyNumberFormat="1">
      <alignment horizontal="right" vertical="center"/>
    </xf>
    <xf borderId="0" fillId="0" fontId="21" numFmtId="165" xfId="0" applyAlignment="1" applyFont="1" applyNumberFormat="1">
      <alignment readingOrder="0" vertical="center"/>
    </xf>
    <xf borderId="0" fillId="0" fontId="19" numFmtId="10" xfId="0" applyAlignment="1" applyFont="1" applyNumberFormat="1">
      <alignment horizontal="right" readingOrder="0" vertical="center"/>
    </xf>
    <xf borderId="0" fillId="0" fontId="21" numFmtId="0" xfId="0" applyAlignment="1" applyFont="1">
      <alignment shrinkToFit="0" vertical="center" wrapText="0"/>
    </xf>
    <xf borderId="0" fillId="0" fontId="26" numFmtId="0" xfId="0" applyAlignment="1" applyFont="1">
      <alignment vertical="bottom"/>
    </xf>
    <xf borderId="0" fillId="0" fontId="19" numFmtId="169" xfId="0" applyAlignment="1" applyFont="1" applyNumberFormat="1">
      <alignment horizontal="right" readingOrder="0"/>
    </xf>
    <xf borderId="7" fillId="0" fontId="27" numFmtId="0" xfId="0" applyAlignment="1" applyBorder="1" applyFont="1">
      <alignment horizontal="left" readingOrder="0" vertical="bottom"/>
    </xf>
    <xf borderId="0" fillId="0" fontId="19" numFmtId="169" xfId="0" applyAlignment="1" applyFont="1" applyNumberFormat="1">
      <alignment horizontal="right" readingOrder="0" vertical="bottom"/>
    </xf>
    <xf borderId="7" fillId="0" fontId="24" numFmtId="0" xfId="0" applyBorder="1" applyFont="1"/>
    <xf borderId="8" fillId="0" fontId="26" numFmtId="0" xfId="0" applyAlignment="1" applyBorder="1" applyFont="1">
      <alignment vertical="bottom"/>
    </xf>
    <xf borderId="8" fillId="0" fontId="19" numFmtId="169" xfId="0" applyAlignment="1" applyBorder="1" applyFont="1" applyNumberFormat="1">
      <alignment horizontal="right" readingOrder="0" vertical="bottom"/>
    </xf>
    <xf borderId="0" fillId="0" fontId="28" numFmtId="0" xfId="0" applyAlignment="1" applyFont="1">
      <alignment vertical="bottom"/>
    </xf>
    <xf borderId="0" fillId="8" fontId="29" numFmtId="169" xfId="0" applyFill="1" applyFont="1" applyNumberFormat="1"/>
    <xf borderId="0" fillId="0" fontId="28" numFmtId="169" xfId="0" applyAlignment="1" applyFont="1" applyNumberFormat="1">
      <alignment horizontal="right" readingOrder="0" vertical="bottom"/>
    </xf>
    <xf borderId="0" fillId="0" fontId="28" numFmtId="169" xfId="0" applyAlignment="1" applyFont="1" applyNumberFormat="1">
      <alignment horizontal="right" vertical="bottom"/>
    </xf>
    <xf borderId="9" fillId="0" fontId="28" numFmtId="0" xfId="0" applyAlignment="1" applyBorder="1" applyFont="1">
      <alignment vertical="bottom"/>
    </xf>
    <xf borderId="9" fillId="0" fontId="28" numFmtId="169" xfId="0" applyAlignment="1" applyBorder="1" applyFont="1" applyNumberFormat="1">
      <alignment horizontal="right" vertical="bottom"/>
    </xf>
    <xf borderId="0" fillId="0" fontId="24" numFmtId="169" xfId="0" applyAlignment="1" applyFont="1" applyNumberFormat="1">
      <alignment horizontal="right" vertical="center"/>
    </xf>
    <xf borderId="0" fillId="0" fontId="24" numFmtId="169" xfId="0" applyAlignment="1" applyFont="1" applyNumberFormat="1">
      <alignment horizontal="right" readingOrder="0" vertical="center"/>
    </xf>
    <xf borderId="0" fillId="0" fontId="30" numFmtId="0" xfId="0" applyAlignment="1" applyFont="1">
      <alignment readingOrder="0" vertical="bottom"/>
    </xf>
    <xf borderId="0" fillId="0" fontId="30" numFmtId="169" xfId="0" applyAlignment="1" applyFont="1" applyNumberFormat="1">
      <alignment horizontal="right" vertical="bottom"/>
    </xf>
    <xf borderId="0" fillId="0" fontId="24" numFmtId="0" xfId="0" applyAlignment="1" applyFont="1">
      <alignment vertical="center"/>
    </xf>
    <xf borderId="0" fillId="0" fontId="31" numFmtId="165" xfId="0" applyAlignment="1" applyFont="1" applyNumberFormat="1">
      <alignment horizontal="center" vertical="center"/>
    </xf>
    <xf borderId="0" fillId="0" fontId="25" numFmtId="165" xfId="0" applyAlignment="1" applyFont="1" applyNumberFormat="1">
      <alignment vertical="center"/>
    </xf>
    <xf borderId="0" fillId="0" fontId="24" numFmtId="10" xfId="0" applyAlignment="1" applyFont="1" applyNumberFormat="1">
      <alignment horizontal="right" vertical="center"/>
    </xf>
    <xf borderId="5" fillId="0" fontId="20" numFmtId="168" xfId="0" applyAlignment="1" applyBorder="1" applyFont="1" applyNumberFormat="1">
      <alignment horizontal="right" readingOrder="0" vertical="center"/>
    </xf>
    <xf borderId="5" fillId="0" fontId="20" numFmtId="170" xfId="0" applyAlignment="1" applyBorder="1" applyFont="1" applyNumberFormat="1">
      <alignment horizontal="right" readingOrder="0" vertical="center"/>
    </xf>
    <xf borderId="0" fillId="0" fontId="19" numFmtId="165" xfId="0" applyAlignment="1" applyFont="1" applyNumberFormat="1">
      <alignment readingOrder="0" vertical="center"/>
    </xf>
    <xf borderId="0" fillId="8" fontId="28" numFmtId="165" xfId="0" applyAlignment="1" applyFont="1" applyNumberFormat="1">
      <alignment horizontal="right"/>
    </xf>
    <xf borderId="0" fillId="0" fontId="19" numFmtId="165" xfId="0" applyAlignment="1" applyFont="1" applyNumberFormat="1">
      <alignment horizontal="left" readingOrder="0" vertical="center"/>
    </xf>
    <xf borderId="0" fillId="0" fontId="19" numFmtId="165" xfId="0" applyAlignment="1" applyFont="1" applyNumberFormat="1">
      <alignment horizontal="left" readingOrder="0" shrinkToFit="0" vertical="center" wrapText="1"/>
    </xf>
    <xf borderId="0" fillId="0" fontId="25" numFmtId="0" xfId="0" applyAlignment="1" applyFont="1">
      <alignment vertical="center"/>
    </xf>
    <xf borderId="0" fillId="0" fontId="19" numFmtId="9" xfId="0" applyAlignment="1" applyFont="1" applyNumberFormat="1">
      <alignment horizontal="right" readingOrder="0" vertical="center"/>
    </xf>
    <xf borderId="0" fillId="0" fontId="19" numFmtId="167" xfId="0" applyAlignment="1" applyFont="1" applyNumberFormat="1">
      <alignment horizontal="left" readingOrder="0" vertical="center"/>
    </xf>
    <xf borderId="0" fillId="0" fontId="19" numFmtId="0" xfId="0" applyAlignment="1" applyFont="1">
      <alignment horizontal="left" readingOrder="0" vertical="center"/>
    </xf>
    <xf borderId="0" fillId="0" fontId="19" numFmtId="168" xfId="0" applyAlignment="1" applyFont="1" applyNumberFormat="1">
      <alignment horizontal="left" readingOrder="0" vertical="center"/>
    </xf>
    <xf borderId="0" fillId="0" fontId="19" numFmtId="170" xfId="0" applyAlignment="1" applyFont="1" applyNumberFormat="1">
      <alignment horizontal="left" readingOrder="0" vertical="center"/>
    </xf>
    <xf borderId="0" fillId="0" fontId="18" numFmtId="0" xfId="0" applyAlignment="1" applyFont="1">
      <alignment horizontal="right" vertical="center"/>
    </xf>
    <xf borderId="0" fillId="0" fontId="17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top" wrapText="0"/>
    </xf>
    <xf borderId="0" fillId="0" fontId="19" numFmtId="0" xfId="0" applyAlignment="1" applyFont="1">
      <alignment horizontal="right" readingOrder="0" shrinkToFit="0" vertical="top" wrapText="1"/>
    </xf>
    <xf borderId="0" fillId="0" fontId="19" numFmtId="167" xfId="0" applyAlignment="1" applyFont="1" applyNumberFormat="1">
      <alignment horizontal="center" readingOrder="0" shrinkToFit="0" vertical="top" wrapText="1"/>
    </xf>
    <xf borderId="0" fillId="0" fontId="15" numFmtId="4" xfId="0" applyAlignment="1" applyFont="1" applyNumberFormat="1">
      <alignment horizontal="right" vertical="center"/>
    </xf>
    <xf borderId="5" fillId="0" fontId="20" numFmtId="0" xfId="0" applyAlignment="1" applyBorder="1" applyFont="1">
      <alignment horizontal="center" readingOrder="0" vertical="center"/>
    </xf>
    <xf borderId="5" fillId="0" fontId="20" numFmtId="167" xfId="0" applyAlignment="1" applyBorder="1" applyFont="1" applyNumberFormat="1">
      <alignment horizontal="center" readingOrder="0" vertical="center"/>
    </xf>
    <xf borderId="5" fillId="0" fontId="21" numFmtId="0" xfId="0" applyAlignment="1" applyBorder="1" applyFont="1">
      <alignment horizontal="center" readingOrder="0" vertical="center"/>
    </xf>
    <xf borderId="0" fillId="5" fontId="19" numFmtId="0" xfId="0" applyAlignment="1" applyFont="1">
      <alignment horizontal="center" vertical="center"/>
    </xf>
    <xf borderId="0" fillId="5" fontId="19" numFmtId="0" xfId="0" applyAlignment="1" applyFont="1">
      <alignment horizontal="right" vertical="center"/>
    </xf>
    <xf borderId="0" fillId="5" fontId="19" numFmtId="165" xfId="0" applyAlignment="1" applyFont="1" applyNumberFormat="1">
      <alignment vertical="center"/>
    </xf>
    <xf borderId="0" fillId="8" fontId="19" numFmtId="0" xfId="0" applyAlignment="1" applyFont="1">
      <alignment vertical="center"/>
    </xf>
    <xf borderId="0" fillId="5" fontId="32" numFmtId="165" xfId="0" applyAlignment="1" applyFont="1" applyNumberFormat="1">
      <alignment readingOrder="0" vertical="center"/>
    </xf>
    <xf borderId="0" fillId="5" fontId="33" numFmtId="165" xfId="0" applyAlignment="1" applyFont="1" applyNumberFormat="1">
      <alignment readingOrder="0" vertical="center"/>
    </xf>
    <xf borderId="0" fillId="5" fontId="19" numFmtId="4" xfId="0" applyAlignment="1" applyFont="1" applyNumberFormat="1">
      <alignment vertical="center"/>
    </xf>
    <xf borderId="0" fillId="5" fontId="19" numFmtId="4" xfId="0" applyAlignment="1" applyFont="1" applyNumberFormat="1">
      <alignment horizontal="right" vertical="center"/>
    </xf>
    <xf borderId="0" fillId="5" fontId="19" numFmtId="0" xfId="0" applyAlignment="1" applyFont="1">
      <alignment horizontal="right" readingOrder="0" vertical="center"/>
    </xf>
    <xf borderId="0" fillId="5" fontId="19" numFmtId="165" xfId="0" applyAlignment="1" applyFont="1" applyNumberFormat="1">
      <alignment readingOrder="0" vertical="center"/>
    </xf>
    <xf borderId="10" fillId="0" fontId="18" numFmtId="0" xfId="0" applyAlignment="1" applyBorder="1" applyFont="1">
      <alignment vertical="center"/>
    </xf>
    <xf borderId="0" fillId="5" fontId="18" numFmtId="0" xfId="0" applyAlignment="1" applyFont="1">
      <alignment readingOrder="0" vertical="center"/>
    </xf>
    <xf borderId="0" fillId="0" fontId="34" numFmtId="0" xfId="0" applyFont="1"/>
    <xf borderId="11" fillId="0" fontId="9" numFmtId="0" xfId="0" applyBorder="1" applyFont="1"/>
    <xf borderId="0" fillId="0" fontId="9" numFmtId="0" xfId="0" applyFont="1"/>
    <xf borderId="0" fillId="5" fontId="35" numFmtId="0" xfId="0" applyAlignment="1" applyFont="1">
      <alignment shrinkToFit="0" wrapText="1"/>
    </xf>
    <xf borderId="0" fillId="0" fontId="36" numFmtId="0" xfId="0" applyAlignment="1" applyFont="1">
      <alignment readingOrder="0" vertical="center"/>
    </xf>
    <xf borderId="0" fillId="0" fontId="34" numFmtId="0" xfId="0" applyAlignment="1" applyFont="1">
      <alignment shrinkToFit="0" wrapText="0"/>
    </xf>
    <xf borderId="0" fillId="5" fontId="35" numFmtId="0" xfId="0" applyAlignment="1" applyFont="1">
      <alignment readingOrder="0"/>
    </xf>
    <xf borderId="0" fillId="0" fontId="9" numFmtId="0" xfId="0" applyFont="1"/>
    <xf borderId="0" fillId="5" fontId="35" numFmtId="0" xfId="0" applyAlignment="1" applyFont="1">
      <alignment readingOrder="0" shrinkToFit="0" vertical="bottom" wrapText="1"/>
    </xf>
    <xf borderId="0" fillId="0" fontId="37" numFmtId="0" xfId="0" applyAlignment="1" applyFont="1">
      <alignment vertical="center"/>
    </xf>
    <xf borderId="0" fillId="0" fontId="38" numFmtId="0" xfId="0" applyAlignment="1" applyFont="1">
      <alignment vertical="center"/>
    </xf>
    <xf borderId="0" fillId="5" fontId="35" numFmtId="0" xfId="0" applyFont="1"/>
    <xf borderId="0" fillId="0" fontId="9" numFmtId="0" xfId="0" applyAlignment="1" applyFont="1">
      <alignment vertical="bottom"/>
    </xf>
    <xf borderId="0" fillId="0" fontId="19" numFmtId="0" xfId="0" applyAlignment="1" applyFont="1">
      <alignment readingOrder="0" vertical="top"/>
    </xf>
    <xf borderId="0" fillId="0" fontId="19" numFmtId="0" xfId="0" applyAlignment="1" applyFont="1">
      <alignment vertical="top"/>
    </xf>
    <xf borderId="0" fillId="0" fontId="36" numFmtId="0" xfId="0" applyAlignment="1" applyFont="1">
      <alignment readingOrder="0" vertical="top"/>
    </xf>
    <xf borderId="0" fillId="0" fontId="39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vertical="center"/>
    </xf>
    <xf borderId="12" fillId="0" fontId="18" numFmtId="0" xfId="0" applyAlignment="1" applyBorder="1" applyFont="1">
      <alignment readingOrder="0" vertical="center"/>
    </xf>
    <xf borderId="13" fillId="0" fontId="18" numFmtId="0" xfId="0" applyAlignment="1" applyBorder="1" applyFont="1">
      <alignment readingOrder="0" vertical="center"/>
    </xf>
    <xf borderId="12" fillId="0" fontId="18" numFmtId="0" xfId="0" applyAlignment="1" applyBorder="1" applyFont="1">
      <alignment horizontal="center" readingOrder="0" vertical="center"/>
    </xf>
    <xf borderId="14" fillId="0" fontId="40" numFmtId="0" xfId="0" applyBorder="1" applyFont="1"/>
    <xf borderId="0" fillId="0" fontId="37" numFmtId="0" xfId="0" applyFont="1"/>
    <xf borderId="0" fillId="0" fontId="41" numFmtId="0" xfId="0" applyAlignment="1" applyFont="1">
      <alignment readingOrder="0" vertical="center"/>
    </xf>
    <xf borderId="0" fillId="0" fontId="39" numFmtId="0" xfId="0" applyAlignment="1" applyFont="1">
      <alignment readingOrder="0" shrinkToFit="0" vertical="top" wrapText="1"/>
    </xf>
    <xf borderId="15" fillId="5" fontId="35" numFmtId="0" xfId="0" applyAlignment="1" applyBorder="1" applyFont="1">
      <alignment readingOrder="0" vertical="bottom"/>
    </xf>
    <xf borderId="16" fillId="5" fontId="35" numFmtId="0" xfId="0" applyAlignment="1" applyBorder="1" applyFont="1">
      <alignment readingOrder="0" vertical="bottom"/>
    </xf>
    <xf borderId="16" fillId="5" fontId="35" numFmtId="0" xfId="0" applyAlignment="1" applyBorder="1" applyFont="1">
      <alignment readingOrder="0"/>
    </xf>
    <xf borderId="17" fillId="5" fontId="35" numFmtId="0" xfId="0" applyAlignment="1" applyBorder="1" applyFont="1">
      <alignment readingOrder="0" vertical="bottom"/>
    </xf>
    <xf borderId="18" fillId="5" fontId="35" numFmtId="0" xfId="0" applyAlignment="1" applyBorder="1" applyFont="1">
      <alignment readingOrder="0"/>
    </xf>
    <xf borderId="18" fillId="5" fontId="35" numFmtId="0" xfId="0" applyAlignment="1" applyBorder="1" applyFont="1">
      <alignment readingOrder="0" vertical="bottom"/>
    </xf>
    <xf borderId="17" fillId="5" fontId="35" numFmtId="0" xfId="0" applyAlignment="1" applyBorder="1" applyFont="1">
      <alignment vertical="bottom"/>
    </xf>
    <xf borderId="17" fillId="5" fontId="35" numFmtId="0" xfId="0" applyAlignment="1" applyBorder="1" applyFont="1">
      <alignment readingOrder="0"/>
    </xf>
    <xf borderId="18" fillId="5" fontId="35" numFmtId="0" xfId="0" applyBorder="1" applyFont="1"/>
    <xf borderId="0" fillId="0" fontId="18" numFmtId="0" xfId="0" applyAlignment="1" applyFont="1">
      <alignment vertical="center"/>
    </xf>
    <xf borderId="6" fillId="0" fontId="19" numFmtId="4" xfId="0" applyAlignment="1" applyBorder="1" applyFont="1" applyNumberFormat="1">
      <alignment horizontal="left" readingOrder="0" shrinkToFit="0" vertical="center" wrapText="1"/>
    </xf>
    <xf borderId="6" fillId="0" fontId="40" numFmtId="0" xfId="0" applyBorder="1" applyFont="1"/>
    <xf borderId="6" fillId="0" fontId="15" numFmtId="4" xfId="0" applyAlignment="1" applyBorder="1" applyFont="1" applyNumberFormat="1">
      <alignment horizontal="center" vertical="center"/>
    </xf>
    <xf borderId="19" fillId="5" fontId="22" numFmtId="0" xfId="0" applyAlignment="1" applyBorder="1" applyFont="1">
      <alignment readingOrder="0" vertical="center"/>
    </xf>
    <xf borderId="19" fillId="5" fontId="22" numFmtId="0" xfId="0" applyAlignment="1" applyBorder="1" applyFont="1">
      <alignment readingOrder="0" shrinkToFit="0" vertical="center" wrapText="1"/>
    </xf>
    <xf borderId="19" fillId="5" fontId="22" numFmtId="167" xfId="0" applyAlignment="1" applyBorder="1" applyFont="1" applyNumberFormat="1">
      <alignment horizontal="center" readingOrder="0" vertical="center"/>
    </xf>
    <xf borderId="0" fillId="5" fontId="22" numFmtId="0" xfId="0" applyAlignment="1" applyFont="1">
      <alignment readingOrder="0" vertical="center"/>
    </xf>
    <xf borderId="0" fillId="5" fontId="22" numFmtId="0" xfId="0" applyAlignment="1" applyFont="1">
      <alignment readingOrder="0" shrinkToFit="0" vertical="center" wrapText="1"/>
    </xf>
    <xf borderId="0" fillId="5" fontId="22" numFmtId="167" xfId="0" applyAlignment="1" applyFont="1" applyNumberFormat="1">
      <alignment horizontal="center" readingOrder="0" vertical="center"/>
    </xf>
    <xf borderId="0" fillId="5" fontId="22" numFmtId="168" xfId="0" applyAlignment="1" applyFont="1" applyNumberFormat="1">
      <alignment horizontal="center" readingOrder="0" vertical="center"/>
    </xf>
    <xf borderId="0" fillId="5" fontId="22" numFmtId="0" xfId="0" applyAlignment="1" applyFont="1">
      <alignment vertical="center"/>
    </xf>
    <xf borderId="0" fillId="5" fontId="22" numFmtId="0" xfId="0" applyAlignment="1" applyFont="1">
      <alignment shrinkToFit="0" vertical="center" wrapText="1"/>
    </xf>
    <xf borderId="0" fillId="5" fontId="22" numFmtId="167" xfId="0" applyAlignment="1" applyFont="1" applyNumberFormat="1">
      <alignment horizontal="center" vertical="center"/>
    </xf>
    <xf borderId="5" fillId="0" fontId="20" numFmtId="4" xfId="0" applyAlignment="1" applyBorder="1" applyFont="1" applyNumberFormat="1">
      <alignment horizontal="center" readingOrder="0" vertical="center"/>
    </xf>
    <xf borderId="19" fillId="5" fontId="22" numFmtId="167" xfId="0" applyAlignment="1" applyBorder="1" applyFont="1" applyNumberFormat="1">
      <alignment horizontal="center" shrinkToFit="0" vertical="center" wrapText="1"/>
    </xf>
    <xf borderId="19" fillId="5" fontId="22" numFmtId="167" xfId="0" applyAlignment="1" applyBorder="1" applyFont="1" applyNumberFormat="1">
      <alignment horizontal="center" readingOrder="0" shrinkToFit="0" vertical="center" wrapText="1"/>
    </xf>
    <xf borderId="19" fillId="5" fontId="22" numFmtId="4" xfId="0" applyAlignment="1" applyBorder="1" applyFont="1" applyNumberFormat="1">
      <alignment horizontal="center" readingOrder="0" shrinkToFit="0" vertical="center" wrapText="1"/>
    </xf>
    <xf borderId="0" fillId="5" fontId="22" numFmtId="167" xfId="0" applyAlignment="1" applyFont="1" applyNumberFormat="1">
      <alignment horizontal="center" shrinkToFit="0" vertical="center" wrapText="1"/>
    </xf>
    <xf borderId="0" fillId="5" fontId="22" numFmtId="167" xfId="0" applyAlignment="1" applyFont="1" applyNumberFormat="1">
      <alignment horizontal="center" readingOrder="0" shrinkToFit="0" vertical="center" wrapText="1"/>
    </xf>
    <xf borderId="0" fillId="5" fontId="22" numFmtId="4" xfId="0" applyAlignment="1" applyFont="1" applyNumberFormat="1">
      <alignment horizontal="center" readingOrder="0" shrinkToFit="0" vertical="center" wrapText="1"/>
    </xf>
    <xf borderId="0" fillId="5" fontId="22" numFmtId="168" xfId="0" applyAlignment="1" applyFont="1" applyNumberFormat="1">
      <alignment horizontal="center" readingOrder="0" shrinkToFit="0" vertical="center" wrapText="1"/>
    </xf>
    <xf borderId="0" fillId="5" fontId="19" numFmtId="0" xfId="0" applyFont="1"/>
    <xf borderId="0" fillId="5" fontId="19" numFmtId="0" xfId="0" applyAlignment="1" applyFont="1">
      <alignment shrinkToFit="0" wrapText="1"/>
    </xf>
    <xf borderId="0" fillId="5" fontId="9" numFmtId="167" xfId="0" applyFont="1" applyNumberFormat="1"/>
    <xf borderId="0" fillId="5" fontId="19" numFmtId="167" xfId="0" applyAlignment="1" applyFont="1" applyNumberFormat="1">
      <alignment horizontal="center"/>
    </xf>
    <xf borderId="0" fillId="5" fontId="19" numFmtId="4" xfId="0" applyAlignment="1" applyFont="1" applyNumberFormat="1">
      <alignment horizontal="center"/>
    </xf>
    <xf borderId="0" fillId="5" fontId="19" numFmtId="0" xfId="0" applyAlignment="1" applyFont="1">
      <alignment readingOrder="0" shrinkToFit="0" wrapText="1"/>
    </xf>
    <xf borderId="0" fillId="5" fontId="19" numFmtId="0" xfId="0" applyAlignment="1" applyFont="1">
      <alignment readingOrder="0"/>
    </xf>
    <xf borderId="0" fillId="5" fontId="19" numFmtId="0" xfId="0" applyAlignment="1" applyFont="1">
      <alignment vertical="bottom"/>
    </xf>
    <xf borderId="0" fillId="5" fontId="19" numFmtId="0" xfId="0" applyAlignment="1" applyFont="1">
      <alignment shrinkToFit="0" vertical="bottom" wrapText="1"/>
    </xf>
    <xf borderId="0" fillId="5" fontId="9" numFmtId="167" xfId="0" applyAlignment="1" applyFont="1" applyNumberFormat="1">
      <alignment vertical="bottom"/>
    </xf>
    <xf borderId="0" fillId="5" fontId="19" numFmtId="167" xfId="0" applyAlignment="1" applyFont="1" applyNumberFormat="1">
      <alignment horizontal="center" vertical="bottom"/>
    </xf>
    <xf borderId="0" fillId="5" fontId="19" numFmtId="4" xfId="0" applyAlignment="1" applyFont="1" applyNumberFormat="1">
      <alignment horizontal="center" vertical="bottom"/>
    </xf>
    <xf borderId="0" fillId="5" fontId="19" numFmtId="0" xfId="0" applyAlignment="1" applyFont="1">
      <alignment readingOrder="0" shrinkToFit="0" vertical="bottom" wrapText="1"/>
    </xf>
    <xf borderId="0" fillId="5" fontId="19" numFmtId="168" xfId="0" applyAlignment="1" applyFont="1" applyNumberFormat="1">
      <alignment horizontal="center" vertical="bottom"/>
    </xf>
    <xf borderId="0" fillId="5" fontId="19" numFmtId="170" xfId="0" applyAlignment="1" applyFont="1" applyNumberFormat="1">
      <alignment horizontal="center"/>
    </xf>
    <xf borderId="0" fillId="5" fontId="19" numFmtId="168" xfId="0" applyAlignment="1" applyFont="1" applyNumberFormat="1">
      <alignment horizontal="center"/>
    </xf>
    <xf borderId="0" fillId="0" fontId="15" numFmtId="4" xfId="0" applyAlignment="1" applyFont="1" applyNumberFormat="1">
      <alignment vertical="center"/>
    </xf>
    <xf borderId="0" fillId="0" fontId="18" numFmtId="4" xfId="0" applyAlignment="1" applyFont="1" applyNumberFormat="1">
      <alignment vertical="center"/>
    </xf>
    <xf borderId="0" fillId="0" fontId="19" numFmtId="4" xfId="0" applyAlignment="1" applyFont="1" applyNumberFormat="1">
      <alignment readingOrder="0" shrinkToFit="0" vertical="center" wrapText="1"/>
    </xf>
    <xf borderId="20" fillId="0" fontId="42" numFmtId="4" xfId="0" applyAlignment="1" applyBorder="1" applyFont="1" applyNumberFormat="1">
      <alignment horizontal="left" readingOrder="0" vertical="center"/>
    </xf>
    <xf borderId="20" fillId="0" fontId="15" numFmtId="4" xfId="0" applyAlignment="1" applyBorder="1" applyFont="1" applyNumberFormat="1">
      <alignment horizontal="center" vertical="center"/>
    </xf>
    <xf borderId="5" fillId="0" fontId="30" numFmtId="0" xfId="0" applyAlignment="1" applyBorder="1" applyFont="1">
      <alignment horizontal="center" readingOrder="0" vertical="center"/>
    </xf>
    <xf borderId="19" fillId="5" fontId="19" numFmtId="0" xfId="0" applyAlignment="1" applyBorder="1" applyFont="1">
      <alignment readingOrder="0" vertical="center"/>
    </xf>
    <xf borderId="19" fillId="5" fontId="22" numFmtId="4" xfId="0" applyAlignment="1" applyBorder="1" applyFont="1" applyNumberFormat="1">
      <alignment readingOrder="0" vertical="center"/>
    </xf>
    <xf borderId="19" fillId="5" fontId="22" numFmtId="167" xfId="0" applyAlignment="1" applyBorder="1" applyFont="1" applyNumberFormat="1">
      <alignment readingOrder="0" vertical="center"/>
    </xf>
    <xf borderId="0" fillId="0" fontId="43" numFmtId="0" xfId="0" applyAlignment="1" applyFont="1">
      <alignment horizontal="center" readingOrder="0" shrinkToFit="0" textRotation="90" vertical="center" wrapText="0"/>
    </xf>
    <xf borderId="0" fillId="5" fontId="22" numFmtId="4" xfId="0" applyAlignment="1" applyFont="1" applyNumberFormat="1">
      <alignment readingOrder="0" vertical="center"/>
    </xf>
    <xf borderId="0" fillId="5" fontId="22" numFmtId="167" xfId="0" applyAlignment="1" applyFont="1" applyNumberFormat="1">
      <alignment readingOrder="0" vertical="center"/>
    </xf>
    <xf borderId="0" fillId="5" fontId="22" numFmtId="0" xfId="0" applyAlignment="1" applyFont="1">
      <alignment horizontal="right" readingOrder="0" vertical="center"/>
    </xf>
    <xf borderId="0" fillId="5" fontId="22" numFmtId="168" xfId="0" applyAlignment="1" applyFont="1" applyNumberFormat="1">
      <alignment readingOrder="0" vertical="center"/>
    </xf>
    <xf borderId="0" fillId="5" fontId="19" numFmtId="0" xfId="0" applyAlignment="1" applyFont="1">
      <alignment horizontal="left" readingOrder="0" vertical="center"/>
    </xf>
    <xf borderId="0" fillId="5" fontId="35" numFmtId="0" xfId="0" applyAlignment="1" applyFont="1">
      <alignment shrinkToFit="0" vertical="bottom" wrapText="1"/>
    </xf>
    <xf borderId="0" fillId="5" fontId="35" numFmtId="0" xfId="0" applyAlignment="1" applyFont="1">
      <alignment vertical="bottom"/>
    </xf>
    <xf borderId="0" fillId="0" fontId="9" numFmtId="0" xfId="0" applyAlignment="1" applyFont="1">
      <alignment vertical="bottom"/>
    </xf>
    <xf borderId="21" fillId="5" fontId="44" numFmtId="0" xfId="0" applyAlignment="1" applyBorder="1" applyFont="1">
      <alignment readingOrder="0" vertical="bottom"/>
    </xf>
    <xf borderId="16" fillId="5" fontId="9" numFmtId="0" xfId="0" applyBorder="1" applyFont="1"/>
    <xf borderId="0" fillId="5" fontId="44" numFmtId="0" xfId="0" applyAlignment="1" applyFont="1">
      <alignment readingOrder="0" vertical="bottom"/>
    </xf>
    <xf borderId="18" fillId="5" fontId="9" numFmtId="0" xfId="0" applyBorder="1" applyFont="1"/>
    <xf borderId="18" fillId="5" fontId="9" numFmtId="0" xfId="0" applyBorder="1" applyFont="1"/>
    <xf borderId="0" fillId="5" fontId="44" numFmtId="0" xfId="0" applyAlignment="1" applyFont="1">
      <alignment vertical="bottom"/>
    </xf>
    <xf borderId="17" fillId="5" fontId="44" numFmtId="0" xfId="0" applyAlignment="1" applyBorder="1" applyFont="1">
      <alignment readingOrder="0" vertical="bottom"/>
    </xf>
    <xf borderId="18" fillId="5" fontId="9" numFmtId="0" xfId="0" applyAlignment="1" applyBorder="1" applyFont="1">
      <alignment readingOrder="0"/>
    </xf>
    <xf borderId="0" fillId="0" fontId="44" numFmtId="0" xfId="0" applyAlignment="1" applyFont="1">
      <alignment vertical="bottom"/>
    </xf>
    <xf borderId="0" fillId="0" fontId="35" numFmtId="0" xfId="0" applyAlignment="1" applyFont="1">
      <alignment vertical="bottom"/>
    </xf>
    <xf borderId="0" fillId="0" fontId="44" numFmtId="0" xfId="0" applyAlignment="1" applyFont="1">
      <alignment vertical="bottom"/>
    </xf>
    <xf borderId="0" fillId="0" fontId="35" numFmtId="0" xfId="0" applyFont="1"/>
    <xf borderId="0" fillId="0" fontId="19" numFmtId="4" xfId="0" applyAlignment="1" applyFont="1" applyNumberFormat="1">
      <alignment readingOrder="0" shrinkToFit="0" vertical="top" wrapText="1"/>
    </xf>
    <xf borderId="0" fillId="5" fontId="19" numFmtId="4" xfId="0" applyAlignment="1" applyFont="1" applyNumberFormat="1">
      <alignment readingOrder="0" vertical="center"/>
    </xf>
    <xf borderId="0" fillId="5" fontId="19" numFmtId="167" xfId="0" applyAlignment="1" applyFont="1" applyNumberFormat="1">
      <alignment readingOrder="0" vertical="center"/>
    </xf>
    <xf borderId="0" fillId="5" fontId="19" numFmtId="0" xfId="0" applyAlignment="1" applyFont="1">
      <alignment horizontal="left" readingOrder="0"/>
    </xf>
    <xf borderId="0" fillId="5" fontId="19" numFmtId="168" xfId="0" applyAlignment="1" applyFont="1" applyNumberFormat="1">
      <alignment readingOrder="0" vertical="center"/>
    </xf>
    <xf borderId="0" fillId="5" fontId="19" numFmtId="4" xfId="0" applyAlignment="1" applyFont="1" applyNumberFormat="1">
      <alignment horizontal="right" readingOrder="0"/>
    </xf>
    <xf borderId="0" fillId="5" fontId="45" numFmtId="4" xfId="0" applyAlignment="1" applyFont="1" applyNumberFormat="1">
      <alignment horizontal="right" readingOrder="0"/>
    </xf>
    <xf borderId="0" fillId="0" fontId="43" numFmtId="0" xfId="0" applyAlignment="1" applyFont="1">
      <alignment readingOrder="0" vertical="center"/>
    </xf>
    <xf borderId="0" fillId="0" fontId="26" numFmtId="0" xfId="0" applyAlignment="1" applyFont="1">
      <alignment readingOrder="0" shrinkToFit="0" vertical="center" wrapText="0"/>
    </xf>
    <xf borderId="15" fillId="5" fontId="35" numFmtId="0" xfId="0" applyBorder="1" applyFont="1"/>
    <xf borderId="22" fillId="5" fontId="22" numFmtId="0" xfId="0" applyAlignment="1" applyBorder="1" applyFont="1">
      <alignment horizontal="center"/>
    </xf>
    <xf borderId="22" fillId="0" fontId="40" numFmtId="0" xfId="0" applyBorder="1" applyFont="1"/>
    <xf borderId="17" fillId="5" fontId="35" numFmtId="0" xfId="0" applyBorder="1" applyFont="1"/>
    <xf borderId="0" fillId="5" fontId="22" numFmtId="0" xfId="0" applyAlignment="1" applyFont="1">
      <alignment horizontal="center"/>
    </xf>
    <xf borderId="0" fillId="5" fontId="41" numFmtId="0" xfId="0" applyAlignment="1" applyFont="1">
      <alignment readingOrder="0" vertical="center"/>
    </xf>
    <xf borderId="18" fillId="5" fontId="41" numFmtId="0" xfId="0" applyAlignment="1" applyBorder="1" applyFont="1">
      <alignment readingOrder="0" vertical="center"/>
    </xf>
    <xf borderId="18" fillId="5" fontId="41" numFmtId="0" xfId="0" applyAlignment="1" applyBorder="1" applyFont="1">
      <alignment vertical="center"/>
    </xf>
    <xf borderId="0" fillId="5" fontId="22" numFmtId="0" xfId="0" applyFont="1"/>
    <xf borderId="0" fillId="5" fontId="22" numFmtId="0" xfId="0" applyAlignment="1" applyFont="1">
      <alignment shrinkToFit="0" wrapText="1"/>
    </xf>
    <xf borderId="0" fillId="5" fontId="22" numFmtId="168" xfId="0" applyAlignment="1" applyFont="1" applyNumberFormat="1">
      <alignment horizontal="center"/>
    </xf>
    <xf borderId="0" fillId="5" fontId="22" numFmtId="167" xfId="0" applyAlignment="1" applyFont="1" applyNumberFormat="1">
      <alignment horizontal="center"/>
    </xf>
    <xf borderId="19" fillId="5" fontId="22" numFmtId="0" xfId="0" applyAlignment="1" applyBorder="1" applyFont="1">
      <alignment vertical="center"/>
    </xf>
    <xf borderId="19" fillId="5" fontId="22" numFmtId="0" xfId="0" applyAlignment="1" applyBorder="1" applyFont="1">
      <alignment shrinkToFit="0" vertical="center" wrapText="1"/>
    </xf>
    <xf borderId="19" fillId="5" fontId="9" numFmtId="0" xfId="0" applyAlignment="1" applyBorder="1" applyFont="1">
      <alignment vertical="center"/>
    </xf>
    <xf borderId="19" fillId="5" fontId="22" numFmtId="167" xfId="0" applyAlignment="1" applyBorder="1" applyFont="1" applyNumberFormat="1">
      <alignment horizontal="center" vertical="center"/>
    </xf>
    <xf borderId="19" fillId="5" fontId="22" numFmtId="4" xfId="0" applyAlignment="1" applyBorder="1" applyFont="1" applyNumberFormat="1">
      <alignment horizontal="center" vertical="center"/>
    </xf>
    <xf borderId="19" fillId="5" fontId="22" numFmtId="0" xfId="0" applyAlignment="1" applyBorder="1" applyFont="1">
      <alignment readingOrder="0"/>
    </xf>
    <xf borderId="19" fillId="5" fontId="9" numFmtId="0" xfId="0" applyBorder="1" applyFont="1"/>
    <xf borderId="19" fillId="5" fontId="22" numFmtId="0" xfId="0" applyAlignment="1" applyBorder="1" applyFont="1">
      <alignment shrinkToFit="0" wrapText="1"/>
    </xf>
    <xf borderId="0" fillId="5" fontId="9" numFmtId="0" xfId="0" applyAlignment="1" applyFont="1">
      <alignment readingOrder="0"/>
    </xf>
    <xf borderId="19" fillId="5" fontId="22" numFmtId="0" xfId="0" applyAlignment="1" applyBorder="1" applyFont="1">
      <alignment horizontal="center"/>
    </xf>
    <xf borderId="19" fillId="5" fontId="22" numFmtId="4" xfId="0" applyAlignment="1" applyBorder="1" applyFont="1" applyNumberFormat="1">
      <alignment horizontal="right"/>
    </xf>
    <xf borderId="0" fillId="5" fontId="19" numFmtId="167" xfId="0" applyAlignment="1" applyFont="1" applyNumberFormat="1">
      <alignment horizontal="right" readingOrder="0" vertical="center"/>
    </xf>
    <xf borderId="23" fillId="0" fontId="9" numFmtId="0" xfId="0" applyBorder="1" applyFont="1"/>
    <xf borderId="24" fillId="0" fontId="46" numFmtId="0" xfId="0" applyBorder="1" applyFont="1"/>
    <xf borderId="25" fillId="0" fontId="46" numFmtId="0" xfId="0" applyBorder="1" applyFont="1"/>
    <xf borderId="17" fillId="5" fontId="35" numFmtId="165" xfId="0" applyAlignment="1" applyBorder="1" applyFont="1" applyNumberFormat="1">
      <alignment vertical="bottom"/>
    </xf>
    <xf borderId="17" fillId="5" fontId="35" numFmtId="165" xfId="0" applyAlignment="1" applyBorder="1" applyFont="1" applyNumberFormat="1">
      <alignment readingOrder="0" vertical="bottom"/>
    </xf>
    <xf borderId="0" fillId="5" fontId="41" numFmtId="165" xfId="0" applyAlignment="1" applyFont="1" applyNumberFormat="1">
      <alignment vertical="center"/>
    </xf>
    <xf borderId="0" fillId="0" fontId="18" numFmtId="165" xfId="0" applyAlignment="1" applyFont="1" applyNumberFormat="1">
      <alignment vertical="center"/>
    </xf>
    <xf borderId="0" fillId="5" fontId="22" numFmtId="168" xfId="0" applyAlignment="1" applyFont="1" applyNumberFormat="1">
      <alignment horizontal="center" vertical="center"/>
    </xf>
    <xf borderId="19" fillId="7" fontId="9" numFmtId="0" xfId="0" applyAlignment="1" applyBorder="1" applyFont="1">
      <alignment vertical="center"/>
    </xf>
    <xf borderId="0" fillId="7" fontId="21" numFmtId="4" xfId="0" applyAlignment="1" applyFont="1" applyNumberFormat="1">
      <alignment readingOrder="0" vertical="center"/>
    </xf>
    <xf borderId="19" fillId="5" fontId="22" numFmtId="4" xfId="0" applyAlignment="1" applyBorder="1" applyFont="1" applyNumberFormat="1">
      <alignment horizontal="right" vertical="center"/>
    </xf>
    <xf borderId="0" fillId="7" fontId="9" numFmtId="0" xfId="0" applyAlignment="1" applyFont="1">
      <alignment vertical="center"/>
    </xf>
    <xf borderId="0" fillId="5" fontId="22" numFmtId="4" xfId="0" applyAlignment="1" applyFont="1" applyNumberFormat="1">
      <alignment horizontal="right" vertical="center"/>
    </xf>
    <xf borderId="0" fillId="5" fontId="9" numFmtId="0" xfId="0" applyAlignment="1" applyFont="1">
      <alignment vertical="center"/>
    </xf>
    <xf borderId="0" fillId="5" fontId="22" numFmtId="4" xfId="0" applyAlignment="1" applyFont="1" applyNumberFormat="1">
      <alignment horizontal="center" vertical="center"/>
    </xf>
    <xf borderId="0" fillId="0" fontId="47" numFmtId="0" xfId="0" applyAlignment="1" applyFont="1">
      <alignment readingOrder="0" vertical="center"/>
    </xf>
    <xf borderId="0" fillId="5" fontId="45" numFmtId="0" xfId="0" applyAlignment="1" applyFont="1">
      <alignment horizontal="left" readingOrder="0" vertical="center"/>
    </xf>
    <xf borderId="0" fillId="5" fontId="22" numFmtId="4" xfId="0" applyAlignment="1" applyFont="1" applyNumberFormat="1">
      <alignment horizontal="center" readingOrder="0" vertical="center"/>
    </xf>
    <xf borderId="0" fillId="5" fontId="22" numFmtId="168" xfId="0" applyAlignment="1" applyFont="1" applyNumberFormat="1">
      <alignment horizontal="right" vertical="center"/>
    </xf>
    <xf borderId="0" fillId="5" fontId="22" numFmtId="0" xfId="0" applyAlignment="1" applyFont="1">
      <alignment shrinkToFit="0" vertical="center" wrapText="0"/>
    </xf>
    <xf borderId="0" fillId="0" fontId="9" numFmtId="0" xfId="0" applyAlignment="1" applyFont="1">
      <alignment vertical="center"/>
    </xf>
    <xf borderId="0" fillId="0" fontId="23" numFmtId="3" xfId="0" applyAlignment="1" applyFont="1" applyNumberFormat="1">
      <alignment readingOrder="0"/>
    </xf>
    <xf borderId="0" fillId="0" fontId="23" numFmtId="0" xfId="0" applyAlignment="1" applyFont="1">
      <alignment horizontal="right" readingOrder="0"/>
    </xf>
    <xf borderId="0" fillId="0" fontId="48" numFmtId="0" xfId="0" applyAlignment="1" applyFont="1">
      <alignment horizontal="right" readingOrder="0"/>
    </xf>
    <xf borderId="0" fillId="0" fontId="48" numFmtId="0" xfId="0" applyAlignment="1" applyFont="1">
      <alignment horizontal="right" readingOrder="0" shrinkToFit="0" wrapText="1"/>
    </xf>
    <xf borderId="0" fillId="5" fontId="48" numFmtId="0" xfId="0" applyAlignment="1" applyFont="1">
      <alignment horizontal="right" readingOrder="0" shrinkToFit="0" wrapText="1"/>
    </xf>
    <xf borderId="0" fillId="0" fontId="23" numFmtId="4" xfId="0" applyAlignment="1" applyFont="1" applyNumberFormat="1">
      <alignment horizontal="right" readingOrder="0"/>
    </xf>
    <xf borderId="0" fillId="0" fontId="48" numFmtId="4" xfId="0" applyAlignment="1" applyFont="1" applyNumberFormat="1">
      <alignment horizontal="right" readingOrder="0"/>
    </xf>
    <xf borderId="0" fillId="0" fontId="23" numFmtId="10" xfId="0" applyAlignment="1" applyFont="1" applyNumberFormat="1">
      <alignment horizontal="right" readingOrder="0"/>
    </xf>
    <xf borderId="0" fillId="5" fontId="23" numFmtId="10" xfId="0" applyAlignment="1" applyFont="1" applyNumberFormat="1">
      <alignment horizontal="right" readingOrder="0"/>
    </xf>
    <xf borderId="0" fillId="0" fontId="23" numFmtId="0" xfId="0" applyAlignment="1" applyFont="1">
      <alignment horizontal="right"/>
    </xf>
    <xf borderId="0" fillId="0" fontId="48" numFmtId="0" xfId="0" applyAlignment="1" applyFont="1">
      <alignment horizontal="right"/>
    </xf>
    <xf borderId="0" fillId="0" fontId="23" numFmtId="4" xfId="0" applyAlignment="1" applyFont="1" applyNumberFormat="1">
      <alignment horizontal="right"/>
    </xf>
    <xf borderId="0" fillId="0" fontId="48" numFmtId="4" xfId="0" applyAlignment="1" applyFont="1" applyNumberFormat="1">
      <alignment horizontal="right"/>
    </xf>
    <xf borderId="0" fillId="8" fontId="49" numFmtId="165" xfId="0" applyAlignment="1" applyFont="1" applyNumberFormat="1">
      <alignment readingOrder="0"/>
    </xf>
    <xf borderId="0" fillId="0" fontId="23" numFmtId="4" xfId="0" applyAlignment="1" applyFont="1" applyNumberFormat="1">
      <alignment readingOrder="0"/>
    </xf>
    <xf borderId="0" fillId="0" fontId="23" numFmtId="10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pivotCacheDefinition" Target="pivotCache/pivotCacheDefinition2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RESUMO!$B$8</c:f>
            </c:strRef>
          </c:tx>
          <c:dPt>
            <c:idx val="0"/>
            <c:explosion val="0"/>
            <c:spPr>
              <a:solidFill>
                <a:srgbClr val="94DCC3"/>
              </a:solidFill>
            </c:spPr>
          </c:dPt>
          <c:dPt>
            <c:idx val="1"/>
            <c:spPr>
              <a:solidFill>
                <a:srgbClr val="496C60"/>
              </a:solidFill>
            </c:spPr>
          </c:dPt>
          <c:dPt>
            <c:idx val="2"/>
            <c:spPr>
              <a:solidFill>
                <a:srgbClr val="999999"/>
              </a:solidFill>
            </c:spPr>
          </c:dPt>
          <c:dPt>
            <c:idx val="3"/>
            <c:spPr>
              <a:solidFill>
                <a:srgbClr val="D9D9D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RESUMO!$A$9:$A$12</c:f>
            </c:strRef>
          </c:cat>
          <c:val>
            <c:numRef>
              <c:f>RESUMO!$B$9:$B$12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1" sz="12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438150</xdr:colOff>
      <xdr:row>19</xdr:row>
      <xdr:rowOff>200025</xdr:rowOff>
    </xdr:from>
    <xdr:ext cx="3371850" cy="19050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</xdr:row>
      <xdr:rowOff>0</xdr:rowOff>
    </xdr:from>
    <xdr:ext cx="962025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1:N270" sheet="Resumo - TIMESHEETS"/>
  </cacheSource>
  <cacheFields>
    <cacheField name="Projeto" numFmtId="0">
      <sharedItems containsBlank="1">
        <s v="IRIS"/>
        <s v="Notify"/>
        <m/>
        <s v="P&amp;D_2"/>
        <s v="P&amp;D_3"/>
      </sharedItems>
    </cacheField>
    <cacheField name="Etapa" numFmtId="0">
      <sharedItems containsBlank="1">
        <s v="Processo aprimorado de moagem no modo  passada"/>
        <s v="Processo aprimorado de moagem no modo circulação"/>
        <s v="Comunicação criptografada entre os elementos de controle e operação"/>
        <s v="Registro avançado de dados de processo"/>
        <s v="Portabilidade para funcionamento com CLP da Rockwell"/>
        <s v="Gerenciamento  de dados remanecentes"/>
        <s v="Implementação de sistema automático de gerenciamento de garantia;"/>
        <s v="IRIS  V3 Epsilon InView - Desenvolvimento"/>
        <s v="IRIS V3 for Confectionary - Prototipação"/>
        <s v="IRIS  V3 Epsilon InView - Recontrole"/>
        <s v="IRIS V3 BeadMill Essential"/>
        <s v="IRIS V3 for Confectionary - Desenvolvimento"/>
        <s v="IRIS  V3 Epsilon InView - Validação em campo e documentação"/>
        <s v="IRIS V3 BeadMill Inside - Desenvolvimento"/>
        <s v="IRIS V3 BeadMill Inview - Advance Training video"/>
        <s v="Relatório de lotes"/>
        <s v="Configuração Gateway para o IRIS V3"/>
        <s v="Exportar dados para o Excel"/>
        <s v="Adequação do Gateway para o IRIS V3"/>
        <s v="Templates de gráficos"/>
        <s v="Design System"/>
        <s v="Gerenciamento interno"/>
        <s v="Troca de infraestrutura"/>
        <m/>
        <s v="Outros tamanhos e geometrias de dentes das ferramentas, outros materiais"/>
        <s v="Ferramentas resistente ao desgaste"/>
        <s v="Melhorias do MasterCream MINI"/>
        <s v="Rotor liso para redução da viscosidade após a moagem"/>
        <s v="Adequação conforme design higienico"/>
        <s v="Adequações do MC10 conforme norma americana  NFS ANSI 8"/>
        <s v="Testes de limpeza e e secagem com linha Rumba sem tanques"/>
      </sharedItems>
    </cacheField>
    <cacheField name="Colaborador" numFmtId="0">
      <sharedItems containsBlank="1">
        <s v="Gabriel Alves Ferraz"/>
        <s v="Gabriel Oliveira"/>
        <s v="Guilherme Jacques"/>
        <s v="Filipe Harbs"/>
        <s v="Italo Ebel"/>
        <s v="Ivo Ersching"/>
        <s v="Johann Ribeiro"/>
        <s v="Rafael Augusto Barbieri Lobato"/>
        <s v="Alexandre Baseggio"/>
        <s v="Marcos Tribess"/>
        <s v="William Buttenberg"/>
        <s v="Arthur Muniz"/>
        <s v="Bruno katzjarowksi"/>
        <s v="Cleiton Capristano"/>
        <s v="Gabriel Possamai"/>
        <s v="Paulo Odwazny"/>
        <s v="Cristiano Schroeder"/>
        <s v="Alberto Reuters"/>
        <m/>
        <s v="Jivago Rusch"/>
        <s v="Fernando Leal"/>
      </sharedItems>
    </cacheField>
    <cacheField name="CPF" numFmtId="0">
      <sharedItems containsBlank="1">
        <m/>
        <s v="085.943.039-12"/>
        <s v="037.196.611-64"/>
        <s v="534.546.398-08"/>
        <s v="080.850.859-84"/>
        <s v="068.504.079-88"/>
        <s v="085.815.809-47"/>
        <s v="035.705.119-01"/>
        <s v="080.335.889-00"/>
        <s v="100.110.019-09"/>
        <s v="041.176.229-00"/>
      </sharedItems>
    </cacheField>
    <cacheField name="Data" numFmtId="167">
      <sharedItems containsDate="1" containsString="0" containsBlank="1">
        <d v="2024-01-22T00:00:00Z"/>
        <d v="2024-01-03T00:00:00Z"/>
        <d v="2024-01-29T00:00:00Z"/>
        <d v="2024-01-08T00:00:00Z"/>
        <d v="2024-01-04T00:00:00Z"/>
        <d v="2024-02-22T00:00:00Z"/>
        <d v="2024-02-01T00:00:00Z"/>
        <d v="2024-02-05T00:00:00Z"/>
        <d v="2024-02-02T00:00:00Z"/>
        <d v="2024-02-12T00:00:00Z"/>
        <d v="2024-03-06T00:00:00Z"/>
        <d v="2024-10-04T00:00:00Z"/>
        <d v="2024-03-01T00:00:00Z"/>
        <d v="2024-03-22T00:00:00Z"/>
        <d v="2024-03-08T00:00:00Z"/>
        <d v="2024-04-02T00:00:00Z"/>
        <d v="2024-04-11T00:00:00Z"/>
        <d v="2024-04-17T00:00:00Z"/>
        <d v="2024-04-03T00:00:00Z"/>
        <d v="2024-05-06T00:00:00Z"/>
        <d v="2024-05-17T00:00:00Z"/>
        <d v="2024-05-02T00:00:00Z"/>
        <d v="2024-05-08T00:00:00Z"/>
        <d v="2024-05-07T00:00:00Z"/>
        <d v="2024-06-03T00:00:00Z"/>
        <d v="2024-06-14T00:00:00Z"/>
        <d v="2024-06-27T00:00:00Z"/>
        <d v="2024-07-01T00:00:00Z"/>
        <d v="2024-07-19T00:00:00Z"/>
        <d v="2024-07-16T00:00:00Z"/>
        <d v="2024-08-06T00:00:00Z"/>
        <d v="2024-08-01T00:00:00Z"/>
        <d v="2024-08-19T00:00:00Z"/>
        <d v="2024-08-21T00:00:00Z"/>
        <d v="2024-08-30T00:00:00Z"/>
        <d v="2024-08-22T00:00:00Z"/>
        <d v="2024-09-02T00:00:00Z"/>
        <d v="2024-09-30T00:00:00Z"/>
        <d v="2024-09-13T00:00:00Z"/>
        <d v="2024-01-19T00:00:00Z"/>
        <d v="2024-10-03T00:00:00Z"/>
        <d v="2024-10-24T00:00:00Z"/>
        <d v="2024-10-01T00:00:00Z"/>
        <d v="2024-10-15T00:00:00Z"/>
        <d v="2024-10-02T00:00:00Z"/>
        <d v="2024-10-30T00:00:00Z"/>
        <d v="2024-10-07T00:00:00Z"/>
        <d v="2024-10-14T00:00:00Z"/>
        <d v="2024-10-25T00:00:00Z"/>
        <d v="2024-10-28T00:00:00Z"/>
        <d v="2024-11-05T00:00:00Z"/>
        <d v="2024-11-01T00:00:00Z"/>
        <d v="2024-11-18T00:00:00Z"/>
        <d v="2024-11-06T00:00:00Z"/>
        <d v="2024-11-09T00:00:00Z"/>
        <d v="2024-11-04T00:00:00Z"/>
        <d v="2024-11-27T00:00:00Z"/>
        <d v="2024-11-14T00:00:00Z"/>
        <d v="2024-11-19T00:00:00Z"/>
        <d v="2024-11-07T00:00:00Z"/>
        <d v="2024-11-25T00:00:00Z"/>
        <d v="2024-12-03T00:00:00Z"/>
        <d v="2024-12-10T00:00:00Z"/>
        <d v="2024-12-04T00:00:00Z"/>
        <d v="2024-12-17T00:00:00Z"/>
        <d v="2024-12-02T00:00:00Z"/>
        <d v="2024-12-06T00:00:00Z"/>
        <d v="2024-12-11T00:00:00Z"/>
        <d v="2024-12-12T00:00:00Z"/>
        <d v="2024-01-01T00:00:00Z"/>
        <d v="2024-04-01T00:00:00Z"/>
        <d v="2024-05-01T00:00:00Z"/>
        <d v="2024-06-01T00:00:00Z"/>
        <d v="2024-09-01T00:00:00Z"/>
        <d v="2024-12-01T00:00:00Z"/>
        <m/>
        <d v="2024-01-23T00:00:00Z"/>
        <d v="2024-02-16T00:00:00Z"/>
        <d v="2024-02-21T00:00:00Z"/>
        <d v="2024-05-24T00:00:00Z"/>
        <d v="2024-06-25T00:00:00Z"/>
        <d v="2024-09-23T00:00:00Z"/>
        <d v="2024-01-30T00:00:00Z"/>
        <d v="2024-03-28T00:00:00Z"/>
        <d v="2024-04-09T00:00:00Z"/>
        <d v="2024-04-12T00:00:00Z"/>
        <d v="2024-04-29T00:00:00Z"/>
        <d v="2024-06-04T00:00:00Z"/>
      </sharedItems>
    </cacheField>
    <cacheField name="Tempo (h)" numFmtId="4">
      <sharedItems containsString="0" containsBlank="1" containsNumber="1">
        <n v="76.9"/>
        <n v="166.5"/>
        <n v="4.5"/>
        <n v="186.75"/>
        <n v="43.0"/>
        <n v="140.0"/>
        <n v="43.5"/>
        <n v="2.8"/>
        <n v="6.75"/>
        <n v="71.8"/>
        <n v="189.92"/>
        <n v="115.65"/>
        <n v="33.0"/>
        <n v="156.58"/>
        <n v="50.0"/>
        <n v="20.9"/>
        <n v="85.02"/>
        <n v="74.75"/>
        <n v="32.8"/>
        <n v="139.25"/>
        <n v="29.4"/>
        <n v="68.0"/>
        <n v="135.05"/>
        <n v="55.5"/>
        <n v="37.25"/>
        <n v="55.05"/>
        <n v="39.65"/>
        <n v="25.5"/>
        <n v="19.5"/>
        <n v="62.2"/>
        <n v="115.55"/>
        <n v="100.25"/>
        <n v="49.5"/>
        <n v="48.0"/>
        <n v="2.0"/>
        <n v="76.0"/>
        <n v="41.9"/>
        <n v="87.0"/>
        <n v="85.5"/>
        <n v="56.5"/>
        <n v="40.17"/>
        <n v="78.75"/>
        <n v="79.0"/>
        <n v="11.0"/>
        <n v="7.0"/>
        <n v="63.2"/>
        <n v="100.52"/>
        <n v="6.25"/>
        <n v="27.6"/>
        <n v="20.0"/>
        <n v="51.0"/>
        <n v="3.0"/>
        <n v="24.75"/>
        <n v="86.25"/>
        <n v="13.6"/>
        <n v="1.0"/>
        <n v="40.75"/>
        <n v="123.5"/>
        <n v="19.85"/>
        <n v="89.5"/>
        <n v="132.22"/>
        <n v="3.75"/>
        <n v="12.3"/>
        <n v="2.5"/>
        <n v="3.8"/>
        <n v="3.25"/>
        <n v="99.0"/>
        <n v="0.5"/>
        <n v="11.05"/>
        <n v="24.9"/>
        <n v="1.75"/>
        <n v="86.0"/>
        <n v="29.75"/>
        <n v="56.05"/>
        <n v="4.0"/>
        <n v="2.25"/>
        <n v="77.43"/>
        <n v="19.0"/>
        <n v="58.0"/>
        <n v="10.0"/>
        <n v="7.25"/>
        <n v="136.28"/>
        <n v="8.8"/>
        <n v="6.5"/>
        <n v="10.25"/>
        <n v="25.75"/>
        <n v="1.5"/>
        <n v="9.3"/>
        <n v="53.8"/>
        <n v="121.75"/>
        <n v="27.5"/>
        <n v="41.75"/>
        <n v="4.25"/>
        <n v="44.75"/>
        <n v="30.0"/>
        <n v="3.5"/>
        <n v="5.5"/>
        <n v="49.0"/>
        <n v="10.93"/>
        <n v="90.82"/>
        <n v="13.75"/>
        <n v="9.0"/>
        <n v="78.45"/>
        <n v="21.4"/>
        <n v="15.15"/>
        <n v="80.35"/>
        <n v="72.75"/>
        <n v="12.0"/>
        <n v="146.1"/>
        <n v="17.5"/>
        <n v="50.5"/>
        <n v="9.5"/>
        <n v="26.0"/>
        <n v="10.55"/>
        <n v="4.75"/>
        <n v="63.25"/>
        <n v="6.0"/>
        <n v="191.0"/>
        <n v="198.0"/>
        <n v="122.0"/>
        <n v="120.0"/>
        <n v="5.0"/>
        <n v="168.0"/>
        <n v="17.0"/>
        <n v="89.0"/>
        <n v="36.0"/>
        <n v="193.0"/>
        <n v="188.0"/>
        <n v="192.0"/>
        <n v="8.0"/>
        <n v="169.0"/>
        <n v="16.0"/>
        <n v="182.0"/>
        <n v="96.0"/>
        <n v="173.0"/>
        <n v="186.0"/>
        <n v="160.0"/>
        <n v="25.0"/>
        <n v="184.0"/>
        <n v="196.0"/>
        <n v="180.0"/>
        <n v="166.0"/>
        <n v="216.0"/>
        <n v="205.0"/>
        <n v="204.0"/>
        <n v="133.0"/>
        <n v="183.0"/>
        <n v="13.0"/>
        <n v="161.0"/>
        <n v="132.0"/>
        <n v="138.0"/>
        <n v="62.0"/>
        <n v="185.0"/>
        <n v="231.0"/>
        <n v="113.0"/>
        <n v="128.0"/>
        <n v="223.0"/>
        <n v="15.0"/>
        <n v="35.0"/>
        <n v="179.0"/>
        <n v="221.0"/>
        <n v="167.0"/>
        <n v="53.0"/>
        <n v="69.0"/>
        <n v="220.0"/>
        <n v="228.0"/>
        <n v="47.0"/>
        <n v="22.0"/>
        <n v="181.0"/>
        <n v="214.0"/>
        <n v="274.0"/>
        <n v="52.0"/>
        <n v="24.0"/>
        <n v="197.0"/>
        <n v="222.0"/>
        <n v="201.0"/>
        <n v="116.0"/>
        <n v="18.0"/>
        <n v="152.0"/>
        <n v="175.0"/>
        <n v="97.0"/>
        <n v="103.0"/>
        <n v="14.0"/>
        <n v="154.0"/>
        <m/>
        <n v="40.0"/>
      </sharedItems>
    </cacheField>
    <cacheField name="Classificação" numFmtId="0">
      <sharedItems containsBlank="1">
        <s v="Desenvolvimento"/>
        <s v="Pesquisa"/>
        <s v="Gestão e outros"/>
        <m/>
      </sharedItems>
    </cacheField>
    <cacheField name="Descrição da atividade e observações" numFmtId="0">
      <sharedItems containsBlank="1">
        <s v="Desenvolvimento IHM"/>
        <s v="Design UX/UI"/>
        <s v="Desenvolvimento PLC"/>
        <s v="Documentação"/>
        <s v="Edição de videos"/>
        <s v="Gravação de videos"/>
        <s v="Desenvolvimento dos designs (UI/UX)"/>
        <s v="Desenvolvimento Beckend"/>
        <s v="Testes"/>
        <s v="Desenvolvimento Fronend"/>
        <s v="Especificação da funcionalidade"/>
        <s v="Validação da documentação"/>
        <m/>
        <s v="Teste com ferramentas de 5mm com amendoim"/>
        <s v="Modelamento de ferramenta com novo design progressivo para maior resistencia ao desgaste"/>
        <s v="Testes com novas ferramentas"/>
        <s v="Testes com rotor liso para redução da viscosidade do chocolate"/>
        <s v="Desenho em corte do MC10 e MCIL10 com melhorias proposta conforme design higienico"/>
        <s v="Desenvolvimento do projeto do equipamento MC10 atendendo requisitos da norma do mercado de alimentos americana NFS ANSI 8 para certificar o equipamento e facilitar processos de limpeza CIP e garantir a segurança alimentar"/>
        <s v="Teste 3.5 - Chocolate ao leite"/>
        <s v="Teste 3.6 - Chocolate ao leite"/>
        <s v="Teste 3.7 - Compound"/>
        <s v="Teste 3.8 - Chocolate amargo"/>
        <s v="Teste 3.9 - Chocolate ao leite - Cristalização da lactose"/>
        <s v="Teste 3.10 - Chocolate ao leite - Cristalização da lactose"/>
        <s v="Teste 3.11 - Chocolate branco"/>
        <s v="Teste 3.12 - Recheio com amendoim. Realizada analise de alergenicos para amendoim. Foi identificada a presença de alergenicos na tubulação, porem a analise não quantifica. Necessario desenvolver uma analise que quantifique em ppm."/>
        <s v="Teste 3.14 - Recheio com amendoim 2%, realizada a limpeza e analise de alergenicos de amendoim, resultados abaixo de 2ppm."/>
      </sharedItems>
    </cacheField>
    <cacheField name="Custo/hora">
      <sharedItems containsMixedTypes="1" containsNumber="1">
        <n v="22.24602556201216"/>
        <n v="75.07140217516069"/>
        <n v="39.3110247928145"/>
        <n v="44.36438547147612"/>
        <n v="11.716965091253442"/>
        <n v="60.908511695936625"/>
        <n v="12.916508135330576"/>
        <n v="20.79065140323691"/>
        <n v="54.32512028814935"/>
        <n v="23.25300209280303"/>
        <n v="78.46954356060604"/>
        <n v="41.09045632575757"/>
        <n v="12.247338879870128"/>
        <n v="63.665563360389605"/>
        <n v="13.501179788961037"/>
        <n v="55.87421087797618"/>
        <n v="21.731749756493507"/>
        <n v="56.99197699857955"/>
        <n v="23.834277673467625"/>
        <n v="82.32166625631314"/>
        <n v="43.107614476641416"/>
        <n v="12.848568986742425"/>
        <n v="66.79094870643941"/>
        <n v="14.16396178977273"/>
        <n v="22.798575975378792"/>
        <n v="64.02946109848484"/>
        <n v="41.32531993686869"/>
        <n v="56.19357503472222"/>
        <n v="54.63563019886364"/>
        <n v="21.855963446969696"/>
        <n v="78.91805744949495"/>
        <n v="23.385910912247475"/>
        <n v="12.317341856060606"/>
        <n v="13.578349431818182"/>
        <n v="63.99086588383839"/>
        <n v="12.309917297979798"/>
        <n v="78.8704877946128"/>
        <n v="13.570164772727273"/>
        <n v="23.371814522306398"/>
        <n v="66.9993628655303"/>
        <n v="82.57854239267675"/>
        <n v="12.888661600378787"/>
        <n v="24.47062811821338"/>
        <n v="57.16981449289772"/>
        <n v="50.035051541501986"/>
        <n v="22.945749512516475"/>
        <n v="72.27278348704436"/>
        <n v="42.710437962231005"/>
        <n v="11.280163372859025"/>
        <n v="12.434988142292491"/>
        <n v="52.34080798682851"/>
        <n v="24.003154435692146"/>
        <n v="44.67865553331612"/>
        <n v="64.8634613313533"/>
        <n v="75.60331740702479"/>
        <n v="54.60269732954546"/>
        <n v="25.040442190656567"/>
        <n v="46.60942769149832"/>
        <n v="67.66651267045455"/>
        <n v="47.20823070377065"/>
        <n v="44.36431407010444"/>
        <n v="51.97255862990701"/>
        <n v="64.4071075064566"/>
        <n v="54.23677733087452"/>
        <n v="91.77708463317383"/>
        <n v="78.7396860456539"/>
        <n v="57.71348320873205"/>
        <n v="63.53808359914938"/>
        <n v="29.138157673278837"/>
        <n v="15.793420936337053"/>
        <n v="48.9359189318783"/>
        <n v="82.80720563492063"/>
        <n v="71.04402368055555"/>
        <n v="26.29032534556878"/>
        <n v="52.07282723214285"/>
        <n v="57.3281574074074"/>
        <n v="14.249843088624338"/>
        <n v="89.09648800705921"/>
        <n v="107.35210511047978"/>
        <n v="94.80781232567146"/>
        <n v="114.23362650941228"/>
        <n v="130.3039332314623"/>
        <n v="55.693069903581254"/>
        <n v="93.12948132305195"/>
        <n v="112.21144729166664"/>
        <n v="105.45175212391774"/>
        <n v="119.40446390692638"/>
        <n v="136.20220041937228"/>
        <n v="58.214042207792204"/>
        <n v="97.70127022821971"/>
        <n v="117.71998274652779"/>
        <n v="110.62844959438131"/>
        <n v="125.26610938762627"/>
        <n v="61.07180871212122"/>
        <n v="93.66178804924242"/>
        <n v="112.85282215277778"/>
        <n v="106.05449011994948"/>
        <n v="120.08695239898988"/>
        <n v="58.546780303030296"/>
        <n v="93.60533127525252"/>
        <n v="112.7847975462963"/>
        <n v="105.99056336279462"/>
        <n v="120.01456725589226"/>
        <n v="58.5114898989899"/>
        <n v="98.00613680776515"/>
        <n v="118.08731562152776"/>
        <n v="110.97365408301766"/>
        <n v="125.65698916035352"/>
        <n v="14.208158948863634"/>
        <n v="61.26237689393938"/>
        <n v="91.27336288098375"/>
        <n v="103.35008038647344"/>
        <n v="97.12420008783488"/>
        <n v="109.97506262626263"/>
        <n v="53.61686429512517"/>
        <b v="0"/>
        <n v="95.47949714617766"/>
        <n v="108.11274389204544"/>
        <n v="101.59995745092974"/>
        <n v="115.04302401859503"/>
        <n v="13.00802750516529"/>
        <n v="56.087680785123965"/>
        <n v="99.6056095496633"/>
        <n v="94.8077409242998"/>
        <n v="100.88514007547059"/>
        <n v="115.90532404372672"/>
        <n v="131.24125752724615"/>
        <n v="123.33518860828681"/>
        <n v="139.65409069743487"/>
        <n v="68.08645631977672"/>
        <n v="104.57725957010581"/>
        <n v="118.41432796957672"/>
        <n v="111.2809626273148"/>
        <n v="126.00492870701059"/>
        <n v="52.7625434060778"/>
        <n v="55.15086408685064"/>
        <n v="57.858257116003784"/>
        <n v="55.466093759469686"/>
        <n v="58.038797746685596"/>
        <n v="35.343678977272724"/>
        <n v="50.795586139657445"/>
        <n v="30.932806324110672"/>
        <n v="55.43266030934343"/>
        <n v="33.75662878787879"/>
      </sharedItems>
    </cacheField>
    <cacheField name="Custo total" numFmtId="165">
      <sharedItems containsSemiMixedTypes="0" containsString="0" containsNumber="1">
        <n v="1710.7193657187354"/>
        <n v="12499.388462164254"/>
        <n v="176.89961156766526"/>
        <n v="8285.048986798165"/>
        <n v="503.82949892389803"/>
        <n v="8527.191637431128"/>
        <n v="561.86810388688"/>
        <n v="58.213823929063345"/>
        <n v="366.6945619450081"/>
        <n v="1669.5655502632574"/>
        <n v="14902.935713030298"/>
        <n v="4752.111274073864"/>
        <n v="404.16218303571424"/>
        <n v="9968.753910969805"/>
        <n v="675.0589894480519"/>
        <n v="1167.7710073497021"/>
        <n v="1847.6333642970778"/>
        <n v="4260.150280643821"/>
        <n v="781.7643076897381"/>
        <n v="11463.292026191604"/>
        <n v="1267.3638656132575"/>
        <n v="873.7026910984849"/>
        <n v="9020.117622804642"/>
        <n v="786.0998793323865"/>
        <n v="849.24695508286"/>
        <n v="3524.8218334715907"/>
        <n v="1638.5489354968433"/>
        <n v="1432.9361633854166"/>
        <n v="1065.394788877841"/>
        <n v="3982.6324803257576"/>
        <n v="2525.4565762973484"/>
        <n v="7911.535259311869"/>
        <n v="1157.60259015625"/>
        <n v="591.2324090909091"/>
        <n v="27.156698863636365"/>
        <n v="4863.305807171718"/>
        <n v="2681.217280532828"/>
        <n v="1070.9628049242424"/>
        <n v="6743.426706439394"/>
        <n v="766.7143096590909"/>
        <n v="938.845789361048"/>
        <n v="5276.199825660511"/>
        <n v="6523.704849021464"/>
        <n v="141.77527760416666"/>
        <n v="171.29439682749367"/>
        <n v="114.33962898579544"/>
        <n v="3162.215257422926"/>
        <n v="2306.506740998156"/>
        <n v="451.70489679402726"/>
        <n v="1178.8080877575758"/>
        <n v="225.6032674571805"/>
        <n v="634.184395256917"/>
        <n v="68.83724853754943"/>
        <n v="1409.3192779973651"/>
        <n v="1295.4349976740057"/>
        <n v="2070.2720700784475"/>
        <n v="607.6297152530992"/>
        <n v="64.8634613313533"/>
        <n v="978.1285432544549"/>
        <n v="9337.009699767561"/>
        <n v="44.67865553331612"/>
        <n v="1287.5397074273633"/>
        <n v="4886.941410994318"/>
        <n v="3310.847266448611"/>
        <n v="295.764329229798"/>
        <n v="573.2959606054294"/>
        <n v="33.92541193181818"/>
        <n v="257.1327481477273"/>
        <n v="81.38143711963384"/>
        <n v="7808.178291666667"/>
        <n v="23.30471384574916"/>
        <n v="121.81702339187325"/>
        <n v="521.6509492766658"/>
        <n v="1104.6714203456006"/>
        <n v="90.95197760233728"/>
        <n v="6456.140587063819"/>
        <n v="150.14280435032137"/>
        <n v="1916.1114483170838"/>
        <n v="3610.0183757368923"/>
        <n v="257.6284300258264"/>
        <n v="106.21851908348397"/>
        <n v="3655.333303392962"/>
        <n v="987.4786139682333"/>
        <n v="1382.3881050611221"/>
        <n v="750.7140217516069"/>
        <n v="6.458254067665288"/>
        <n v="64.4071075064566"/>
        <n v="321.6412770082572"/>
        <n v="144.91599188952733"/>
        <n v="3248.135361340168"/>
        <n v="415.4324301931818"/>
        <n v="83.95730287964874"/>
        <n v="555.9269676414638"/>
        <n v="2363.2599293042263"/>
        <n v="137.66562694976074"/>
        <n v="94.9143603290304"/>
        <n v="732.2790802245813"/>
        <n v="4236.195109256179"/>
        <n v="7026.616580663127"/>
        <n v="1747.297298976608"/>
        <n v="1216.5180828593914"/>
        <n v="390.0526096909888"/>
        <n v="706.7555869010831"/>
        <n v="473.8026280901116"/>
        <n v="321.2197962161084"/>
        <n v="298.30227531980984"/>
        <n v="758.0842049441785"/>
        <n v="773.8776258805157"/>
        <n v="318.4800633689377"/>
        <n v="2646.327479887184"/>
        <n v="6975.058432121211"/>
        <n v="334.64366569402904"/>
        <n v="100.99859561528109"/>
        <n v="672.8688853133266"/>
        <n v="82.80720563492063"/>
        <n v="745.2648507142857"/>
        <n v="3839.022840205853"/>
        <n v="1047.2286651421955"/>
        <n v="1076.3169587604166"/>
        <n v="5708.387302732638"/>
        <n v="1912.621168890129"/>
        <n v="624.8739267857142"/>
        <n v="7607.84005861607"/>
        <n v="315.3048657407407"/>
        <n v="229.3126296296296"/>
        <n v="460.0806935474537"/>
        <n v="207.0180140873016"/>
        <n v="719.6170759755291"/>
        <n v="135.37350934193122"/>
        <n v="73.40387839781745"/>
        <n v="21.374764632936508"/>
        <n v="370.4959203042328"/>
        <n v="277.36293239575065"/>
        <n v="124.87904539145171"/>
        <n v="5237.55575640873"/>
        <n v="85.49905853174603"/>
        <n v="427.49529265873014"/>
        <n v="1501.4280435032138"/>
        <n v="17017.42920934831"/>
        <n v="46.86786036501377"/>
        <n v="21255.716811874998"/>
        <n v="11566.553103731918"/>
        <n v="13708.035181129473"/>
        <n v="651.5196661573116"/>
        <n v="9356.43574380165"/>
        <n v="1333.9822405303028"/>
        <n v="8288.523837751623"/>
        <n v="440.9041996753246"/>
        <n v="21656.809327291663"/>
        <n v="19824.929399296536"/>
        <n v="22925.657070129866"/>
        <n v="1089.6176033549782"/>
        <n v="9838.173133116883"/>
        <n v="1317.1466601010102"/>
        <n v="17781.631181535988"/>
        <n v="11301.118343666669"/>
        <n v="19138.721779827967"/>
        <n v="23299.496346098487"/>
        <n v="9771.489393939395"/>
        <n v="1972.9514362373739"/>
        <n v="17233.769001060606"/>
        <n v="22119.153141944444"/>
        <n v="19089.808221590905"/>
        <n v="23176.781813005047"/>
        <n v="580.5507309253246"/>
        <n v="544.8088016774891"/>
        <n v="9718.76553030303"/>
        <n v="709.8343901515152"/>
        <n v="20218.751555454546"/>
        <n v="23120.883496990744"/>
        <n v="21622.0749260101"/>
        <n v="15961.93744503367"/>
        <n v="122.13148295454545"/>
        <n v="195.95742207792205"/>
        <n v="10707.602651515152"/>
        <n v="1073.5210511047978"/>
        <n v="15778.988026050189"/>
        <n v="19602.49439317361"/>
        <n v="14648.522338958332"/>
        <n v="17340.664504128785"/>
        <n v="610.9508348011362"/>
        <n v="799.0970192234848"/>
        <n v="11333.539725378785"/>
        <n v="144.54556697408873"/>
        <n v="21084.146825507247"/>
        <n v="11678.559083671498"/>
        <n v="12431.897611242865"/>
        <n v="24524.438965656565"/>
        <n v="186.52482213438736"/>
        <n v="394.8057180500659"/>
        <n v="9597.418708827405"/>
        <n v="0.0"/>
        <n v="21100.968869305263"/>
        <n v="19352.181156676135"/>
        <n v="16967.192894305266"/>
        <n v="23468.776899793385"/>
        <n v="689.4254577737603"/>
        <n v="897.553897856405"/>
        <n v="10095.782541322315"/>
        <n v="521.2157329258492"/>
        <n v="21913.234100925925"/>
        <n v="25714.933840555557"/>
        <n v="19608.254222117004"/>
        <n v="23762.884316666667"/>
        <n v="637.7977443181818"/>
        <n v="298.543625"/>
        <n v="11000.160101010102"/>
        <n v="17160.201107298264"/>
        <n v="14814.59050524621"/>
        <n v="21589.419976150704"/>
        <n v="31300.013663578964"/>
        <n v="671.6584230371899"/>
        <n v="309.9961952479338"/>
        <n v="10971.534771005507"/>
        <n v="24803.739345357517"/>
        <n v="26379.492762976475"/>
        <n v="14306.881878561271"/>
        <n v="2513.7736325538276"/>
        <n v="47.38026280901116"/>
        <n v="2400.5999823232323"/>
        <n v="68.08645631977672"/>
        <n v="18301.020424768518"/>
        <n v="11486.18981304894"/>
        <n v="11461.939150613425"/>
        <n v="756.0295722420635"/>
        <n v="199.49780324074072"/>
        <n v="2194.475835648148"/>
        <n v="422.1003472486224"/>
        <n v="441.2069126948051"/>
        <n v="462.8660569280303"/>
        <n v="443.7287500757575"/>
        <n v="464.31038197348477"/>
        <n v="282.7494318181818"/>
        <n v="406.36468911725956"/>
        <n v="247.46245059288538"/>
        <n v="443.46128247474746"/>
        <n v="270.0530303030303"/>
      </sharedItems>
    </cacheField>
    <cacheField name="Atividade incentiv." numFmtId="0">
      <sharedItems>
        <b v="1"/>
        <b v="0"/>
      </sharedItems>
    </cacheField>
    <cacheField name="Projeto incentiv." numFmtId="0">
      <sharedItems containsBlank="1">
        <b v="1"/>
        <m/>
        <b v="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1:L82" sheet="Resumo - TERCEIROS"/>
  </cacheSource>
  <cacheFields>
    <cacheField name="Projeto" numFmtId="0">
      <sharedItems>
        <s v="IRIS"/>
        <s v="Notify"/>
      </sharedItems>
    </cacheField>
    <cacheField name="Etapa" numFmtId="0">
      <sharedItems>
        <s v="Processo aprimorado de moagem no modo  passada"/>
        <s v="Processo aprimorado de moagem no modo circulação"/>
        <s v="Registro avançado de dados de processo"/>
        <s v="Portabilidade para funcionamento com CLP da Rockwell"/>
        <s v="Gerenciamento  de dados remanecentes"/>
        <s v="Implementação de sistema automático de gerenciamento de garantia"/>
        <s v="IRIS  V3 Epsilon InView - Desenvolvimento"/>
        <s v="IRIS V3 for Confectionary - Prototipação"/>
        <s v="IRIS  V3 Epsilon InView - Recontrole"/>
        <s v="Relatório de lotes"/>
        <s v="Templates de gráficos"/>
        <s v="Configuração Gateway para o IRIS V3"/>
        <s v="Design System"/>
        <s v="Gerenciamento interno"/>
        <s v="Gateway para IRIS V3 Essentials"/>
      </sharedItems>
    </cacheField>
    <cacheField name="Fornecedor" numFmtId="0">
      <sharedItems>
        <s v="KMCC Equipamentos Elétricos Ltda"/>
        <s v="Materialize Serviços Digitais Ltda"/>
        <s v="Mout´s Soluçõesem Tecnologia da Informação Ltda."/>
        <s v="Amazon AWS Serviços Brasil Ltda"/>
      </sharedItems>
    </cacheField>
    <cacheField name="CNPJ" numFmtId="0">
      <sharedItems>
        <s v="07.389.050/0001-51"/>
        <s v="34.269.716/0001-00"/>
        <s v="5.056.849/0001-08"/>
        <s v="23.412.247/0001-10"/>
      </sharedItems>
    </cacheField>
    <cacheField name="Nota fiscal">
      <sharedItems containsMixedTypes="1" containsNumber="1" containsInteger="1">
        <n v="2288.0"/>
        <n v="2268.0"/>
        <n v="2287.0"/>
        <s v="NFS 2292"/>
        <s v="NFS 2310"/>
        <s v="NFS 2311"/>
        <s v="NFS 21013"/>
        <s v="Requisição de pedido: 4401020"/>
        <s v="Pedido: 2316035"/>
        <n v="650.0"/>
        <n v="3169.0"/>
        <s v="2709240_ECNZ6XB8"/>
        <n v="684.0"/>
        <n v="3188.0"/>
        <s v="2845975_9ZHR17CA"/>
        <n v="710.0"/>
        <n v="3225.0"/>
        <n v="3228.0"/>
        <s v="2901379_BRL69BTP"/>
        <n v="729.0"/>
        <n v="3266.0"/>
        <s v="2992055_YIQTWU6S"/>
        <n v="757.0"/>
        <n v="3317.0"/>
        <s v="3125620_V8RXCCLU"/>
        <n v="781.0"/>
        <n v="3357.0"/>
        <n v="3370.0"/>
        <s v="3196905_5AZYVJH6"/>
        <n v="3417.0"/>
        <s v="3286189_BGKZLLHT"/>
        <n v="817.0"/>
        <n v="3518.0"/>
        <s v="3385593_HEEGDXLC"/>
        <n v="825.0"/>
        <n v="3584.0"/>
        <s v="3488856_KVCXJ5V5"/>
        <n v="832.0"/>
        <n v="3748.0"/>
        <s v="3584324_1DMEVBAE"/>
        <n v="2.0240000000088E14"/>
        <n v="3665.0"/>
        <s v="3689410_LLXIYFEF"/>
        <n v="2.02400000000901E14"/>
        <n v="3841.0"/>
        <s v="3790213_FDP4MRWP"/>
      </sharedItems>
    </cacheField>
    <cacheField name="Valor" numFmtId="165">
      <sharedItems containsSemiMixedTypes="0" containsString="0" containsNumber="1">
        <n v="10353.48"/>
        <n v="18491.0"/>
        <n v="16965.07"/>
        <n v="275.0"/>
        <n v="14235.0"/>
        <n v="4508.0"/>
        <n v="6595.0"/>
        <n v="10940.0"/>
        <n v="1180.0"/>
        <n v="1607.0"/>
        <n v="2623.0"/>
        <n v="2357.0"/>
        <n v="2332.0"/>
        <n v="5935.0"/>
        <n v="32040.0"/>
        <n v="19849.28"/>
        <n v="5412.76"/>
        <n v="22059.44"/>
        <n v="5496.54"/>
        <n v="16057.73"/>
        <n v="5486.78"/>
        <n v="14884.61"/>
        <n v="6465.15"/>
        <n v="14668.75"/>
        <n v="10010.61"/>
        <n v="5067.9"/>
        <n v="15210.0"/>
        <n v="21043.05"/>
        <n v="13950.0"/>
        <n v="21293.57"/>
        <n v="16605.0"/>
        <n v="19166.67"/>
        <n v="15345.0"/>
        <n v="17677.81"/>
        <n v="17216.12"/>
        <n v="15668.26"/>
        <n v="17235.0"/>
        <n v="18479.53"/>
        <n v="15480.0"/>
        <n v="22299.43"/>
      </sharedItems>
    </cacheField>
    <cacheField name="Data" numFmtId="167">
      <sharedItems containsSemiMixedTypes="0" containsDate="1" containsString="0">
        <d v="2024-01-16T00:00:00Z"/>
        <d v="2024-02-01T00:00:00Z"/>
        <d v="2024-03-01T00:00:00Z"/>
        <d v="2024-04-01T00:00:00Z"/>
        <d v="2024-05-01T00:00:00Z"/>
        <d v="2024-06-01T00:00:00Z"/>
        <d v="2024-07-01T00:00:00Z"/>
        <d v="2024-08-01T00:00:00Z"/>
        <d v="2024-09-01T00:00:00Z"/>
        <d v="2024-01-02T00:00:00Z"/>
        <d v="2024-01-17T00:00:00Z"/>
        <d v="2024-02-06T00:00:00Z"/>
        <d v="2024-02-02T00:00:00Z"/>
        <d v="2024-03-04T00:00:00Z"/>
        <d v="2024-03-08T00:00:00Z"/>
        <d v="2024-03-02T00:00:00Z"/>
        <d v="2024-04-04T00:00:00Z"/>
        <d v="2024-04-02T00:00:00Z"/>
        <d v="2024-05-02T00:00:00Z"/>
        <d v="2024-05-10T00:00:00Z"/>
        <d v="2024-06-03T00:00:00Z"/>
        <d v="2024-06-07T00:00:00Z"/>
        <d v="2024-07-05T00:00:00Z"/>
        <d v="2024-07-02T00:00:00Z"/>
        <d v="2024-08-08T00:00:00Z"/>
        <d v="2024-08-15T00:00:00Z"/>
        <d v="2024-08-02T00:00:00Z"/>
        <d v="2024-09-03T00:00:00Z"/>
        <d v="2024-09-11T00:00:00Z"/>
        <d v="2024-09-02T00:00:00Z"/>
        <d v="2024-10-02T00:00:00Z"/>
        <d v="2024-11-06T00:00:00Z"/>
        <d v="2024-10-01T00:00:00Z"/>
        <d v="2024-11-07T00:00:00Z"/>
        <d v="2024-10-08T00:00:00Z"/>
        <d v="2024-11-01T00:00:00Z"/>
        <d v="2024-12-03T00:00:00Z"/>
        <d v="2024-12-05T00:00:00Z"/>
        <d v="2024-12-01T00:00:00Z"/>
      </sharedItems>
    </cacheField>
    <cacheField name="Descrição da Atividade" numFmtId="0">
      <sharedItems>
        <s v="Desenvolvimento IHM"/>
        <s v="Documentação"/>
        <s v="Agenciamento de serviços de desenvovimento de software"/>
        <s v="Custo da infraestrutura em nuvem"/>
        <s v="Agênciamento de serviços de desenvovimento de software"/>
      </sharedItems>
    </cacheField>
    <cacheField name="Objetivo do gasto e eventual info de rateio" numFmtId="0">
      <sharedItems containsBlank="1">
        <s v="Pedido 2304662. Total  do pedido: R$ 10.451,00. Percentual no projeto: 99%"/>
        <s v="Pedido 2302666. Total  do pedido: R$ 18.491,00. Percentual no projeto: 100 %"/>
        <s v="Pedido 2304623. Total  do pedido: R$ 17.467,00. Percentual no projeto: 97 %"/>
        <m/>
        <s v="Percentual no projeto: 7,6 %"/>
        <s v="Percentual no projeto: 10,4 %"/>
        <s v="Percentual no projeto: 16,8 %"/>
        <s v="Percentual no projeto: 15,1 %"/>
        <s v="Percentual no projeto: 13,4 %"/>
        <s v="Percentual no projeto: 34 %"/>
        <s v="Total nota fiscal: R$ 32040. Rateio: 100 %"/>
        <s v="Total nota fiscal: R$ 39698,55. Rateio: 50 %"/>
        <s v="Total nota fiscal: R$ 10825,52. Rateio: 50 %"/>
        <s v="Total nota fiscal: R$ 44118,88. Rateio: 50 %"/>
        <s v="Total nota fiscal: R$ 10993,07. Rateio: 50 %"/>
        <s v="Total nota fiscal: R$ 48173,2. Rateio: 33,33 %"/>
        <s v="Total nota fiscal: R$ 10973,56. Rateio: 50 %"/>
        <s v="Total nota fiscal: R$ 44653,83. Rateio: 33,33 %"/>
        <s v="Total nota fiscal: R$ 12930,29. Rateio: 50 %"/>
        <s v="Total nota fiscal: R$ 44006,26. Rateio: 33,33 %"/>
        <s v="Total nota fiscal: R$ 20021,22. Rateio: 50 %"/>
        <s v="Total nota fiscal: R$ 10135,8. Rateio: 50 %"/>
        <s v="Total nota fiscal: R$ 30420. Rateio: 50 %"/>
        <s v="Total nota fiscal: R$ 21043,05. Rateio: 100 %"/>
        <s v="Total nota fiscal: R$ 27900. Rateio: 50 %"/>
        <s v="Total nota fiscal: R$ 21293,57. Rateio: 100 %"/>
        <s v="Total nota fiscal: R$ 33210. Rateio: 50 %"/>
        <s v="Total nota fiscal: R$ 19166,67. Rateio: 100 %"/>
        <s v="Total nota fiscal: R$ 30690. Rateio: 50 %"/>
        <s v="Total nota fiscal: R$ 17677,81. Rateio: 100 %"/>
        <s v="Total nota fiscal: R$ 17216,12. Rateio: 100 %"/>
        <s v="Total nota fiscal: R$ 31336,51. Rateio: 50 %"/>
        <s v="Total nota fiscal: R$ 34470. Rateio: 50 %"/>
        <s v="Total nota fiscal: R$ 18479,53. Rateio: 100 %"/>
        <s v="Total nota fiscal: R$ 30960. Rateio: 50 %"/>
        <s v="Total nota fiscal: R$ 22299,43. Rateio: 100 %"/>
      </sharedItems>
    </cacheField>
    <cacheField name="Gasto incentiv." numFmtId="0">
      <sharedItems>
        <b v="1"/>
      </sharedItems>
    </cacheField>
    <cacheField name="Projeto incentiv." numFmtId="0">
      <sharedItems>
        <b v="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3:D29" firstHeaderRow="0" firstDataRow="3" firstDataCol="0" rowPageCount="1" colPageCount="1"/>
  <pivotFields>
    <pivotField name="Projeto" axis="axisRow" compact="0" outline="0" multipleItemSelectionAllowed="1" showAll="0" sortType="ascending">
      <items>
        <item h="1" x="2"/>
        <item x="0"/>
        <item x="1"/>
        <item h="1" x="3"/>
        <item x="4"/>
        <item t="default"/>
      </items>
    </pivotField>
    <pivotField name="Eta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olaborador" axis="axisRow" compact="0" outline="0" multipleItemSelectionAllowed="1" showAll="0" sortType="ascending">
      <items>
        <item x="18"/>
        <item x="17"/>
        <item x="8"/>
        <item x="11"/>
        <item x="12"/>
        <item x="13"/>
        <item x="16"/>
        <item x="20"/>
        <item x="3"/>
        <item x="0"/>
        <item x="1"/>
        <item x="14"/>
        <item x="2"/>
        <item x="4"/>
        <item x="5"/>
        <item x="19"/>
        <item x="6"/>
        <item x="9"/>
        <item x="15"/>
        <item x="7"/>
        <item x="10"/>
        <item t="default"/>
      </items>
    </pivotField>
    <pivotField name="CP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a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Tempo (h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lassificação" compact="0" outline="0" multipleItemSelectionAllowed="1" showAll="0">
      <items>
        <item x="0"/>
        <item x="1"/>
        <item x="2"/>
        <item x="3"/>
        <item t="default"/>
      </items>
    </pivotField>
    <pivotField name="Descrição da atividade e observaçõ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usto/ho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Custo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  <pivotField name="Atividade incentiv." axis="axisPage" compact="0" outline="0" multipleItemSelectionAllowed="1" showAll="0">
      <items>
        <item x="0"/>
        <item h="1" x="1"/>
        <item t="default"/>
      </items>
    </pivotField>
    <pivotField name="Projeto incentiv." compact="0" outline="0" multipleItemSelectionAllowed="1" showAll="0">
      <items>
        <item x="0"/>
        <item x="1"/>
        <item x="2"/>
        <item t="default"/>
      </items>
    </pivotField>
  </pivotFields>
  <rowFields>
    <field x="0"/>
    <field x="2"/>
  </rowFields>
  <colFields>
    <field x="-2"/>
  </colFields>
  <pageFields>
    <pageField fld="10"/>
  </pageFields>
  <dataFields>
    <dataField name="SUM of Custo total" fld="9" baseField="0"/>
    <dataField name="SUM of Tempo (h)" fld="5" baseField="0"/>
  </dataFields>
</pivotTableDefinition>
</file>

<file path=xl/pivotTables/pivotTable2.xml><?xml version="1.0" encoding="utf-8"?>
<pivotTableDefinition xmlns="http://schemas.openxmlformats.org/spreadsheetml/2006/main" name="Tabela dinâmica 2" cacheId="1" dataCaption="" compact="0" compactData="0">
  <location ref="A5:E41" firstHeaderRow="0" firstDataRow="4" firstDataCol="0" rowPageCount="3" colPageCount="1"/>
  <pivotFields>
    <pivotField name="Projeto" axis="axisPage" compact="0" outline="0" multipleItemSelectionAllowed="1" showAll="0">
      <items>
        <item h="1" x="0"/>
        <item x="1"/>
        <item t="default"/>
      </items>
    </pivotField>
    <pivotField name="Etapa" axis="axisRow" compact="0" outline="0" multipleItemSelectionAllowed="1" showAll="0" sortType="ascending">
      <items>
        <item x="11"/>
        <item x="12"/>
        <item x="14"/>
        <item x="4"/>
        <item x="13"/>
        <item x="5"/>
        <item x="6"/>
        <item x="8"/>
        <item x="7"/>
        <item x="3"/>
        <item x="0"/>
        <item x="1"/>
        <item x="2"/>
        <item x="9"/>
        <item x="10"/>
        <item t="default"/>
      </items>
    </pivotField>
    <pivotField name="Fornecedor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CNPJ" axis="axisRow" compact="0" outline="0" multipleItemSelectionAllowed="1" showAll="0" sortType="ascending">
      <items>
        <item x="0"/>
        <item x="3"/>
        <item x="1"/>
        <item x="2"/>
        <item t="default"/>
      </items>
    </pivotField>
    <pivotField name="Nota fis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Valor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ata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Descrição da Atividade" axis="axisRow" compact="0" outline="0" multipleItemSelectionAllowed="1" showAll="0" sortType="ascending">
      <items>
        <item x="2"/>
        <item x="4"/>
        <item x="3"/>
        <item x="0"/>
        <item x="1"/>
        <item t="default"/>
      </items>
    </pivotField>
    <pivotField name="Objetivo do gasto e eventual info de rate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Gasto incentiv." axis="axisPage" compact="0" outline="0" multipleItemSelectionAllowed="1" showAll="0">
      <items>
        <item x="0"/>
        <item t="default"/>
      </items>
    </pivotField>
    <pivotField name="Projeto incentiv." axis="axisPage" compact="0" outline="0" multipleItemSelectionAllowed="1" showAll="0">
      <items>
        <item x="0"/>
        <item t="default"/>
      </items>
    </pivotField>
  </pivotFields>
  <rowFields>
    <field x="2"/>
    <field x="3"/>
    <field x="1"/>
    <field x="7"/>
  </rowFields>
  <pageFields>
    <pageField fld="0"/>
    <pageField fld="9"/>
    <pageField fld="10"/>
  </pageFields>
  <dataFields>
    <dataField name="SUM of Valor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3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4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5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 fitToPage="1"/>
  </sheetPr>
  <sheetViews>
    <sheetView showGridLines="0" workbookViewId="0"/>
  </sheetViews>
  <sheetFormatPr customHeight="1" defaultColWidth="12.63" defaultRowHeight="15.75"/>
  <cols>
    <col customWidth="1" min="1" max="1" width="38.0"/>
    <col customWidth="1" min="2" max="7" width="12.63"/>
  </cols>
  <sheetData>
    <row r="1" ht="11.25" customHeight="1">
      <c r="A1" s="1"/>
      <c r="B1" s="2"/>
      <c r="C1" s="2"/>
      <c r="D1" s="2"/>
      <c r="E1" s="2"/>
      <c r="F1" s="2"/>
      <c r="G1" s="2"/>
    </row>
    <row r="2" ht="16.5" customHeight="1">
      <c r="A2" s="3" t="s">
        <v>0</v>
      </c>
      <c r="B2" s="4"/>
      <c r="C2" s="4"/>
      <c r="D2" s="4"/>
      <c r="E2" s="4"/>
      <c r="F2" s="4"/>
    </row>
    <row r="3" ht="18.75" customHeight="1">
      <c r="A3" s="5" t="s">
        <v>1</v>
      </c>
      <c r="B3" s="4"/>
      <c r="C3" s="4"/>
      <c r="D3" s="4"/>
      <c r="E3" s="4"/>
    </row>
    <row r="4" ht="15.75" customHeight="1">
      <c r="A4" s="6"/>
      <c r="B4" s="6"/>
      <c r="C4" s="7"/>
      <c r="D4" s="6"/>
      <c r="E4" s="6"/>
      <c r="F4" s="6"/>
    </row>
    <row r="5" ht="18.75" customHeight="1">
      <c r="A5" s="8" t="s">
        <v>2</v>
      </c>
      <c r="B5" s="8"/>
      <c r="C5" s="9"/>
      <c r="D5" s="8"/>
      <c r="E5" s="10" t="s">
        <v>3</v>
      </c>
      <c r="F5" s="6"/>
      <c r="G5" s="11" t="s">
        <v>4</v>
      </c>
    </row>
    <row r="6" ht="18.75" customHeight="1">
      <c r="A6" s="12" t="s">
        <v>5</v>
      </c>
      <c r="B6" s="13"/>
      <c r="C6" s="13"/>
      <c r="D6" s="13"/>
      <c r="E6" s="13"/>
      <c r="F6" s="6"/>
      <c r="G6" s="14">
        <f>TODAY()</f>
        <v>46168</v>
      </c>
    </row>
    <row r="7" ht="18.75" customHeight="1">
      <c r="A7" s="6"/>
      <c r="B7" s="6"/>
      <c r="C7" s="6"/>
      <c r="D7" s="6"/>
      <c r="E7" s="6"/>
      <c r="F7" s="6"/>
      <c r="G7" s="6"/>
    </row>
    <row r="8">
      <c r="A8" s="15" t="s">
        <v>6</v>
      </c>
      <c r="B8" s="16" t="s">
        <v>7</v>
      </c>
      <c r="C8" s="16" t="s">
        <v>8</v>
      </c>
      <c r="D8" s="16" t="s">
        <v>9</v>
      </c>
      <c r="E8" s="16" t="s">
        <v>10</v>
      </c>
      <c r="F8" s="17"/>
      <c r="G8" s="18" t="s">
        <v>11</v>
      </c>
    </row>
    <row r="9">
      <c r="A9" s="6" t="s">
        <v>12</v>
      </c>
      <c r="B9" s="19" t="s">
        <v>13</v>
      </c>
      <c r="C9" s="19" t="s">
        <v>13</v>
      </c>
      <c r="D9" s="19" t="s">
        <v>13</v>
      </c>
      <c r="E9" s="20" t="s">
        <v>13</v>
      </c>
      <c r="F9" s="21"/>
      <c r="G9" s="22">
        <f t="shared" ref="G9:G12" si="1">sum(B9:E9)</f>
        <v>0</v>
      </c>
    </row>
    <row r="10">
      <c r="A10" s="6" t="s">
        <v>14</v>
      </c>
      <c r="B10" s="20">
        <v>306712.34</v>
      </c>
      <c r="C10" s="20">
        <v>337695.39</v>
      </c>
      <c r="D10" s="20">
        <v>230052.05</v>
      </c>
      <c r="E10" s="20">
        <v>247145.2</v>
      </c>
      <c r="F10" s="21"/>
      <c r="G10" s="22">
        <f t="shared" si="1"/>
        <v>1121604.98</v>
      </c>
    </row>
    <row r="11">
      <c r="A11" s="6" t="s">
        <v>15</v>
      </c>
      <c r="B11" s="20">
        <v>340510.15</v>
      </c>
      <c r="C11" s="20">
        <v>322717.47</v>
      </c>
      <c r="D11" s="20">
        <v>318597.36</v>
      </c>
      <c r="E11" s="19">
        <v>302109.18196943507</v>
      </c>
      <c r="F11" s="21"/>
      <c r="G11" s="22">
        <f t="shared" si="1"/>
        <v>1283934.162</v>
      </c>
    </row>
    <row r="12">
      <c r="A12" s="6" t="s">
        <v>16</v>
      </c>
      <c r="B12" s="20">
        <v>0.0</v>
      </c>
      <c r="C12" s="20">
        <v>0.0</v>
      </c>
      <c r="D12" s="20">
        <v>0.0</v>
      </c>
      <c r="E12" s="20">
        <v>0.0</v>
      </c>
      <c r="F12" s="21"/>
      <c r="G12" s="22">
        <f t="shared" si="1"/>
        <v>0</v>
      </c>
    </row>
    <row r="13">
      <c r="A13" s="23" t="s">
        <v>17</v>
      </c>
      <c r="B13" s="24">
        <f t="shared" ref="B13:E13" si="2">sum(B10:B12)</f>
        <v>647222.49</v>
      </c>
      <c r="C13" s="24">
        <f t="shared" si="2"/>
        <v>660412.86</v>
      </c>
      <c r="D13" s="24">
        <f t="shared" si="2"/>
        <v>548649.41</v>
      </c>
      <c r="E13" s="24">
        <f t="shared" si="2"/>
        <v>549254.382</v>
      </c>
      <c r="F13" s="25"/>
      <c r="G13" s="26">
        <f>sum(G9:G12)</f>
        <v>2405539.142</v>
      </c>
    </row>
    <row r="14">
      <c r="A14" s="27" t="s">
        <v>18</v>
      </c>
      <c r="B14" s="28">
        <v>0.6</v>
      </c>
      <c r="C14" s="28">
        <v>0.6</v>
      </c>
      <c r="D14" s="28">
        <v>0.6</v>
      </c>
      <c r="E14" s="28">
        <v>0.6</v>
      </c>
      <c r="F14" s="29"/>
      <c r="G14" s="30">
        <v>0.6</v>
      </c>
    </row>
    <row r="15">
      <c r="A15" s="6" t="s">
        <v>19</v>
      </c>
      <c r="B15" s="19">
        <f t="shared" ref="B15:E15" si="3">B13*B14</f>
        <v>388333.494</v>
      </c>
      <c r="C15" s="19">
        <f t="shared" si="3"/>
        <v>396247.716</v>
      </c>
      <c r="D15" s="19">
        <f t="shared" si="3"/>
        <v>329189.646</v>
      </c>
      <c r="E15" s="19">
        <f t="shared" si="3"/>
        <v>329552.6292</v>
      </c>
      <c r="F15" s="21"/>
      <c r="G15" s="22">
        <f>G13*G14</f>
        <v>1443323.485</v>
      </c>
    </row>
    <row r="16">
      <c r="A16" s="6"/>
      <c r="B16" s="19"/>
      <c r="C16" s="19"/>
      <c r="D16" s="19"/>
      <c r="E16" s="19"/>
      <c r="F16" s="21"/>
      <c r="G16" s="22"/>
    </row>
    <row r="17">
      <c r="A17" s="31" t="s">
        <v>20</v>
      </c>
      <c r="B17" s="24">
        <f t="shared" ref="B17:E17" si="4">B15*34%</f>
        <v>132033.388</v>
      </c>
      <c r="C17" s="24">
        <f t="shared" si="4"/>
        <v>134724.2234</v>
      </c>
      <c r="D17" s="24">
        <f t="shared" si="4"/>
        <v>111924.4796</v>
      </c>
      <c r="E17" s="24">
        <f t="shared" si="4"/>
        <v>112047.8939</v>
      </c>
      <c r="F17" s="25"/>
      <c r="G17" s="26">
        <f>G15*34%</f>
        <v>490729.985</v>
      </c>
    </row>
    <row r="18" ht="18.75" customHeight="1">
      <c r="A18" s="32" t="s">
        <v>21</v>
      </c>
      <c r="B18" s="33">
        <f t="shared" ref="B18:E18" si="5">B17*0.05</f>
        <v>6601.669398</v>
      </c>
      <c r="C18" s="33">
        <f t="shared" si="5"/>
        <v>6736.211172</v>
      </c>
      <c r="D18" s="33">
        <f t="shared" si="5"/>
        <v>5596.223982</v>
      </c>
      <c r="E18" s="33">
        <f t="shared" si="5"/>
        <v>5602.394696</v>
      </c>
      <c r="F18" s="6"/>
      <c r="G18" s="33">
        <f>G17*0.05</f>
        <v>24536.49925</v>
      </c>
    </row>
    <row r="19" ht="18.75" customHeight="1">
      <c r="A19" s="34"/>
      <c r="B19" s="35"/>
      <c r="C19" s="35"/>
      <c r="D19" s="35"/>
      <c r="E19" s="35"/>
      <c r="F19" s="6"/>
      <c r="G19" s="6"/>
    </row>
    <row r="20" ht="18.75" customHeight="1">
      <c r="A20" s="36" t="s">
        <v>22</v>
      </c>
      <c r="B20" s="37"/>
      <c r="C20" s="6"/>
      <c r="D20" s="38"/>
      <c r="E20" s="6"/>
      <c r="F20" s="6"/>
      <c r="G20" s="6"/>
    </row>
    <row r="21" ht="18.75" customHeight="1">
      <c r="A21" s="7" t="s">
        <v>23</v>
      </c>
      <c r="B21" s="6"/>
      <c r="C21" s="6"/>
      <c r="D21" s="6"/>
      <c r="E21" s="6"/>
      <c r="F21" s="6"/>
      <c r="G21" s="6"/>
    </row>
    <row r="22" ht="18.75" customHeight="1">
      <c r="A22" s="7" t="s">
        <v>24</v>
      </c>
      <c r="B22" s="6"/>
      <c r="C22" s="6"/>
      <c r="D22" s="6"/>
      <c r="E22" s="6"/>
      <c r="F22" s="6"/>
      <c r="G22" s="6"/>
    </row>
    <row r="23" ht="18.75" customHeight="1">
      <c r="A23" s="7" t="s">
        <v>25</v>
      </c>
      <c r="B23" s="6"/>
      <c r="C23" s="6"/>
      <c r="D23" s="6"/>
      <c r="E23" s="6"/>
      <c r="F23" s="6"/>
      <c r="G23" s="6"/>
    </row>
    <row r="24" ht="16.5" customHeight="1">
      <c r="A24" s="7" t="s">
        <v>26</v>
      </c>
      <c r="B24" s="39"/>
      <c r="C24" s="6"/>
      <c r="D24" s="6"/>
      <c r="E24" s="6"/>
      <c r="F24" s="6"/>
      <c r="G24" s="6"/>
    </row>
    <row r="25" ht="16.5" customHeight="1">
      <c r="A25" s="7" t="s">
        <v>27</v>
      </c>
      <c r="B25" s="6"/>
      <c r="C25" s="6"/>
      <c r="D25" s="6"/>
      <c r="E25" s="6"/>
      <c r="F25" s="6"/>
      <c r="G25" s="6"/>
    </row>
    <row r="26" ht="16.5" customHeight="1">
      <c r="A26" s="40" t="s">
        <v>28</v>
      </c>
      <c r="B26" s="4"/>
      <c r="C26" s="6"/>
      <c r="D26" s="6"/>
      <c r="E26" s="6"/>
      <c r="F26" s="6"/>
      <c r="G26" s="6"/>
    </row>
    <row r="27" ht="16.5" customHeight="1">
      <c r="A27" s="41" t="s">
        <v>29</v>
      </c>
      <c r="B27" s="4"/>
      <c r="C27" s="4"/>
      <c r="D27" s="4"/>
      <c r="E27" s="4"/>
      <c r="F27" s="4"/>
      <c r="G27" s="4"/>
    </row>
    <row r="28" ht="16.5" customHeight="1">
      <c r="A28" s="41" t="s">
        <v>30</v>
      </c>
      <c r="B28" s="6"/>
      <c r="C28" s="6"/>
      <c r="D28" s="6"/>
      <c r="E28" s="6"/>
      <c r="F28" s="6"/>
      <c r="G28" s="6"/>
    </row>
    <row r="29" ht="18.75" hidden="1" customHeight="1">
      <c r="A29" s="41" t="s">
        <v>31</v>
      </c>
      <c r="B29" s="34"/>
      <c r="C29" s="6"/>
      <c r="D29" s="6"/>
      <c r="E29" s="6"/>
      <c r="F29" s="6"/>
      <c r="G29" s="6"/>
    </row>
    <row r="30" ht="18.75" customHeight="1">
      <c r="A30" s="34"/>
      <c r="B30" s="34"/>
      <c r="C30" s="6"/>
      <c r="D30" s="6"/>
      <c r="E30" s="6"/>
      <c r="F30" s="6"/>
      <c r="G30" s="6"/>
    </row>
    <row r="31" ht="16.5" customHeight="1">
      <c r="A31" s="42" t="s">
        <v>32</v>
      </c>
      <c r="B31" s="6"/>
      <c r="C31" s="6"/>
      <c r="D31" s="6"/>
      <c r="E31" s="34"/>
      <c r="F31" s="43"/>
      <c r="G31" s="6"/>
    </row>
    <row r="32" ht="16.5" customHeight="1">
      <c r="A32" s="7" t="s">
        <v>33</v>
      </c>
      <c r="B32" s="44" t="s">
        <v>34</v>
      </c>
      <c r="E32" s="45" t="s">
        <v>35</v>
      </c>
    </row>
    <row r="33" ht="16.5" customHeight="1">
      <c r="A33" s="46"/>
      <c r="B33" s="46" t="s">
        <v>36</v>
      </c>
      <c r="C33" s="46" t="s">
        <v>37</v>
      </c>
      <c r="D33" s="46" t="s">
        <v>38</v>
      </c>
      <c r="E33" s="46" t="s">
        <v>36</v>
      </c>
      <c r="F33" s="46" t="s">
        <v>37</v>
      </c>
      <c r="G33" s="46" t="s">
        <v>38</v>
      </c>
    </row>
    <row r="34">
      <c r="A34" s="47" t="s">
        <v>39</v>
      </c>
      <c r="B34" s="48">
        <f>IFERROR(__xludf.DUMMYFUNCTION("COUNTA(IFERROR(FILTER(RH!$F$13:$F$33,RH!$F$13:$F$33 = $A34,RH!$V$13:$V$33 = ""Parcial""),))"),3.0)</f>
        <v>3</v>
      </c>
      <c r="C34" s="49">
        <f>IFERROR(__xludf.DUMMYFUNCTION("SUM(IFERROR(FILTER(RH!$U$47:$U$66,RH!$F$47:$F$66 = $A34,RH!$E$47:$E$66 = ""Parcial""),0))"),37828.2767842249)</f>
        <v>37828.27678</v>
      </c>
      <c r="D34" s="49">
        <f>IFERROR(__xludf.DUMMYFUNCTION("SUM(IFERROR(FILTER(RH!$T$13:$T$33,RH!$F$13:$F$33 = $A34,RH!$V$13:$V$33 = ""Parcial""),0))*24"),1252.13)</f>
        <v>1252.13</v>
      </c>
      <c r="E34" s="48">
        <f>IFERROR(__xludf.DUMMYFUNCTION("COUNTA(IFERROR(FILTER(RH!$F$13:$F$26,RH!$F$13:$F$26 = $A34,RH!$V$13:$V$26 = ""Exclusivo""),))"),0.0)</f>
        <v>0</v>
      </c>
      <c r="F34" s="49">
        <f>IFERROR(__xludf.DUMMYFUNCTION("SUM(IFERROR(FILTER(RH!$U$47:$U$66,RH!$F$47:$F$66 = $A34,RH!$E$47:$E$66 = ""Exclusivo""),0))"),0.0)</f>
        <v>0</v>
      </c>
      <c r="G34" s="49">
        <f>IFERROR(__xludf.DUMMYFUNCTION("SUM(IFERROR(FILTER(RH!$T$13:$T$33,RH!$F$13:$F$33 = $A34,RH!$V$13:$V$33 = ""Exclusivo""),0))*24"),0.0)</f>
        <v>0</v>
      </c>
    </row>
    <row r="35" hidden="1">
      <c r="A35" s="50" t="s">
        <v>40</v>
      </c>
      <c r="B35" s="48">
        <f>IFERROR(__xludf.DUMMYFUNCTION("COUNTA(IFERROR(FILTER(RH!$F$13:$F$30,RH!$F$13:$F$30 = $A35,RH!$V$13:$V$30 = ""Parcial""),))"),0.0)</f>
        <v>0</v>
      </c>
      <c r="C35" s="49">
        <f>IFERROR(__xludf.DUMMYFUNCTION("SUM(IFERROR(FILTER(RH!$U$47:$U$66,RH!$F$47:$F$66 = $A35,RH!$E$47:$E$66 = ""Parcial""),0))"),0.0)</f>
        <v>0</v>
      </c>
      <c r="D35" s="49">
        <f>IFERROR(__xludf.DUMMYFUNCTION("SUM(IFERROR(FILTER(RH!$T$13:$T$26,RH!$F$13:$F$26 = $A35,RH!$V$13:$V$26 = ""Parcial""),0))*24"),0.0)</f>
        <v>0</v>
      </c>
      <c r="E35" s="48">
        <f>IFERROR(__xludf.DUMMYFUNCTION("COUNTA(IFERROR(FILTER(RH!$F$13:$F$26,RH!$F$13:$F$26 = $A35,RH!$V$13:$V$26 = ""Exclusivo""),))"),0.0)</f>
        <v>0</v>
      </c>
      <c r="F35" s="49">
        <f>IFERROR(__xludf.DUMMYFUNCTION("SUM(IFERROR(FILTER(RH!$U$47:$U$66,RH!$F$47:$F$66 = $A35,RH!$E$47:$E$66 = ""Exclusivo""),0))"),0.0)</f>
        <v>0</v>
      </c>
      <c r="G35" s="49">
        <f>IFERROR(__xludf.DUMMYFUNCTION("SUM(IFERROR(FILTER(RH!$T$13:$T$26,RH!$F$13:$F$26 = $A35,RH!$V$13:$V$26 = ""Exclusivo""),0))*24"),0.0)</f>
        <v>0</v>
      </c>
    </row>
    <row r="36">
      <c r="A36" s="47" t="s">
        <v>41</v>
      </c>
      <c r="B36" s="48">
        <f>IFERROR(__xludf.DUMMYFUNCTION("COUNTA(IFERROR(FILTER(RH!$F$13:$F$33,RH!$F$13:$F$33 = $A36,RH!$V$13:$V$33 = ""Parcial""),))"),10.0)</f>
        <v>10</v>
      </c>
      <c r="C36" s="49">
        <v>1229924.4123469705</v>
      </c>
      <c r="D36" s="49">
        <v>15203.96</v>
      </c>
      <c r="E36" s="48">
        <v>0.0</v>
      </c>
      <c r="F36" s="51">
        <v>0.0</v>
      </c>
      <c r="G36" s="51">
        <v>0.0</v>
      </c>
    </row>
    <row r="37">
      <c r="A37" s="50" t="s">
        <v>42</v>
      </c>
      <c r="B37" s="48">
        <f>IFERROR(__xludf.DUMMYFUNCTION("COUNTA(IFERROR(FILTER(RH!$F$13:$F$33,RH!$F$13:$F$33 = $A37,RH!$V$13:$V$33 = ""Parcial""),))"),3.0)</f>
        <v>3</v>
      </c>
      <c r="C37" s="49">
        <f>IFERROR(__xludf.DUMMYFUNCTION("SUM(IFERROR(FILTER(RH!$U$47:$U$66,RH!$F$47:$F$66 = $A37,RH!$E$47:$E$66 = ""Parcial""),0))"),18521.516312461263)</f>
        <v>18521.51631</v>
      </c>
      <c r="D37" s="49">
        <f>IFERROR(__xludf.DUMMYFUNCTION("SUM(IFERROR(FILTER(RH!$T$13:$T$33,RH!$F$13:$F$33 = $A37,RH!$V$13:$V$33 = ""Parcial""),0))*24"),362.2)</f>
        <v>362.2</v>
      </c>
      <c r="E37" s="48">
        <f>IFERROR(__xludf.DUMMYFUNCTION("COUNTA(IFERROR(FILTER(RH!$F$13:$F$26,RH!$F$13:$F$26 = $A37,RH!$V$13:$V$26 = ""Exclusivo""),))"),0.0)</f>
        <v>0</v>
      </c>
      <c r="F37" s="49">
        <f>IFERROR(__xludf.DUMMYFUNCTION("SUM(IFERROR(FILTER(RH!$U$47:$U$66,RH!$F$47:$F$66 = $A37,RH!$E$47:$E$66 = ""Exclusivo""),0))"),0.0)</f>
        <v>0</v>
      </c>
      <c r="G37" s="49">
        <f>IFERROR(__xludf.DUMMYFUNCTION("SUM(IFERROR(FILTER(RH!$T$13:$T$33,RH!$F$13:$F$33 = $A37,RH!$V$13:$V$33 = ""Exclusivo""),0))*24"),0.0)</f>
        <v>0</v>
      </c>
    </row>
    <row r="38">
      <c r="A38" s="52" t="s">
        <v>43</v>
      </c>
      <c r="B38" s="48">
        <f>IFERROR(__xludf.DUMMYFUNCTION("COUNTA(IFERROR(FILTER(RH!$F$13:$F$33,RH!$F$13:$F$33 = $A38,RH!$V$13:$V$33 = ""Parcial""),))"),1.0)</f>
        <v>1</v>
      </c>
      <c r="C38" s="49">
        <f>IFERROR(__xludf.DUMMYFUNCTION("SUM(IFERROR(FILTER(RH!$U$47:$U$66,RH!$F$47:$F$66 = $A38,RH!$E$47:$E$66 = ""Parcial""),0))"),0.0)</f>
        <v>0</v>
      </c>
      <c r="D38" s="49">
        <f>IFERROR(__xludf.DUMMYFUNCTION("SUM(IFERROR(FILTER(RH!$T$13:$T$33,RH!$F$13:$F$33 = $A38,RH!$V$13:$V$33 = ""Parcial""),0))*24"),0.0)</f>
        <v>0</v>
      </c>
      <c r="E38" s="48">
        <f>IFERROR(__xludf.DUMMYFUNCTION("COUNTA(IFERROR(FILTER(RH!$F$13:$F$26,RH!$F$13:$F$26 = $A38,RH!$V$13:$V$26 = ""Exclusivo""),))"),0.0)</f>
        <v>0</v>
      </c>
      <c r="F38" s="49">
        <f>IFERROR(__xludf.DUMMYFUNCTION("SUM(IFERROR(FILTER(RH!$U$47:$U$66,RH!$F$47:$F$66 = $A38,RH!$E$47:$E$66 = ""Exclusivo""),0))"),0.0)</f>
        <v>0</v>
      </c>
      <c r="G38" s="49">
        <f>IFERROR(__xludf.DUMMYFUNCTION("SUM(IFERROR(FILTER(RH!$T$13:$T$33,RH!$F$13:$F$33 = $A38,RH!$V$13:$V$33 = ""Exclusivo""),0))*24"),0.0)</f>
        <v>0</v>
      </c>
    </row>
    <row r="39" hidden="1">
      <c r="A39" s="52" t="s">
        <v>44</v>
      </c>
      <c r="B39" s="48">
        <f>IFERROR(__xludf.DUMMYFUNCTION("COUNTA(IFERROR(FILTER(RH!$F$13:$F$30,RH!$F$13:$F$30 = $A39,RH!$V$13:$V$30 = ""Parcial""),))"),0.0)</f>
        <v>0</v>
      </c>
      <c r="C39" s="49">
        <f>IFERROR(__xludf.DUMMYFUNCTION("SUM(IFERROR(FILTER(RH!$U$47:$U$66,RH!$F$47:$F$66 = $A39,RH!$E$47:$E$66 = ""Parcial""),0))"),0.0)</f>
        <v>0</v>
      </c>
      <c r="D39" s="49">
        <f>IFERROR(__xludf.DUMMYFUNCTION("SUM(IFERROR(FILTER(RH!$T$13:$T$26,RH!$F$13:$F$26 = $A39,RH!$V$13:$V$26 = ""Parcial""),0))*24"),0.0)</f>
        <v>0</v>
      </c>
      <c r="E39" s="48">
        <f>IFERROR(__xludf.DUMMYFUNCTION("COUNTA(IFERROR(FILTER(RH!$F$13:$F$26,RH!$F$13:$F$26 = $A39,RH!$V$13:$V$26 = ""Exclusivo""),))"),0.0)</f>
        <v>0</v>
      </c>
      <c r="F39" s="49">
        <f>IFERROR(__xludf.DUMMYFUNCTION("SUM(IFERROR(FILTER(RH!$U$47:$U$66,RH!$F$47:$F$66 = $A39,RH!$E$47:$E$66 = ""Exclusivo""),0))"),0.0)</f>
        <v>0</v>
      </c>
      <c r="G39" s="49">
        <f>IFERROR(__xludf.DUMMYFUNCTION("SUM(IFERROR(FILTER(RH!$T$13:$T$26,RH!$F$13:$F$26 = $A39,RH!$V$13:$V$26 = ""Exclusivo""),0))*24"),0.0)</f>
        <v>0</v>
      </c>
    </row>
    <row r="40" ht="16.5" customHeight="1">
      <c r="A40" s="53"/>
      <c r="B40" s="54">
        <f t="shared" ref="B40:G40" si="6">SUM(B34:B39)</f>
        <v>17</v>
      </c>
      <c r="C40" s="55">
        <f t="shared" si="6"/>
        <v>1286274.205</v>
      </c>
      <c r="D40" s="55">
        <f t="shared" si="6"/>
        <v>16818.29</v>
      </c>
      <c r="E40" s="54">
        <f t="shared" si="6"/>
        <v>0</v>
      </c>
      <c r="F40" s="55">
        <f t="shared" si="6"/>
        <v>0</v>
      </c>
      <c r="G40" s="55">
        <f t="shared" si="6"/>
        <v>0</v>
      </c>
    </row>
    <row r="41" ht="18.75" customHeight="1">
      <c r="A41" s="34"/>
      <c r="B41" s="34"/>
      <c r="C41" s="6"/>
      <c r="D41" s="6"/>
      <c r="E41" s="6"/>
      <c r="F41" s="6"/>
      <c r="G41" s="6"/>
    </row>
    <row r="42" ht="18.75" customHeight="1">
      <c r="A42" s="42" t="s">
        <v>45</v>
      </c>
      <c r="B42" s="34"/>
      <c r="C42" s="6"/>
      <c r="D42" s="6"/>
      <c r="E42" s="6"/>
      <c r="F42" s="6"/>
      <c r="G42" s="6"/>
    </row>
    <row r="43" ht="18.75" customHeight="1">
      <c r="A43" s="36" t="s">
        <v>46</v>
      </c>
      <c r="B43" s="56" t="s">
        <v>11</v>
      </c>
      <c r="C43" s="57"/>
      <c r="D43" s="56" t="s">
        <v>47</v>
      </c>
      <c r="E43" s="56" t="s">
        <v>48</v>
      </c>
      <c r="F43" s="56" t="s">
        <v>49</v>
      </c>
      <c r="G43" s="56" t="s">
        <v>50</v>
      </c>
    </row>
    <row r="44" ht="18.75" customHeight="1">
      <c r="A44" s="6" t="str">
        <f t="array" ref="A44:A48">'Resumo - PROJETOS'!B12:B49</f>
        <v>IRIS</v>
      </c>
      <c r="B44" s="58">
        <f t="shared" ref="B44:B48" si="7">sum(D44:G44)</f>
        <v>381031.4588</v>
      </c>
      <c r="C44" s="59"/>
      <c r="D44" s="20" t="s">
        <v>13</v>
      </c>
      <c r="E44" s="19">
        <f>IFERROR(__xludf.DUMMYFUNCTION("iferror(sum(filter('Resumo - TERCEIROS'!$G:$G,'Resumo - TERCEIROS'!$K:$K=TRUE,'Resumo - TERCEIROS'!$L:$L=TRUE,'Resumo - TERCEIROS'!$B:$B=$A44)),0)"),98396.55)</f>
        <v>98396.55</v>
      </c>
      <c r="F44" s="19">
        <f>IFERROR(__xludf.DUMMYFUNCTION("iferror(sum(filter('Resumo - TIMESHEETS'!$L$12:$L49,'Resumo - TIMESHEETS'!$O$12:$O49=""Parcial"",'Resumo - TIMESHEETS'!$C$12:$C49=$A44)),0)"),282634.90880039515)</f>
        <v>282634.9088</v>
      </c>
      <c r="G44" s="19">
        <f>IFERROR(__xludf.DUMMYFUNCTION("iferror(sum(filter('Resumo - TIMESHEETS'!$L$12:$L49,'Resumo - TIMESHEETS'!$O$12:$O49=""Exclusivo"",'Resumo - TIMESHEETS'!$C$12:$C49=$A44)),0)"),0.0)</f>
        <v>0</v>
      </c>
    </row>
    <row r="45" ht="18.75" customHeight="1">
      <c r="A45" s="7" t="s">
        <v>51</v>
      </c>
      <c r="B45" s="58">
        <f t="shared" si="7"/>
        <v>1989512.5</v>
      </c>
      <c r="C45" s="59"/>
      <c r="D45" s="20" t="s">
        <v>13</v>
      </c>
      <c r="E45" s="19">
        <f>IFERROR(__xludf.DUMMYFUNCTION("iferror(sum(filter('Resumo - TERCEIROS'!$G:$G,'Resumo - TERCEIROS'!$K:$K=TRUE,'Resumo - TERCEIROS'!$L:$L=TRUE,'Resumo - TERCEIROS'!$B:$B=$A45)),0)"),990309.0100000002)</f>
        <v>990309.01</v>
      </c>
      <c r="F45" s="19">
        <v>999203.4903406238</v>
      </c>
      <c r="G45" s="20">
        <v>0.0</v>
      </c>
    </row>
    <row r="46" ht="18.75" customHeight="1">
      <c r="A46" s="60" t="s">
        <v>52</v>
      </c>
      <c r="B46" s="61">
        <f t="shared" si="7"/>
        <v>0</v>
      </c>
      <c r="C46" s="62"/>
      <c r="D46" s="63" t="s">
        <v>13</v>
      </c>
      <c r="E46" s="64">
        <f>IFERROR(__xludf.DUMMYFUNCTION("iferror(sum(filter('Resumo - TERCEIROS'!$G:$G,'Resumo - TERCEIROS'!$L:$L=TRUE,'Resumo - TERCEIROS'!$B:$B=$A46)),0)"),0.0)</f>
        <v>0</v>
      </c>
      <c r="F46" s="64">
        <f>IFERROR(__xludf.DUMMYFUNCTION("iferror(sum(filter('Resumo - TIMESHEETS'!$L$12:$L49,'Resumo - TIMESHEETS'!$O$12:$O49=""Parcial"",'Resumo - TIMESHEETS'!$C$12:$C49=$A46)),0)"),0.0)</f>
        <v>0</v>
      </c>
      <c r="G46" s="64">
        <f>IFERROR(__xludf.DUMMYFUNCTION("iferror(sum(filter('Resumo - TIMESHEETS'!$L$12:$L49,'Resumo - TIMESHEETS'!$O$12:$O49=""Exclusivo"",'Resumo - TIMESHEETS'!$C$12:$C49=$A46)),0)"),0.0)</f>
        <v>0</v>
      </c>
    </row>
    <row r="47" ht="18.75" customHeight="1">
      <c r="A47" s="60" t="s">
        <v>53</v>
      </c>
      <c r="B47" s="61">
        <f t="shared" si="7"/>
        <v>0</v>
      </c>
      <c r="C47" s="62"/>
      <c r="D47" s="63" t="s">
        <v>13</v>
      </c>
      <c r="E47" s="64">
        <f>IFERROR(__xludf.DUMMYFUNCTION("iferror(sum(filter('Resumo - TERCEIROS'!$G:$G,'Resumo - TERCEIROS'!$L:$L=TRUE,'Resumo - TERCEIROS'!$B:$B=$A47)),0)"),0.0)</f>
        <v>0</v>
      </c>
      <c r="F47" s="64">
        <f>IFERROR(__xludf.DUMMYFUNCTION("iferror(sum(filter('Resumo - TIMESHEETS'!$L$12:$L49,'Resumo - TIMESHEETS'!$O$12:$O49=""Parcial"",'Resumo - TIMESHEETS'!$C$12:$C49=$A47)),0)"),0.0)</f>
        <v>0</v>
      </c>
      <c r="G47" s="64">
        <f>IFERROR(__xludf.DUMMYFUNCTION("iferror(sum(filter('Resumo - TIMESHEETS'!$L$12:$L49,'Resumo - TIMESHEETS'!$O$12:$O49=""Exclusivo"",'Resumo - TIMESHEETS'!$C$12:$C49=$A47)),0)"),0.0)</f>
        <v>0</v>
      </c>
    </row>
    <row r="48" ht="18.75" customHeight="1">
      <c r="A48" s="7" t="s">
        <v>54</v>
      </c>
      <c r="B48" s="58">
        <f t="shared" si="7"/>
        <v>40325.09122</v>
      </c>
      <c r="C48" s="59"/>
      <c r="D48" s="20" t="s">
        <v>13</v>
      </c>
      <c r="E48" s="19">
        <f>IFERROR(__xludf.DUMMYFUNCTION("iferror(sum(filter('Resumo - TERCEIROS'!$G:$G,'Resumo - TERCEIROS'!$K:$K=TRUE,'Resumo - TERCEIROS'!$L:$L=TRUE,'Resumo - TERCEIROS'!$B:$B=$A48)),0)"),35089.02)</f>
        <v>35089.02</v>
      </c>
      <c r="F48" s="19">
        <f>IFERROR(__xludf.DUMMYFUNCTION("iferror(sum(filter('Resumo - TIMESHEETS'!$L$12:$L49,'Resumo - TIMESHEETS'!$O$12:$O49=""Parcial"",'Resumo - TIMESHEETS'!$C$12:$C49=$A48)),0)"),5236.071215351803)</f>
        <v>5236.071215</v>
      </c>
      <c r="G48" s="19">
        <f>IFERROR(__xludf.DUMMYFUNCTION("iferror(sum(filter('Resumo - TIMESHEETS'!$L$12:$L49,'Resumo - TIMESHEETS'!$O$12:$O49=""Exclusivo"",'Resumo - TIMESHEETS'!$C$12:$C49=$A48)),0)"),0.0)</f>
        <v>0</v>
      </c>
    </row>
    <row r="49" ht="18.75" customHeight="1">
      <c r="A49" s="65" t="s">
        <v>55</v>
      </c>
      <c r="B49" s="66">
        <f>SUM(B44:B48)</f>
        <v>2410869.05</v>
      </c>
      <c r="C49" s="1"/>
      <c r="D49" s="66">
        <f>Sum(D44:D48)</f>
        <v>0</v>
      </c>
      <c r="E49" s="67">
        <f t="shared" ref="E49:G49" si="8">SUM(E44:E48)</f>
        <v>1123794.58</v>
      </c>
      <c r="F49" s="66">
        <f t="shared" si="8"/>
        <v>1287074.47</v>
      </c>
      <c r="G49" s="66">
        <f t="shared" si="8"/>
        <v>0</v>
      </c>
    </row>
  </sheetData>
  <mergeCells count="3">
    <mergeCell ref="F2:G3"/>
    <mergeCell ref="B32:D32"/>
    <mergeCell ref="E32:G32"/>
  </mergeCells>
  <printOptions horizontalCentered="1"/>
  <pageMargins bottom="0.19685039370078738" footer="0.0" header="0.0" left="0.19685039370078738" right="0.19685039370078738" top="0.1968503937007873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96C6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5" width="15.13"/>
    <col customWidth="1" min="6" max="7" width="5.13"/>
  </cols>
  <sheetData>
    <row r="1" ht="11.25" customHeight="1">
      <c r="A1" s="68"/>
      <c r="B1" s="68"/>
      <c r="C1" s="68"/>
      <c r="D1" s="68"/>
      <c r="E1" s="68"/>
      <c r="F1" s="68"/>
      <c r="G1" s="68"/>
    </row>
    <row r="2">
      <c r="A2" s="68"/>
      <c r="B2" s="69" t="s">
        <v>56</v>
      </c>
      <c r="C2" s="68"/>
      <c r="D2" s="68"/>
      <c r="E2" s="68"/>
      <c r="F2" s="68"/>
      <c r="G2" s="68"/>
    </row>
    <row r="3">
      <c r="A3" s="68"/>
      <c r="B3" s="70" t="s">
        <v>57</v>
      </c>
      <c r="C3" s="68"/>
      <c r="D3" s="68"/>
      <c r="E3" s="68"/>
      <c r="F3" s="68"/>
      <c r="G3" s="68"/>
    </row>
    <row r="4">
      <c r="A4" s="68"/>
      <c r="B4" s="71" t="s">
        <v>58</v>
      </c>
      <c r="C4" s="68"/>
      <c r="D4" s="68"/>
      <c r="E4" s="68"/>
      <c r="F4" s="68"/>
      <c r="G4" s="68"/>
    </row>
    <row r="5">
      <c r="A5" s="68"/>
      <c r="B5" s="72" t="s">
        <v>59</v>
      </c>
      <c r="C5" s="68"/>
      <c r="D5" s="68"/>
      <c r="E5" s="68"/>
      <c r="F5" s="68"/>
      <c r="G5" s="68"/>
    </row>
    <row r="6">
      <c r="A6" s="68"/>
      <c r="C6" s="68"/>
      <c r="D6" s="68"/>
      <c r="E6" s="68"/>
      <c r="F6" s="68"/>
      <c r="G6" s="68"/>
    </row>
    <row r="7">
      <c r="A7" s="68"/>
      <c r="B7" s="73"/>
      <c r="C7" s="68"/>
      <c r="D7" s="68"/>
      <c r="E7" s="68"/>
      <c r="F7" s="68"/>
      <c r="G7" s="68"/>
    </row>
    <row r="8">
      <c r="A8" s="68"/>
      <c r="B8" s="69" t="s">
        <v>60</v>
      </c>
      <c r="C8" s="68"/>
      <c r="D8" s="68"/>
      <c r="E8" s="68"/>
      <c r="F8" s="68"/>
      <c r="G8" s="68"/>
    </row>
    <row r="9">
      <c r="A9" s="68"/>
      <c r="B9" s="70" t="s">
        <v>61</v>
      </c>
      <c r="C9" s="68"/>
      <c r="D9" s="68"/>
      <c r="E9" s="68"/>
      <c r="F9" s="68"/>
      <c r="G9" s="68"/>
    </row>
    <row r="10">
      <c r="A10" s="68"/>
      <c r="B10" s="68"/>
      <c r="C10" s="68"/>
      <c r="D10" s="68"/>
      <c r="E10" s="68"/>
      <c r="F10" s="68"/>
      <c r="G10" s="68"/>
    </row>
    <row r="11">
      <c r="A11" s="68"/>
      <c r="B11" s="74" t="s">
        <v>62</v>
      </c>
      <c r="C11" s="75" t="s">
        <v>63</v>
      </c>
      <c r="D11" s="75" t="s">
        <v>64</v>
      </c>
      <c r="E11" s="75" t="s">
        <v>65</v>
      </c>
      <c r="F11" s="76"/>
      <c r="G11" s="68"/>
    </row>
    <row r="12">
      <c r="A12" s="68"/>
      <c r="B12" s="77" t="s">
        <v>66</v>
      </c>
      <c r="C12" s="78" t="b">
        <f t="array" ref="C12:E12">TRANSPOSE(IRIS!M4:M6)</f>
        <v>1</v>
      </c>
      <c r="D12" s="77" t="b">
        <v>0</v>
      </c>
      <c r="E12" s="79" t="b">
        <v>0</v>
      </c>
      <c r="F12" s="68"/>
      <c r="G12" s="68"/>
    </row>
    <row r="13">
      <c r="A13" s="68"/>
      <c r="B13" s="77" t="s">
        <v>51</v>
      </c>
      <c r="C13" s="78" t="b">
        <f t="array" ref="C13:E13">TRANSPOSE(NOTIFY!M4:M6)</f>
        <v>1</v>
      </c>
      <c r="D13" s="79" t="b">
        <v>0</v>
      </c>
      <c r="E13" s="79" t="b">
        <v>0</v>
      </c>
      <c r="F13" s="68"/>
      <c r="G13" s="68"/>
    </row>
    <row r="14">
      <c r="A14" s="68"/>
      <c r="B14" s="77" t="s">
        <v>52</v>
      </c>
      <c r="C14" s="80" t="b">
        <v>0</v>
      </c>
      <c r="D14" s="79"/>
      <c r="E14" s="79"/>
      <c r="F14" s="68"/>
      <c r="G14" s="68"/>
    </row>
    <row r="15">
      <c r="A15" s="68"/>
      <c r="B15" s="77" t="s">
        <v>53</v>
      </c>
      <c r="C15" s="80" t="b">
        <v>0</v>
      </c>
      <c r="D15" s="79"/>
      <c r="E15" s="79"/>
      <c r="F15" s="68"/>
      <c r="G15" s="68"/>
    </row>
    <row r="16">
      <c r="A16" s="68"/>
      <c r="B16" s="77" t="s">
        <v>54</v>
      </c>
      <c r="C16" s="77" t="b">
        <v>1</v>
      </c>
      <c r="D16" s="79"/>
      <c r="E16" s="79"/>
      <c r="F16" s="68"/>
      <c r="G16" s="68"/>
    </row>
  </sheetData>
  <mergeCells count="1">
    <mergeCell ref="B5:B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96C6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6.38"/>
    <col customWidth="1" min="3" max="3" width="8.88"/>
    <col customWidth="1" min="4" max="4" width="18.88"/>
    <col customWidth="1" min="5" max="5" width="20.63"/>
    <col customWidth="1" hidden="1" min="6" max="6" width="9.38"/>
    <col customWidth="1" min="7" max="7" width="7.25"/>
    <col customWidth="1" min="8" max="8" width="8.38"/>
    <col customWidth="1" min="10" max="10" width="30.75"/>
    <col customWidth="1" min="11" max="11" width="11.63"/>
    <col customWidth="1" min="12" max="12" width="11.38"/>
    <col customWidth="1" min="13" max="13" width="17.13"/>
    <col customWidth="1" min="14" max="14" width="15.63"/>
    <col customWidth="1" min="15" max="15" width="8.13"/>
    <col customWidth="1" min="16" max="16" width="5.13"/>
  </cols>
  <sheetData>
    <row r="1" ht="11.25" customHeight="1">
      <c r="A1" s="68"/>
      <c r="B1" s="68"/>
      <c r="C1" s="68"/>
      <c r="D1" s="68"/>
      <c r="E1" s="68"/>
      <c r="F1" s="81"/>
      <c r="G1" s="81"/>
      <c r="H1" s="82"/>
      <c r="I1" s="68"/>
      <c r="J1" s="68"/>
      <c r="K1" s="83"/>
      <c r="L1" s="83"/>
      <c r="M1" s="84"/>
      <c r="N1" s="84"/>
      <c r="O1" s="85"/>
      <c r="P1" s="68"/>
    </row>
    <row r="2">
      <c r="A2" s="68"/>
      <c r="B2" s="69" t="s">
        <v>56</v>
      </c>
      <c r="C2" s="73"/>
      <c r="D2" s="73"/>
      <c r="E2" s="73"/>
      <c r="F2" s="86"/>
      <c r="G2" s="86"/>
      <c r="H2" s="82"/>
      <c r="I2" s="68"/>
      <c r="J2" s="68"/>
      <c r="K2" s="83"/>
      <c r="L2" s="83"/>
      <c r="M2" s="84"/>
      <c r="N2" s="84"/>
      <c r="O2" s="85"/>
      <c r="P2" s="68"/>
    </row>
    <row r="3">
      <c r="A3" s="68"/>
      <c r="B3" s="70" t="s">
        <v>57</v>
      </c>
      <c r="C3" s="73"/>
      <c r="D3" s="73"/>
      <c r="E3" s="73"/>
      <c r="F3" s="86"/>
      <c r="G3" s="86"/>
      <c r="H3" s="82"/>
      <c r="I3" s="68"/>
      <c r="J3" s="68"/>
      <c r="K3" s="83"/>
      <c r="L3" s="83"/>
      <c r="M3" s="84"/>
      <c r="N3" s="84"/>
      <c r="O3" s="85"/>
      <c r="P3" s="68"/>
    </row>
    <row r="4">
      <c r="A4" s="68"/>
      <c r="B4" s="71" t="s">
        <v>67</v>
      </c>
      <c r="C4" s="73"/>
      <c r="D4" s="73"/>
      <c r="E4" s="73"/>
      <c r="F4" s="86"/>
      <c r="G4" s="86"/>
      <c r="H4" s="82"/>
      <c r="I4" s="68"/>
      <c r="J4" s="68"/>
      <c r="K4" s="83"/>
      <c r="L4" s="83"/>
      <c r="M4" s="84"/>
      <c r="N4" s="84"/>
      <c r="O4" s="85"/>
      <c r="P4" s="68"/>
    </row>
    <row r="5">
      <c r="A5" s="68"/>
      <c r="B5" s="72" t="s">
        <v>59</v>
      </c>
      <c r="E5" s="72"/>
      <c r="F5" s="72"/>
      <c r="G5" s="72"/>
      <c r="H5" s="82"/>
      <c r="I5" s="68"/>
      <c r="J5" s="68"/>
      <c r="K5" s="83"/>
      <c r="L5" s="83"/>
      <c r="M5" s="87"/>
      <c r="N5" s="84"/>
      <c r="O5" s="85"/>
      <c r="P5" s="68"/>
    </row>
    <row r="6">
      <c r="A6" s="68"/>
      <c r="E6" s="72"/>
      <c r="F6" s="72"/>
      <c r="G6" s="72"/>
      <c r="H6" s="82"/>
      <c r="I6" s="88" t="s">
        <v>68</v>
      </c>
      <c r="J6" s="68"/>
      <c r="K6" s="83"/>
      <c r="L6" s="83"/>
      <c r="M6" s="84"/>
      <c r="N6" s="84"/>
      <c r="O6" s="85"/>
      <c r="P6" s="68"/>
    </row>
    <row r="7">
      <c r="A7" s="68"/>
      <c r="B7" s="73"/>
      <c r="C7" s="73"/>
      <c r="D7" s="73"/>
      <c r="E7" s="73"/>
      <c r="F7" s="86"/>
      <c r="G7" s="86"/>
      <c r="H7" s="82"/>
      <c r="I7" s="88" t="s">
        <v>69</v>
      </c>
      <c r="J7" s="68"/>
      <c r="K7" s="83"/>
      <c r="L7" s="89"/>
      <c r="M7" s="84"/>
      <c r="N7" s="84"/>
      <c r="O7" s="85"/>
      <c r="P7" s="68"/>
    </row>
    <row r="8">
      <c r="A8" s="68"/>
      <c r="B8" s="69" t="s">
        <v>60</v>
      </c>
      <c r="C8" s="73"/>
      <c r="D8" s="73"/>
      <c r="E8" s="73"/>
      <c r="F8" s="86"/>
      <c r="G8" s="86"/>
      <c r="H8" s="82"/>
      <c r="I8" s="88" t="s">
        <v>70</v>
      </c>
      <c r="J8" s="68"/>
      <c r="K8" s="83"/>
      <c r="L8" s="83"/>
      <c r="M8" s="84"/>
      <c r="N8" s="84"/>
      <c r="O8" s="85"/>
      <c r="P8" s="68"/>
    </row>
    <row r="9">
      <c r="A9" s="68"/>
      <c r="B9" s="70" t="s">
        <v>71</v>
      </c>
      <c r="C9" s="73"/>
      <c r="D9" s="73"/>
      <c r="E9" s="73"/>
      <c r="F9" s="86"/>
      <c r="G9" s="86"/>
      <c r="H9" s="82"/>
      <c r="I9" s="88" t="s">
        <v>72</v>
      </c>
      <c r="J9" s="68"/>
      <c r="K9" s="83"/>
      <c r="L9" s="83"/>
      <c r="M9" s="84"/>
      <c r="N9" s="84"/>
      <c r="O9" s="85"/>
      <c r="P9" s="68"/>
    </row>
    <row r="10">
      <c r="A10" s="68"/>
      <c r="B10" s="68"/>
      <c r="C10" s="68"/>
      <c r="D10" s="68"/>
      <c r="E10" s="68"/>
      <c r="F10" s="81"/>
      <c r="G10" s="81"/>
      <c r="H10" s="82"/>
      <c r="I10" s="90"/>
      <c r="J10" s="68"/>
      <c r="K10" s="91"/>
      <c r="L10" s="91"/>
      <c r="M10" s="84"/>
      <c r="N10" s="84"/>
      <c r="O10" s="85"/>
      <c r="P10" s="68"/>
    </row>
    <row r="11">
      <c r="A11" s="68"/>
      <c r="B11" s="74" t="s">
        <v>73</v>
      </c>
      <c r="C11" s="74" t="s">
        <v>62</v>
      </c>
      <c r="D11" s="74" t="s">
        <v>74</v>
      </c>
      <c r="E11" s="74" t="s">
        <v>75</v>
      </c>
      <c r="F11" s="74" t="s">
        <v>76</v>
      </c>
      <c r="G11" s="74" t="s">
        <v>77</v>
      </c>
      <c r="H11" s="74" t="s">
        <v>78</v>
      </c>
      <c r="I11" s="74" t="s">
        <v>79</v>
      </c>
      <c r="J11" s="74" t="s">
        <v>80</v>
      </c>
      <c r="K11" s="92" t="s">
        <v>81</v>
      </c>
      <c r="L11" s="92" t="s">
        <v>82</v>
      </c>
      <c r="M11" s="74" t="s">
        <v>83</v>
      </c>
      <c r="N11" s="74" t="s">
        <v>84</v>
      </c>
      <c r="O11" s="74" t="s">
        <v>85</v>
      </c>
      <c r="P11" s="74"/>
    </row>
    <row r="12">
      <c r="A12" s="68"/>
      <c r="B12" s="79" t="str">
        <f t="array" ref="B12:J268">{'IRIS TIMESHEET'!B12:J1778;'NOTIFY TIMESHEET'!B12:J1778;'P&amp;D_1 TIMESHEET'!B12:J1778;'P&amp;D_2 TIMESHEET'!B12:J1778;'P&amp;D_3 TIMESHEET'!B12:J1778}</f>
        <v/>
      </c>
      <c r="C12" s="77" t="s">
        <v>66</v>
      </c>
      <c r="D12" s="77" t="s">
        <v>86</v>
      </c>
      <c r="E12" s="77" t="s">
        <v>87</v>
      </c>
      <c r="F12" s="93"/>
      <c r="G12" s="94">
        <v>45313.0</v>
      </c>
      <c r="H12" s="95">
        <v>76.9</v>
      </c>
      <c r="I12" s="77" t="s">
        <v>70</v>
      </c>
      <c r="J12" s="96" t="s">
        <v>88</v>
      </c>
      <c r="K12" s="97">
        <f>IF(AND($M12=TRUE,$N12=TRUE),VLOOKUP($E12,RH!$B$47:$S$67,MONTH($G12)+6,FALSE))</f>
        <v>22.24602556</v>
      </c>
      <c r="L12" s="98">
        <f>IFERROR(IF(AND($M12=TRUE,$N12=TRUE),VLOOKUP($E12,RH!$B$47:$S$67,MONTH($G12)+6,FALSE)*$H12,0),0)</f>
        <v>1710.719366</v>
      </c>
      <c r="M12" s="99" t="b">
        <f t="shared" ref="M12:M1012" si="1">IF(OR(I12="Treinamento",I12="Pesquisa",I12="Desenvolvimento"),TRUE,FALSE)</f>
        <v>1</v>
      </c>
      <c r="N12" s="99" t="b">
        <f t="array" ref="N12:N1778">XLOOKUP($C$12:$C1778,'Resumo - PROJETOS'!$B:$B,'Resumo - PROJETOS'!$C:$C,,0)</f>
        <v>1</v>
      </c>
      <c r="O12" s="85" t="str">
        <f t="array" ref="O12:O1778">XLOOKUP($E$12:$E1778,RH!$B:$B,RH!$V:$V,,0)</f>
        <v>Parcial</v>
      </c>
      <c r="P12" s="68"/>
    </row>
    <row r="13">
      <c r="A13" s="68"/>
      <c r="B13" s="79"/>
      <c r="C13" s="77" t="s">
        <v>66</v>
      </c>
      <c r="D13" s="77" t="s">
        <v>86</v>
      </c>
      <c r="E13" s="77" t="s">
        <v>89</v>
      </c>
      <c r="F13" s="93"/>
      <c r="G13" s="94">
        <v>45294.0</v>
      </c>
      <c r="H13" s="95">
        <v>166.5</v>
      </c>
      <c r="I13" s="77" t="s">
        <v>70</v>
      </c>
      <c r="J13" s="96" t="s">
        <v>90</v>
      </c>
      <c r="K13" s="97">
        <f>IF(AND($M13=TRUE,$N13=TRUE),VLOOKUP($E13,RH!$B$47:$S$67,MONTH($G13)+6,FALSE))</f>
        <v>75.07140218</v>
      </c>
      <c r="L13" s="98">
        <f>IFERROR(IF(AND($M13=TRUE,$N13=TRUE),VLOOKUP($E13,RH!$B$47:$S$67,MONTH($G13)+6,FALSE)*$H13,0),0)</f>
        <v>12499.38846</v>
      </c>
      <c r="M13" s="99" t="b">
        <f t="shared" si="1"/>
        <v>1</v>
      </c>
      <c r="N13" s="99" t="b">
        <v>1</v>
      </c>
      <c r="O13" s="85" t="s">
        <v>91</v>
      </c>
      <c r="P13" s="68"/>
    </row>
    <row r="14">
      <c r="A14" s="68"/>
      <c r="B14" s="79"/>
      <c r="C14" s="77" t="s">
        <v>66</v>
      </c>
      <c r="D14" s="77" t="s">
        <v>86</v>
      </c>
      <c r="E14" s="77" t="s">
        <v>92</v>
      </c>
      <c r="F14" s="93"/>
      <c r="G14" s="94">
        <v>45320.0</v>
      </c>
      <c r="H14" s="95">
        <v>4.5</v>
      </c>
      <c r="I14" s="77" t="s">
        <v>70</v>
      </c>
      <c r="J14" s="96" t="s">
        <v>93</v>
      </c>
      <c r="K14" s="97">
        <f>IF(AND($M14=TRUE,$N14=TRUE),VLOOKUP($E14,RH!$B$47:$S$67,MONTH($G14)+6,FALSE))</f>
        <v>39.31102479</v>
      </c>
      <c r="L14" s="98">
        <f>IFERROR(IF(AND($M14=TRUE,$N14=TRUE),VLOOKUP($E14,RH!$B$47:$S$67,MONTH($G14)+6,FALSE)*$H14,0),0)</f>
        <v>176.8996116</v>
      </c>
      <c r="M14" s="99" t="b">
        <f t="shared" si="1"/>
        <v>1</v>
      </c>
      <c r="N14" s="99" t="b">
        <v>1</v>
      </c>
      <c r="O14" s="85" t="s">
        <v>91</v>
      </c>
      <c r="P14" s="68"/>
    </row>
    <row r="15">
      <c r="A15" s="68"/>
      <c r="B15" s="79"/>
      <c r="C15" s="77" t="s">
        <v>66</v>
      </c>
      <c r="D15" s="77" t="s">
        <v>86</v>
      </c>
      <c r="E15" s="77" t="s">
        <v>94</v>
      </c>
      <c r="F15" s="93"/>
      <c r="G15" s="94">
        <v>45299.0</v>
      </c>
      <c r="H15" s="95">
        <v>186.75</v>
      </c>
      <c r="I15" s="77" t="s">
        <v>70</v>
      </c>
      <c r="J15" s="96" t="s">
        <v>88</v>
      </c>
      <c r="K15" s="97">
        <f>IF(AND($M15=TRUE,$N15=TRUE),VLOOKUP($E15,RH!$B$47:$S$67,MONTH($G15)+6,FALSE))</f>
        <v>44.36438547</v>
      </c>
      <c r="L15" s="98">
        <f>IFERROR(IF(AND($M15=TRUE,$N15=TRUE),VLOOKUP($E15,RH!$B$47:$S$67,MONTH($G15)+6,FALSE)*$H15,0),0)</f>
        <v>8285.048987</v>
      </c>
      <c r="M15" s="99" t="b">
        <f t="shared" si="1"/>
        <v>1</v>
      </c>
      <c r="N15" s="99" t="b">
        <v>1</v>
      </c>
      <c r="O15" s="85" t="s">
        <v>91</v>
      </c>
      <c r="P15" s="68"/>
    </row>
    <row r="16">
      <c r="A16" s="68"/>
      <c r="B16" s="79"/>
      <c r="C16" s="77" t="s">
        <v>66</v>
      </c>
      <c r="D16" s="77" t="s">
        <v>86</v>
      </c>
      <c r="E16" s="77" t="s">
        <v>95</v>
      </c>
      <c r="F16" s="93"/>
      <c r="G16" s="94">
        <v>45295.0</v>
      </c>
      <c r="H16" s="95">
        <v>43.0</v>
      </c>
      <c r="I16" s="77" t="s">
        <v>70</v>
      </c>
      <c r="J16" s="96" t="s">
        <v>96</v>
      </c>
      <c r="K16" s="97">
        <f>IF(AND($M16=TRUE,$N16=TRUE),VLOOKUP($E16,RH!$B$47:$S$67,MONTH($G16)+6,FALSE))</f>
        <v>11.71696509</v>
      </c>
      <c r="L16" s="98">
        <f>IFERROR(IF(AND($M16=TRUE,$N16=TRUE),VLOOKUP($E16,RH!$B$47:$S$67,MONTH($G16)+6,FALSE)*$H16,0),0)</f>
        <v>503.8294989</v>
      </c>
      <c r="M16" s="99" t="b">
        <f t="shared" si="1"/>
        <v>1</v>
      </c>
      <c r="N16" s="99" t="b">
        <v>1</v>
      </c>
      <c r="O16" s="85" t="s">
        <v>91</v>
      </c>
      <c r="P16" s="68"/>
    </row>
    <row r="17">
      <c r="A17" s="68"/>
      <c r="B17" s="79"/>
      <c r="C17" s="77" t="s">
        <v>66</v>
      </c>
      <c r="D17" s="77" t="s">
        <v>86</v>
      </c>
      <c r="E17" s="77" t="s">
        <v>97</v>
      </c>
      <c r="F17" s="93"/>
      <c r="G17" s="94">
        <v>45299.0</v>
      </c>
      <c r="H17" s="95">
        <v>140.0</v>
      </c>
      <c r="I17" s="77" t="s">
        <v>70</v>
      </c>
      <c r="J17" s="96" t="s">
        <v>93</v>
      </c>
      <c r="K17" s="97">
        <f>IF(AND($M17=TRUE,$N17=TRUE),VLOOKUP($E17,RH!$B$47:$S$67,MONTH($G17)+6,FALSE))</f>
        <v>60.9085117</v>
      </c>
      <c r="L17" s="98">
        <f>IFERROR(IF(AND($M17=TRUE,$N17=TRUE),VLOOKUP($E17,RH!$B$47:$S$67,MONTH($G17)+6,FALSE)*$H17,0),0)</f>
        <v>8527.191637</v>
      </c>
      <c r="M17" s="99" t="b">
        <f t="shared" si="1"/>
        <v>1</v>
      </c>
      <c r="N17" s="99" t="b">
        <v>1</v>
      </c>
      <c r="O17" s="85" t="s">
        <v>91</v>
      </c>
      <c r="P17" s="68"/>
    </row>
    <row r="18">
      <c r="A18" s="68"/>
      <c r="B18" s="79"/>
      <c r="C18" s="77" t="s">
        <v>66</v>
      </c>
      <c r="D18" s="77" t="s">
        <v>86</v>
      </c>
      <c r="E18" s="77" t="s">
        <v>98</v>
      </c>
      <c r="F18" s="93"/>
      <c r="G18" s="94">
        <v>45299.0</v>
      </c>
      <c r="H18" s="95">
        <v>43.5</v>
      </c>
      <c r="I18" s="77" t="s">
        <v>70</v>
      </c>
      <c r="J18" s="96" t="s">
        <v>96</v>
      </c>
      <c r="K18" s="97">
        <f>IF(AND($M18=TRUE,$N18=TRUE),VLOOKUP($E18,RH!$B$47:$S$67,MONTH($G18)+6,FALSE))</f>
        <v>12.91650814</v>
      </c>
      <c r="L18" s="98">
        <f>IFERROR(IF(AND($M18=TRUE,$N18=TRUE),VLOOKUP($E18,RH!$B$47:$S$67,MONTH($G18)+6,FALSE)*$H18,0),0)</f>
        <v>561.8681039</v>
      </c>
      <c r="M18" s="99" t="b">
        <f t="shared" si="1"/>
        <v>1</v>
      </c>
      <c r="N18" s="99" t="b">
        <v>1</v>
      </c>
      <c r="O18" s="85" t="s">
        <v>91</v>
      </c>
      <c r="P18" s="68"/>
    </row>
    <row r="19">
      <c r="A19" s="68"/>
      <c r="B19" s="79"/>
      <c r="C19" s="77" t="s">
        <v>66</v>
      </c>
      <c r="D19" s="77" t="s">
        <v>86</v>
      </c>
      <c r="E19" s="77" t="s">
        <v>99</v>
      </c>
      <c r="F19" s="93"/>
      <c r="G19" s="94">
        <v>45313.0</v>
      </c>
      <c r="H19" s="95">
        <v>2.8</v>
      </c>
      <c r="I19" s="77" t="s">
        <v>70</v>
      </c>
      <c r="J19" s="96" t="s">
        <v>93</v>
      </c>
      <c r="K19" s="97">
        <f>IF(AND($M19=TRUE,$N19=TRUE),VLOOKUP($E19,RH!$B$47:$S$67,MONTH($G19)+6,FALSE))</f>
        <v>20.7906514</v>
      </c>
      <c r="L19" s="98">
        <f>IFERROR(IF(AND($M19=TRUE,$N19=TRUE),VLOOKUP($E19,RH!$B$47:$S$67,MONTH($G19)+6,FALSE)*$H19,0),0)</f>
        <v>58.21382393</v>
      </c>
      <c r="M19" s="99" t="b">
        <f t="shared" si="1"/>
        <v>1</v>
      </c>
      <c r="N19" s="99" t="b">
        <v>1</v>
      </c>
      <c r="O19" s="85" t="s">
        <v>91</v>
      </c>
      <c r="P19" s="68"/>
    </row>
    <row r="20">
      <c r="A20" s="68"/>
      <c r="B20" s="79"/>
      <c r="C20" s="77" t="s">
        <v>66</v>
      </c>
      <c r="D20" s="77" t="s">
        <v>100</v>
      </c>
      <c r="E20" s="77" t="s">
        <v>101</v>
      </c>
      <c r="F20" s="93"/>
      <c r="G20" s="94">
        <v>45344.0</v>
      </c>
      <c r="H20" s="95">
        <v>6.75</v>
      </c>
      <c r="I20" s="77" t="s">
        <v>70</v>
      </c>
      <c r="J20" s="96" t="s">
        <v>93</v>
      </c>
      <c r="K20" s="97">
        <f>IF(AND($M20=TRUE,$N20=TRUE),VLOOKUP($E20,RH!$B$47:$S$67,MONTH($G20)+6,FALSE))</f>
        <v>54.32512029</v>
      </c>
      <c r="L20" s="98">
        <f>IFERROR(IF(AND($M20=TRUE,$N20=TRUE),VLOOKUP($E20,RH!$B$47:$S$67,MONTH($G20)+6,FALSE)*$H20,0),0)</f>
        <v>366.6945619</v>
      </c>
      <c r="M20" s="99" t="b">
        <f t="shared" si="1"/>
        <v>1</v>
      </c>
      <c r="N20" s="99" t="b">
        <v>1</v>
      </c>
      <c r="O20" s="85" t="s">
        <v>91</v>
      </c>
      <c r="P20" s="68"/>
    </row>
    <row r="21">
      <c r="A21" s="68"/>
      <c r="B21" s="79"/>
      <c r="C21" s="77" t="s">
        <v>66</v>
      </c>
      <c r="D21" s="77" t="s">
        <v>100</v>
      </c>
      <c r="E21" s="77" t="s">
        <v>87</v>
      </c>
      <c r="F21" s="93"/>
      <c r="G21" s="94">
        <v>45323.0</v>
      </c>
      <c r="H21" s="95">
        <v>71.8</v>
      </c>
      <c r="I21" s="77" t="s">
        <v>70</v>
      </c>
      <c r="J21" s="96" t="s">
        <v>88</v>
      </c>
      <c r="K21" s="97">
        <f>IF(AND($M21=TRUE,$N21=TRUE),VLOOKUP($E21,RH!$B$47:$S$67,MONTH($G21)+6,FALSE))</f>
        <v>23.25300209</v>
      </c>
      <c r="L21" s="98">
        <f>IFERROR(IF(AND($M21=TRUE,$N21=TRUE),VLOOKUP($E21,RH!$B$47:$S$67,MONTH($G21)+6,FALSE)*$H21,0),0)</f>
        <v>1669.56555</v>
      </c>
      <c r="M21" s="99" t="b">
        <f t="shared" si="1"/>
        <v>1</v>
      </c>
      <c r="N21" s="99" t="b">
        <v>1</v>
      </c>
      <c r="O21" s="85" t="s">
        <v>91</v>
      </c>
      <c r="P21" s="68"/>
    </row>
    <row r="22">
      <c r="A22" s="68"/>
      <c r="B22" s="79"/>
      <c r="C22" s="77" t="s">
        <v>66</v>
      </c>
      <c r="D22" s="77" t="s">
        <v>100</v>
      </c>
      <c r="E22" s="77" t="s">
        <v>89</v>
      </c>
      <c r="F22" s="93"/>
      <c r="G22" s="94">
        <v>45323.0</v>
      </c>
      <c r="H22" s="95">
        <v>189.92</v>
      </c>
      <c r="I22" s="77" t="s">
        <v>70</v>
      </c>
      <c r="J22" s="96" t="s">
        <v>90</v>
      </c>
      <c r="K22" s="97">
        <f>IF(AND($M22=TRUE,$N22=TRUE),VLOOKUP($E22,RH!$B$47:$S$67,MONTH($G22)+6,FALSE))</f>
        <v>78.46954356</v>
      </c>
      <c r="L22" s="98">
        <f>IFERROR(IF(AND($M22=TRUE,$N22=TRUE),VLOOKUP($E22,RH!$B$47:$S$67,MONTH($G22)+6,FALSE)*$H22,0),0)</f>
        <v>14902.93571</v>
      </c>
      <c r="M22" s="99" t="b">
        <f t="shared" si="1"/>
        <v>1</v>
      </c>
      <c r="N22" s="99" t="b">
        <v>1</v>
      </c>
      <c r="O22" s="85" t="s">
        <v>91</v>
      </c>
      <c r="P22" s="68"/>
    </row>
    <row r="23">
      <c r="A23" s="68"/>
      <c r="B23" s="79"/>
      <c r="C23" s="77" t="s">
        <v>66</v>
      </c>
      <c r="D23" s="77" t="s">
        <v>100</v>
      </c>
      <c r="E23" s="77" t="s">
        <v>92</v>
      </c>
      <c r="F23" s="93"/>
      <c r="G23" s="94">
        <v>45327.0</v>
      </c>
      <c r="H23" s="95">
        <v>115.65</v>
      </c>
      <c r="I23" s="77" t="s">
        <v>70</v>
      </c>
      <c r="J23" s="96" t="s">
        <v>93</v>
      </c>
      <c r="K23" s="97">
        <f>IF(AND($M23=TRUE,$N23=TRUE),VLOOKUP($E23,RH!$B$47:$S$67,MONTH($G23)+6,FALSE))</f>
        <v>41.09045633</v>
      </c>
      <c r="L23" s="98">
        <f>IFERROR(IF(AND($M23=TRUE,$N23=TRUE),VLOOKUP($E23,RH!$B$47:$S$67,MONTH($G23)+6,FALSE)*$H23,0),0)</f>
        <v>4752.111274</v>
      </c>
      <c r="M23" s="99" t="b">
        <f t="shared" si="1"/>
        <v>1</v>
      </c>
      <c r="N23" s="99" t="b">
        <v>1</v>
      </c>
      <c r="O23" s="85" t="s">
        <v>91</v>
      </c>
      <c r="P23" s="68"/>
    </row>
    <row r="24">
      <c r="A24" s="68"/>
      <c r="B24" s="79"/>
      <c r="C24" s="77" t="s">
        <v>66</v>
      </c>
      <c r="D24" s="77" t="s">
        <v>100</v>
      </c>
      <c r="E24" s="77" t="s">
        <v>95</v>
      </c>
      <c r="F24" s="93"/>
      <c r="G24" s="94">
        <v>45324.0</v>
      </c>
      <c r="H24" s="95">
        <v>33.0</v>
      </c>
      <c r="I24" s="77" t="s">
        <v>70</v>
      </c>
      <c r="J24" s="96" t="s">
        <v>96</v>
      </c>
      <c r="K24" s="97">
        <f>IF(AND($M24=TRUE,$N24=TRUE),VLOOKUP($E24,RH!$B$47:$S$67,MONTH($G24)+6,FALSE))</f>
        <v>12.24733888</v>
      </c>
      <c r="L24" s="98">
        <f>IFERROR(IF(AND($M24=TRUE,$N24=TRUE),VLOOKUP($E24,RH!$B$47:$S$67,MONTH($G24)+6,FALSE)*$H24,0),0)</f>
        <v>404.162183</v>
      </c>
      <c r="M24" s="99" t="b">
        <f t="shared" si="1"/>
        <v>1</v>
      </c>
      <c r="N24" s="99" t="b">
        <v>1</v>
      </c>
      <c r="O24" s="85" t="s">
        <v>91</v>
      </c>
      <c r="P24" s="68"/>
    </row>
    <row r="25">
      <c r="A25" s="68"/>
      <c r="B25" s="79"/>
      <c r="C25" s="77" t="s">
        <v>66</v>
      </c>
      <c r="D25" s="77" t="s">
        <v>100</v>
      </c>
      <c r="E25" s="77" t="s">
        <v>97</v>
      </c>
      <c r="F25" s="93"/>
      <c r="G25" s="94">
        <v>45323.0</v>
      </c>
      <c r="H25" s="95">
        <v>156.58</v>
      </c>
      <c r="I25" s="77" t="s">
        <v>70</v>
      </c>
      <c r="J25" s="96" t="s">
        <v>93</v>
      </c>
      <c r="K25" s="97">
        <f>IF(AND($M25=TRUE,$N25=TRUE),VLOOKUP($E25,RH!$B$47:$S$67,MONTH($G25)+6,FALSE))</f>
        <v>63.66556336</v>
      </c>
      <c r="L25" s="98">
        <f>IFERROR(IF(AND($M25=TRUE,$N25=TRUE),VLOOKUP($E25,RH!$B$47:$S$67,MONTH($G25)+6,FALSE)*$H25,0),0)</f>
        <v>9968.753911</v>
      </c>
      <c r="M25" s="99" t="b">
        <f t="shared" si="1"/>
        <v>1</v>
      </c>
      <c r="N25" s="99" t="b">
        <v>1</v>
      </c>
      <c r="O25" s="85" t="s">
        <v>91</v>
      </c>
      <c r="P25" s="68"/>
    </row>
    <row r="26">
      <c r="A26" s="68"/>
      <c r="B26" s="79"/>
      <c r="C26" s="77" t="s">
        <v>66</v>
      </c>
      <c r="D26" s="77" t="s">
        <v>100</v>
      </c>
      <c r="E26" s="77" t="s">
        <v>98</v>
      </c>
      <c r="F26" s="93"/>
      <c r="G26" s="94">
        <v>45324.0</v>
      </c>
      <c r="H26" s="95">
        <v>50.0</v>
      </c>
      <c r="I26" s="77" t="s">
        <v>70</v>
      </c>
      <c r="J26" s="96" t="s">
        <v>96</v>
      </c>
      <c r="K26" s="97">
        <f>IF(AND($M26=TRUE,$N26=TRUE),VLOOKUP($E26,RH!$B$47:$S$67,MONTH($G26)+6,FALSE))</f>
        <v>13.50117979</v>
      </c>
      <c r="L26" s="98">
        <f>IFERROR(IF(AND($M26=TRUE,$N26=TRUE),VLOOKUP($E26,RH!$B$47:$S$67,MONTH($G26)+6,FALSE)*$H26,0),0)</f>
        <v>675.0589894</v>
      </c>
      <c r="M26" s="99" t="b">
        <f t="shared" si="1"/>
        <v>1</v>
      </c>
      <c r="N26" s="99" t="b">
        <v>1</v>
      </c>
      <c r="O26" s="85" t="s">
        <v>91</v>
      </c>
      <c r="P26" s="68"/>
    </row>
    <row r="27">
      <c r="A27" s="68"/>
      <c r="B27" s="79"/>
      <c r="C27" s="77" t="s">
        <v>66</v>
      </c>
      <c r="D27" s="77" t="s">
        <v>102</v>
      </c>
      <c r="E27" s="77" t="s">
        <v>103</v>
      </c>
      <c r="F27" s="93"/>
      <c r="G27" s="94">
        <v>45324.0</v>
      </c>
      <c r="H27" s="95">
        <v>20.9</v>
      </c>
      <c r="I27" s="77" t="s">
        <v>70</v>
      </c>
      <c r="J27" s="96" t="s">
        <v>93</v>
      </c>
      <c r="K27" s="97">
        <f>IF(AND($M27=TRUE,$N27=TRUE),VLOOKUP($E27,RH!$B$47:$S$67,MONTH($G27)+6,FALSE))</f>
        <v>55.87421088</v>
      </c>
      <c r="L27" s="98">
        <f>IFERROR(IF(AND($M27=TRUE,$N27=TRUE),VLOOKUP($E27,RH!$B$47:$S$67,MONTH($G27)+6,FALSE)*$H27,0),0)</f>
        <v>1167.771007</v>
      </c>
      <c r="M27" s="99" t="b">
        <f t="shared" si="1"/>
        <v>1</v>
      </c>
      <c r="N27" s="99" t="b">
        <v>1</v>
      </c>
      <c r="O27" s="85" t="s">
        <v>91</v>
      </c>
      <c r="P27" s="68"/>
    </row>
    <row r="28">
      <c r="A28" s="68"/>
      <c r="B28" s="79"/>
      <c r="C28" s="77" t="s">
        <v>66</v>
      </c>
      <c r="D28" s="77" t="s">
        <v>102</v>
      </c>
      <c r="E28" s="77" t="s">
        <v>99</v>
      </c>
      <c r="F28" s="93"/>
      <c r="G28" s="94">
        <v>45334.0</v>
      </c>
      <c r="H28" s="95">
        <v>85.02</v>
      </c>
      <c r="I28" s="77" t="s">
        <v>70</v>
      </c>
      <c r="J28" s="96" t="s">
        <v>88</v>
      </c>
      <c r="K28" s="97">
        <f>IF(AND($M28=TRUE,$N28=TRUE),VLOOKUP($E28,RH!$B$47:$S$67,MONTH($G28)+6,FALSE))</f>
        <v>21.73174976</v>
      </c>
      <c r="L28" s="98">
        <f>IFERROR(IF(AND($M28=TRUE,$N28=TRUE),VLOOKUP($E28,RH!$B$47:$S$67,MONTH($G28)+6,FALSE)*$H28,0),0)</f>
        <v>1847.633364</v>
      </c>
      <c r="M28" s="99" t="b">
        <f t="shared" si="1"/>
        <v>1</v>
      </c>
      <c r="N28" s="99" t="b">
        <v>1</v>
      </c>
      <c r="O28" s="85" t="s">
        <v>91</v>
      </c>
      <c r="P28" s="68"/>
    </row>
    <row r="29">
      <c r="A29" s="68"/>
      <c r="B29" s="79"/>
      <c r="C29" s="77" t="s">
        <v>66</v>
      </c>
      <c r="D29" s="77" t="s">
        <v>104</v>
      </c>
      <c r="E29" s="77" t="s">
        <v>101</v>
      </c>
      <c r="F29" s="93"/>
      <c r="G29" s="94">
        <v>45357.0</v>
      </c>
      <c r="H29" s="95">
        <v>74.75</v>
      </c>
      <c r="I29" s="77" t="s">
        <v>70</v>
      </c>
      <c r="J29" s="96" t="s">
        <v>93</v>
      </c>
      <c r="K29" s="97">
        <f>IF(AND($M29=TRUE,$N29=TRUE),VLOOKUP($E29,RH!$B$47:$S$67,MONTH($G29)+6,FALSE))</f>
        <v>56.991977</v>
      </c>
      <c r="L29" s="98">
        <f>IFERROR(IF(AND($M29=TRUE,$N29=TRUE),VLOOKUP($E29,RH!$B$47:$S$67,MONTH($G29)+6,FALSE)*$H29,0),0)</f>
        <v>4260.150281</v>
      </c>
      <c r="M29" s="99" t="b">
        <f t="shared" si="1"/>
        <v>1</v>
      </c>
      <c r="N29" s="99" t="b">
        <v>1</v>
      </c>
      <c r="O29" s="85" t="s">
        <v>91</v>
      </c>
      <c r="P29" s="68"/>
    </row>
    <row r="30">
      <c r="A30" s="68"/>
      <c r="B30" s="79"/>
      <c r="C30" s="77" t="s">
        <v>66</v>
      </c>
      <c r="D30" s="77" t="s">
        <v>104</v>
      </c>
      <c r="E30" s="77" t="s">
        <v>87</v>
      </c>
      <c r="F30" s="93"/>
      <c r="G30" s="94">
        <v>45569.0</v>
      </c>
      <c r="H30" s="95">
        <v>32.8</v>
      </c>
      <c r="I30" s="77" t="s">
        <v>70</v>
      </c>
      <c r="J30" s="96" t="s">
        <v>88</v>
      </c>
      <c r="K30" s="97">
        <f>IF(AND($M30=TRUE,$N30=TRUE),VLOOKUP($E30,RH!$B$47:$S$67,MONTH($G30)+6,FALSE))</f>
        <v>23.83427767</v>
      </c>
      <c r="L30" s="98">
        <f>IFERROR(IF(AND($M30=TRUE,$N30=TRUE),VLOOKUP($E30,RH!$B$47:$S$67,MONTH($G30)+6,FALSE)*$H30,0),0)</f>
        <v>781.7643077</v>
      </c>
      <c r="M30" s="99" t="b">
        <f t="shared" si="1"/>
        <v>1</v>
      </c>
      <c r="N30" s="99" t="b">
        <v>1</v>
      </c>
      <c r="O30" s="85" t="s">
        <v>91</v>
      </c>
      <c r="P30" s="68"/>
    </row>
    <row r="31">
      <c r="A31" s="68"/>
      <c r="B31" s="79"/>
      <c r="C31" s="77" t="s">
        <v>66</v>
      </c>
      <c r="D31" s="77" t="s">
        <v>104</v>
      </c>
      <c r="E31" s="77" t="s">
        <v>89</v>
      </c>
      <c r="F31" s="93"/>
      <c r="G31" s="94">
        <v>45352.0</v>
      </c>
      <c r="H31" s="95">
        <v>139.25</v>
      </c>
      <c r="I31" s="77" t="s">
        <v>70</v>
      </c>
      <c r="J31" s="96" t="s">
        <v>90</v>
      </c>
      <c r="K31" s="97">
        <f>IF(AND($M31=TRUE,$N31=TRUE),VLOOKUP($E31,RH!$B$47:$S$67,MONTH($G31)+6,FALSE))</f>
        <v>82.32166626</v>
      </c>
      <c r="L31" s="98">
        <f>IFERROR(IF(AND($M31=TRUE,$N31=TRUE),VLOOKUP($E31,RH!$B$47:$S$67,MONTH($G31)+6,FALSE)*$H31,0),0)</f>
        <v>11463.29203</v>
      </c>
      <c r="M31" s="99" t="b">
        <f t="shared" si="1"/>
        <v>1</v>
      </c>
      <c r="N31" s="99" t="b">
        <v>1</v>
      </c>
      <c r="O31" s="85" t="s">
        <v>91</v>
      </c>
      <c r="P31" s="68"/>
    </row>
    <row r="32">
      <c r="A32" s="68"/>
      <c r="B32" s="79"/>
      <c r="C32" s="77" t="s">
        <v>66</v>
      </c>
      <c r="D32" s="77" t="s">
        <v>104</v>
      </c>
      <c r="E32" s="77" t="s">
        <v>92</v>
      </c>
      <c r="F32" s="93"/>
      <c r="G32" s="94">
        <v>45373.0</v>
      </c>
      <c r="H32" s="95">
        <v>29.4</v>
      </c>
      <c r="I32" s="77" t="s">
        <v>70</v>
      </c>
      <c r="J32" s="96" t="s">
        <v>93</v>
      </c>
      <c r="K32" s="97">
        <f>IF(AND($M32=TRUE,$N32=TRUE),VLOOKUP($E32,RH!$B$47:$S$67,MONTH($G32)+6,FALSE))</f>
        <v>43.10761448</v>
      </c>
      <c r="L32" s="98">
        <f>IFERROR(IF(AND($M32=TRUE,$N32=TRUE),VLOOKUP($E32,RH!$B$47:$S$67,MONTH($G32)+6,FALSE)*$H32,0),0)</f>
        <v>1267.363866</v>
      </c>
      <c r="M32" s="99" t="b">
        <f t="shared" si="1"/>
        <v>1</v>
      </c>
      <c r="N32" s="99" t="b">
        <v>1</v>
      </c>
      <c r="O32" s="85" t="s">
        <v>91</v>
      </c>
      <c r="P32" s="68"/>
    </row>
    <row r="33">
      <c r="A33" s="68"/>
      <c r="B33" s="79"/>
      <c r="C33" s="77" t="s">
        <v>66</v>
      </c>
      <c r="D33" s="77" t="s">
        <v>104</v>
      </c>
      <c r="E33" s="77" t="s">
        <v>95</v>
      </c>
      <c r="F33" s="93"/>
      <c r="G33" s="94">
        <v>45352.0</v>
      </c>
      <c r="H33" s="95">
        <v>68.0</v>
      </c>
      <c r="I33" s="77" t="s">
        <v>70</v>
      </c>
      <c r="J33" s="96" t="s">
        <v>96</v>
      </c>
      <c r="K33" s="97">
        <f>IF(AND($M33=TRUE,$N33=TRUE),VLOOKUP($E33,RH!$B$47:$S$67,MONTH($G33)+6,FALSE))</f>
        <v>12.84856899</v>
      </c>
      <c r="L33" s="98">
        <f>IFERROR(IF(AND($M33=TRUE,$N33=TRUE),VLOOKUP($E33,RH!$B$47:$S$67,MONTH($G33)+6,FALSE)*$H33,0),0)</f>
        <v>873.7026911</v>
      </c>
      <c r="M33" s="99" t="b">
        <f t="shared" si="1"/>
        <v>1</v>
      </c>
      <c r="N33" s="99" t="b">
        <v>1</v>
      </c>
      <c r="O33" s="85" t="s">
        <v>91</v>
      </c>
      <c r="P33" s="68"/>
    </row>
    <row r="34">
      <c r="A34" s="68"/>
      <c r="B34" s="79"/>
      <c r="C34" s="77" t="s">
        <v>66</v>
      </c>
      <c r="D34" s="77" t="s">
        <v>104</v>
      </c>
      <c r="E34" s="77" t="s">
        <v>97</v>
      </c>
      <c r="F34" s="93"/>
      <c r="G34" s="94">
        <v>45352.0</v>
      </c>
      <c r="H34" s="95">
        <v>135.05</v>
      </c>
      <c r="I34" s="77" t="s">
        <v>70</v>
      </c>
      <c r="J34" s="96" t="s">
        <v>93</v>
      </c>
      <c r="K34" s="97">
        <f>IF(AND($M34=TRUE,$N34=TRUE),VLOOKUP($E34,RH!$B$47:$S$67,MONTH($G34)+6,FALSE))</f>
        <v>66.79094871</v>
      </c>
      <c r="L34" s="98">
        <f>IFERROR(IF(AND($M34=TRUE,$N34=TRUE),VLOOKUP($E34,RH!$B$47:$S$67,MONTH($G34)+6,FALSE)*$H34,0),0)</f>
        <v>9020.117623</v>
      </c>
      <c r="M34" s="99" t="b">
        <f t="shared" si="1"/>
        <v>1</v>
      </c>
      <c r="N34" s="99" t="b">
        <v>1</v>
      </c>
      <c r="O34" s="85" t="s">
        <v>91</v>
      </c>
      <c r="P34" s="68"/>
    </row>
    <row r="35">
      <c r="A35" s="68"/>
      <c r="B35" s="79"/>
      <c r="C35" s="77" t="s">
        <v>66</v>
      </c>
      <c r="D35" s="77" t="s">
        <v>104</v>
      </c>
      <c r="E35" s="77" t="s">
        <v>98</v>
      </c>
      <c r="F35" s="93"/>
      <c r="G35" s="94">
        <v>45352.0</v>
      </c>
      <c r="H35" s="95">
        <v>55.5</v>
      </c>
      <c r="I35" s="77" t="s">
        <v>70</v>
      </c>
      <c r="J35" s="96" t="s">
        <v>96</v>
      </c>
      <c r="K35" s="97">
        <f>IF(AND($M35=TRUE,$N35=TRUE),VLOOKUP($E35,RH!$B$47:$S$67,MONTH($G35)+6,FALSE))</f>
        <v>14.16396179</v>
      </c>
      <c r="L35" s="98">
        <f>IFERROR(IF(AND($M35=TRUE,$N35=TRUE),VLOOKUP($E35,RH!$B$47:$S$67,MONTH($G35)+6,FALSE)*$H35,0),0)</f>
        <v>786.0998793</v>
      </c>
      <c r="M35" s="99" t="b">
        <f t="shared" si="1"/>
        <v>1</v>
      </c>
      <c r="N35" s="99" t="b">
        <v>1</v>
      </c>
      <c r="O35" s="85" t="s">
        <v>91</v>
      </c>
      <c r="P35" s="68"/>
    </row>
    <row r="36">
      <c r="A36" s="68"/>
      <c r="B36" s="79"/>
      <c r="C36" s="77" t="s">
        <v>66</v>
      </c>
      <c r="D36" s="77" t="s">
        <v>104</v>
      </c>
      <c r="E36" s="77" t="s">
        <v>99</v>
      </c>
      <c r="F36" s="93"/>
      <c r="G36" s="94">
        <v>45359.0</v>
      </c>
      <c r="H36" s="95">
        <v>37.25</v>
      </c>
      <c r="I36" s="77" t="s">
        <v>70</v>
      </c>
      <c r="J36" s="96" t="s">
        <v>88</v>
      </c>
      <c r="K36" s="97">
        <f>IF(AND($M36=TRUE,$N36=TRUE),VLOOKUP($E36,RH!$B$47:$S$67,MONTH($G36)+6,FALSE))</f>
        <v>22.79857598</v>
      </c>
      <c r="L36" s="98">
        <f>IFERROR(IF(AND($M36=TRUE,$N36=TRUE),VLOOKUP($E36,RH!$B$47:$S$67,MONTH($G36)+6,FALSE)*$H36,0),0)</f>
        <v>849.2469551</v>
      </c>
      <c r="M36" s="99" t="b">
        <f t="shared" si="1"/>
        <v>1</v>
      </c>
      <c r="N36" s="99" t="b">
        <v>1</v>
      </c>
      <c r="O36" s="85" t="s">
        <v>91</v>
      </c>
      <c r="P36" s="68"/>
    </row>
    <row r="37">
      <c r="A37" s="68"/>
      <c r="B37" s="79"/>
      <c r="C37" s="77" t="s">
        <v>66</v>
      </c>
      <c r="D37" s="77" t="s">
        <v>105</v>
      </c>
      <c r="E37" s="77" t="s">
        <v>97</v>
      </c>
      <c r="F37" s="94"/>
      <c r="G37" s="94">
        <v>45384.0</v>
      </c>
      <c r="H37" s="95">
        <v>55.05</v>
      </c>
      <c r="I37" s="77" t="s">
        <v>70</v>
      </c>
      <c r="J37" s="96" t="s">
        <v>93</v>
      </c>
      <c r="K37" s="97">
        <f>IF(AND($M37=TRUE,$N37=TRUE),VLOOKUP($E37,RH!$B$47:$S$67,MONTH($G37)+6,FALSE))</f>
        <v>64.0294611</v>
      </c>
      <c r="L37" s="98">
        <f>IFERROR(IF(AND($M37=TRUE,$N37=TRUE),VLOOKUP($E37,RH!$B$47:$S$67,MONTH($G37)+6,FALSE)*$H37,0),0)</f>
        <v>3524.821833</v>
      </c>
      <c r="M37" s="99" t="b">
        <f t="shared" si="1"/>
        <v>1</v>
      </c>
      <c r="N37" s="99" t="b">
        <v>1</v>
      </c>
      <c r="O37" s="85" t="s">
        <v>91</v>
      </c>
      <c r="P37" s="68"/>
    </row>
    <row r="38">
      <c r="A38" s="68"/>
      <c r="B38" s="79"/>
      <c r="C38" s="77" t="s">
        <v>66</v>
      </c>
      <c r="D38" s="77" t="s">
        <v>105</v>
      </c>
      <c r="E38" s="77" t="s">
        <v>92</v>
      </c>
      <c r="F38" s="94"/>
      <c r="G38" s="94">
        <v>45384.0</v>
      </c>
      <c r="H38" s="95">
        <v>39.65</v>
      </c>
      <c r="I38" s="77" t="s">
        <v>70</v>
      </c>
      <c r="J38" s="96" t="s">
        <v>93</v>
      </c>
      <c r="K38" s="97">
        <f>IF(AND($M38=TRUE,$N38=TRUE),VLOOKUP($E38,RH!$B$47:$S$67,MONTH($G38)+6,FALSE))</f>
        <v>41.32531994</v>
      </c>
      <c r="L38" s="98">
        <f>IFERROR(IF(AND($M38=TRUE,$N38=TRUE),VLOOKUP($E38,RH!$B$47:$S$67,MONTH($G38)+6,FALSE)*$H38,0),0)</f>
        <v>1638.548935</v>
      </c>
      <c r="M38" s="99" t="b">
        <f t="shared" si="1"/>
        <v>1</v>
      </c>
      <c r="N38" s="99" t="b">
        <v>1</v>
      </c>
      <c r="O38" s="85" t="s">
        <v>91</v>
      </c>
      <c r="P38" s="68"/>
    </row>
    <row r="39">
      <c r="A39" s="68"/>
      <c r="B39" s="79"/>
      <c r="C39" s="77" t="s">
        <v>66</v>
      </c>
      <c r="D39" s="77" t="s">
        <v>105</v>
      </c>
      <c r="E39" s="77" t="s">
        <v>103</v>
      </c>
      <c r="F39" s="94"/>
      <c r="G39" s="94">
        <v>45393.0</v>
      </c>
      <c r="H39" s="95">
        <v>25.5</v>
      </c>
      <c r="I39" s="77" t="s">
        <v>70</v>
      </c>
      <c r="J39" s="96" t="s">
        <v>93</v>
      </c>
      <c r="K39" s="97">
        <f>IF(AND($M39=TRUE,$N39=TRUE),VLOOKUP($E39,RH!$B$47:$S$67,MONTH($G39)+6,FALSE))</f>
        <v>56.19357503</v>
      </c>
      <c r="L39" s="98">
        <f>IFERROR(IF(AND($M39=TRUE,$N39=TRUE),VLOOKUP($E39,RH!$B$47:$S$67,MONTH($G39)+6,FALSE)*$H39,0),0)</f>
        <v>1432.936163</v>
      </c>
      <c r="M39" s="99" t="b">
        <f t="shared" si="1"/>
        <v>1</v>
      </c>
      <c r="N39" s="99" t="b">
        <v>1</v>
      </c>
      <c r="O39" s="85" t="s">
        <v>91</v>
      </c>
      <c r="P39" s="68"/>
    </row>
    <row r="40">
      <c r="A40" s="68"/>
      <c r="B40" s="79"/>
      <c r="C40" s="77" t="s">
        <v>66</v>
      </c>
      <c r="D40" s="77" t="s">
        <v>105</v>
      </c>
      <c r="E40" s="77" t="s">
        <v>101</v>
      </c>
      <c r="F40" s="94"/>
      <c r="G40" s="94">
        <v>45399.0</v>
      </c>
      <c r="H40" s="95">
        <v>19.5</v>
      </c>
      <c r="I40" s="77" t="s">
        <v>70</v>
      </c>
      <c r="J40" s="96" t="s">
        <v>93</v>
      </c>
      <c r="K40" s="97">
        <f>IF(AND($M40=TRUE,$N40=TRUE),VLOOKUP($E40,RH!$B$47:$S$67,MONTH($G40)+6,FALSE))</f>
        <v>54.6356302</v>
      </c>
      <c r="L40" s="98">
        <f>IFERROR(IF(AND($M40=TRUE,$N40=TRUE),VLOOKUP($E40,RH!$B$47:$S$67,MONTH($G40)+6,FALSE)*$H40,0),0)</f>
        <v>1065.394789</v>
      </c>
      <c r="M40" s="99" t="b">
        <f t="shared" si="1"/>
        <v>1</v>
      </c>
      <c r="N40" s="99" t="b">
        <v>1</v>
      </c>
      <c r="O40" s="85" t="s">
        <v>91</v>
      </c>
      <c r="P40" s="68"/>
    </row>
    <row r="41">
      <c r="A41" s="68"/>
      <c r="B41" s="79"/>
      <c r="C41" s="77" t="s">
        <v>66</v>
      </c>
      <c r="D41" s="77" t="s">
        <v>106</v>
      </c>
      <c r="E41" s="77" t="s">
        <v>97</v>
      </c>
      <c r="F41" s="94"/>
      <c r="G41" s="94">
        <v>45399.0</v>
      </c>
      <c r="H41" s="95">
        <v>62.2</v>
      </c>
      <c r="I41" s="77" t="s">
        <v>70</v>
      </c>
      <c r="J41" s="96" t="s">
        <v>93</v>
      </c>
      <c r="K41" s="97">
        <f>IF(AND($M41=TRUE,$N41=TRUE),VLOOKUP($E41,RH!$B$47:$S$67,MONTH($G41)+6,FALSE))</f>
        <v>64.0294611</v>
      </c>
      <c r="L41" s="98">
        <f>IFERROR(IF(AND($M41=TRUE,$N41=TRUE),VLOOKUP($E41,RH!$B$47:$S$67,MONTH($G41)+6,FALSE)*$H41,0),0)</f>
        <v>3982.63248</v>
      </c>
      <c r="M41" s="99" t="b">
        <f t="shared" si="1"/>
        <v>1</v>
      </c>
      <c r="N41" s="99" t="b">
        <v>1</v>
      </c>
      <c r="O41" s="85" t="s">
        <v>91</v>
      </c>
      <c r="P41" s="68"/>
    </row>
    <row r="42">
      <c r="A42" s="68"/>
      <c r="B42" s="79"/>
      <c r="C42" s="77" t="s">
        <v>66</v>
      </c>
      <c r="D42" s="77" t="s">
        <v>106</v>
      </c>
      <c r="E42" s="77" t="s">
        <v>99</v>
      </c>
      <c r="F42" s="94"/>
      <c r="G42" s="94">
        <v>45384.0</v>
      </c>
      <c r="H42" s="95">
        <v>115.55</v>
      </c>
      <c r="I42" s="77" t="s">
        <v>70</v>
      </c>
      <c r="J42" s="96" t="s">
        <v>88</v>
      </c>
      <c r="K42" s="97">
        <f>IF(AND($M42=TRUE,$N42=TRUE),VLOOKUP($E42,RH!$B$47:$S$67,MONTH($G42)+6,FALSE))</f>
        <v>21.85596345</v>
      </c>
      <c r="L42" s="98">
        <f>IFERROR(IF(AND($M42=TRUE,$N42=TRUE),VLOOKUP($E42,RH!$B$47:$S$67,MONTH($G42)+6,FALSE)*$H42,0),0)</f>
        <v>2525.456576</v>
      </c>
      <c r="M42" s="99" t="b">
        <f t="shared" si="1"/>
        <v>1</v>
      </c>
      <c r="N42" s="99" t="b">
        <v>1</v>
      </c>
      <c r="O42" s="85" t="s">
        <v>91</v>
      </c>
      <c r="P42" s="68"/>
    </row>
    <row r="43">
      <c r="A43" s="68"/>
      <c r="B43" s="79"/>
      <c r="C43" s="77" t="s">
        <v>66</v>
      </c>
      <c r="D43" s="77" t="s">
        <v>106</v>
      </c>
      <c r="E43" s="77" t="s">
        <v>89</v>
      </c>
      <c r="F43" s="94"/>
      <c r="G43" s="94">
        <v>45384.0</v>
      </c>
      <c r="H43" s="95">
        <v>100.25</v>
      </c>
      <c r="I43" s="77" t="s">
        <v>70</v>
      </c>
      <c r="J43" s="96" t="s">
        <v>90</v>
      </c>
      <c r="K43" s="97">
        <f>IF(AND($M43=TRUE,$N43=TRUE),VLOOKUP($E43,RH!$B$47:$S$67,MONTH($G43)+6,FALSE))</f>
        <v>78.91805745</v>
      </c>
      <c r="L43" s="98">
        <f>IFERROR(IF(AND($M43=TRUE,$N43=TRUE),VLOOKUP($E43,RH!$B$47:$S$67,MONTH($G43)+6,FALSE)*$H43,0),0)</f>
        <v>7911.535259</v>
      </c>
      <c r="M43" s="99" t="b">
        <f t="shared" si="1"/>
        <v>1</v>
      </c>
      <c r="N43" s="99" t="b">
        <v>1</v>
      </c>
      <c r="O43" s="85" t="s">
        <v>91</v>
      </c>
      <c r="P43" s="68"/>
    </row>
    <row r="44">
      <c r="A44" s="68"/>
      <c r="B44" s="79"/>
      <c r="C44" s="77" t="s">
        <v>66</v>
      </c>
      <c r="D44" s="77" t="s">
        <v>106</v>
      </c>
      <c r="E44" s="77" t="s">
        <v>87</v>
      </c>
      <c r="F44" s="94"/>
      <c r="G44" s="94">
        <v>45385.0</v>
      </c>
      <c r="H44" s="95">
        <v>49.5</v>
      </c>
      <c r="I44" s="77" t="s">
        <v>70</v>
      </c>
      <c r="J44" s="96" t="s">
        <v>88</v>
      </c>
      <c r="K44" s="97">
        <f>IF(AND($M44=TRUE,$N44=TRUE),VLOOKUP($E44,RH!$B$47:$S$67,MONTH($G44)+6,FALSE))</f>
        <v>23.38591091</v>
      </c>
      <c r="L44" s="98">
        <f>IFERROR(IF(AND($M44=TRUE,$N44=TRUE),VLOOKUP($E44,RH!$B$47:$S$67,MONTH($G44)+6,FALSE)*$H44,0),0)</f>
        <v>1157.60259</v>
      </c>
      <c r="M44" s="99" t="b">
        <f t="shared" si="1"/>
        <v>1</v>
      </c>
      <c r="N44" s="99" t="b">
        <v>1</v>
      </c>
      <c r="O44" s="85" t="s">
        <v>91</v>
      </c>
      <c r="P44" s="68"/>
    </row>
    <row r="45">
      <c r="A45" s="68"/>
      <c r="B45" s="79"/>
      <c r="C45" s="77" t="s">
        <v>66</v>
      </c>
      <c r="D45" s="77" t="s">
        <v>106</v>
      </c>
      <c r="E45" s="77" t="s">
        <v>95</v>
      </c>
      <c r="F45" s="94"/>
      <c r="G45" s="94">
        <v>45384.0</v>
      </c>
      <c r="H45" s="95">
        <v>48.0</v>
      </c>
      <c r="I45" s="77" t="s">
        <v>70</v>
      </c>
      <c r="J45" s="96" t="s">
        <v>96</v>
      </c>
      <c r="K45" s="97">
        <f>IF(AND($M45=TRUE,$N45=TRUE),VLOOKUP($E45,RH!$B$47:$S$67,MONTH($G45)+6,FALSE))</f>
        <v>12.31734186</v>
      </c>
      <c r="L45" s="98">
        <f>IFERROR(IF(AND($M45=TRUE,$N45=TRUE),VLOOKUP($E45,RH!$B$47:$S$67,MONTH($G45)+6,FALSE)*$H45,0),0)</f>
        <v>591.2324091</v>
      </c>
      <c r="M45" s="99" t="b">
        <f t="shared" si="1"/>
        <v>1</v>
      </c>
      <c r="N45" s="99" t="b">
        <v>1</v>
      </c>
      <c r="O45" s="85" t="s">
        <v>91</v>
      </c>
      <c r="P45" s="68"/>
    </row>
    <row r="46">
      <c r="A46" s="68"/>
      <c r="B46" s="79"/>
      <c r="C46" s="77" t="s">
        <v>66</v>
      </c>
      <c r="D46" s="77" t="s">
        <v>106</v>
      </c>
      <c r="E46" s="77" t="s">
        <v>98</v>
      </c>
      <c r="F46" s="94"/>
      <c r="G46" s="94">
        <v>45384.0</v>
      </c>
      <c r="H46" s="95">
        <v>2.0</v>
      </c>
      <c r="I46" s="77" t="s">
        <v>70</v>
      </c>
      <c r="J46" s="96" t="s">
        <v>96</v>
      </c>
      <c r="K46" s="97">
        <f>IF(AND($M46=TRUE,$N46=TRUE),VLOOKUP($E46,RH!$B$47:$S$67,MONTH($G46)+6,FALSE))</f>
        <v>13.57834943</v>
      </c>
      <c r="L46" s="98">
        <f>IFERROR(IF(AND($M46=TRUE,$N46=TRUE),VLOOKUP($E46,RH!$B$47:$S$67,MONTH($G46)+6,FALSE)*$H46,0),0)</f>
        <v>27.15669886</v>
      </c>
      <c r="M46" s="99" t="b">
        <f t="shared" si="1"/>
        <v>1</v>
      </c>
      <c r="N46" s="99" t="b">
        <v>1</v>
      </c>
      <c r="O46" s="85" t="s">
        <v>91</v>
      </c>
      <c r="P46" s="68"/>
    </row>
    <row r="47">
      <c r="A47" s="68"/>
      <c r="B47" s="79"/>
      <c r="C47" s="77" t="s">
        <v>66</v>
      </c>
      <c r="D47" s="77" t="s">
        <v>105</v>
      </c>
      <c r="E47" s="77" t="s">
        <v>97</v>
      </c>
      <c r="F47" s="94"/>
      <c r="G47" s="94">
        <v>45418.0</v>
      </c>
      <c r="H47" s="95">
        <v>76.0</v>
      </c>
      <c r="I47" s="77" t="s">
        <v>70</v>
      </c>
      <c r="J47" s="96" t="s">
        <v>93</v>
      </c>
      <c r="K47" s="97">
        <f>IF(AND($M47=TRUE,$N47=TRUE),VLOOKUP($E47,RH!$B$47:$S$67,MONTH($G47)+6,FALSE))</f>
        <v>63.99086588</v>
      </c>
      <c r="L47" s="98">
        <f>IFERROR(IF(AND($M47=TRUE,$N47=TRUE),VLOOKUP($E47,RH!$B$47:$S$67,MONTH($G47)+6,FALSE)*$H47,0),0)</f>
        <v>4863.305807</v>
      </c>
      <c r="M47" s="99" t="b">
        <f t="shared" si="1"/>
        <v>1</v>
      </c>
      <c r="N47" s="99" t="b">
        <v>1</v>
      </c>
      <c r="O47" s="85" t="s">
        <v>91</v>
      </c>
      <c r="P47" s="68"/>
    </row>
    <row r="48">
      <c r="A48" s="68"/>
      <c r="B48" s="79"/>
      <c r="C48" s="77" t="s">
        <v>66</v>
      </c>
      <c r="D48" s="77" t="s">
        <v>107</v>
      </c>
      <c r="E48" s="77" t="s">
        <v>97</v>
      </c>
      <c r="F48" s="94"/>
      <c r="G48" s="94">
        <v>45429.0</v>
      </c>
      <c r="H48" s="95">
        <v>41.9</v>
      </c>
      <c r="I48" s="77" t="s">
        <v>70</v>
      </c>
      <c r="J48" s="96" t="s">
        <v>93</v>
      </c>
      <c r="K48" s="97">
        <f>IF(AND($M48=TRUE,$N48=TRUE),VLOOKUP($E48,RH!$B$47:$S$67,MONTH($G48)+6,FALSE))</f>
        <v>63.99086588</v>
      </c>
      <c r="L48" s="98">
        <f>IFERROR(IF(AND($M48=TRUE,$N48=TRUE),VLOOKUP($E48,RH!$B$47:$S$67,MONTH($G48)+6,FALSE)*$H48,0),0)</f>
        <v>2681.217281</v>
      </c>
      <c r="M48" s="99" t="b">
        <f t="shared" si="1"/>
        <v>1</v>
      </c>
      <c r="N48" s="99" t="b">
        <v>1</v>
      </c>
      <c r="O48" s="85" t="s">
        <v>91</v>
      </c>
      <c r="P48" s="68"/>
    </row>
    <row r="49">
      <c r="A49" s="68"/>
      <c r="B49" s="79"/>
      <c r="C49" s="77" t="s">
        <v>66</v>
      </c>
      <c r="D49" s="77" t="s">
        <v>107</v>
      </c>
      <c r="E49" s="77" t="s">
        <v>95</v>
      </c>
      <c r="F49" s="94"/>
      <c r="G49" s="94">
        <v>45414.0</v>
      </c>
      <c r="H49" s="95">
        <v>87.0</v>
      </c>
      <c r="I49" s="77" t="s">
        <v>70</v>
      </c>
      <c r="J49" s="96" t="s">
        <v>96</v>
      </c>
      <c r="K49" s="97">
        <f>IF(AND($M49=TRUE,$N49=TRUE),VLOOKUP($E49,RH!$B$47:$S$67,MONTH($G49)+6,FALSE))</f>
        <v>12.3099173</v>
      </c>
      <c r="L49" s="98">
        <f>IFERROR(IF(AND($M49=TRUE,$N49=TRUE),VLOOKUP($E49,RH!$B$47:$S$67,MONTH($G49)+6,FALSE)*$H49,0),0)</f>
        <v>1070.962805</v>
      </c>
      <c r="M49" s="99" t="b">
        <f t="shared" si="1"/>
        <v>1</v>
      </c>
      <c r="N49" s="99" t="b">
        <v>1</v>
      </c>
      <c r="O49" s="85" t="s">
        <v>91</v>
      </c>
      <c r="P49" s="68"/>
    </row>
    <row r="50">
      <c r="A50" s="68"/>
      <c r="B50" s="79"/>
      <c r="C50" s="77" t="s">
        <v>66</v>
      </c>
      <c r="D50" s="77" t="s">
        <v>107</v>
      </c>
      <c r="E50" s="77" t="s">
        <v>89</v>
      </c>
      <c r="F50" s="94"/>
      <c r="G50" s="94">
        <v>45414.0</v>
      </c>
      <c r="H50" s="95">
        <v>85.5</v>
      </c>
      <c r="I50" s="77" t="s">
        <v>70</v>
      </c>
      <c r="J50" s="96" t="s">
        <v>90</v>
      </c>
      <c r="K50" s="97">
        <f>IF(AND($M50=TRUE,$N50=TRUE),VLOOKUP($E50,RH!$B$47:$S$67,MONTH($G50)+6,FALSE))</f>
        <v>78.87048779</v>
      </c>
      <c r="L50" s="98">
        <f>IFERROR(IF(AND($M50=TRUE,$N50=TRUE),VLOOKUP($E50,RH!$B$47:$S$67,MONTH($G50)+6,FALSE)*$H50,0),0)</f>
        <v>6743.426706</v>
      </c>
      <c r="M50" s="99" t="b">
        <f t="shared" si="1"/>
        <v>1</v>
      </c>
      <c r="N50" s="99" t="b">
        <v>1</v>
      </c>
      <c r="O50" s="85" t="s">
        <v>91</v>
      </c>
      <c r="P50" s="68"/>
    </row>
    <row r="51">
      <c r="A51" s="68"/>
      <c r="B51" s="79"/>
      <c r="C51" s="77" t="s">
        <v>66</v>
      </c>
      <c r="D51" s="77" t="s">
        <v>107</v>
      </c>
      <c r="E51" s="77" t="s">
        <v>98</v>
      </c>
      <c r="F51" s="94"/>
      <c r="G51" s="94">
        <v>45420.0</v>
      </c>
      <c r="H51" s="95">
        <v>56.5</v>
      </c>
      <c r="I51" s="77" t="s">
        <v>70</v>
      </c>
      <c r="J51" s="96" t="s">
        <v>96</v>
      </c>
      <c r="K51" s="97">
        <f>IF(AND($M51=TRUE,$N51=TRUE),VLOOKUP($E51,RH!$B$47:$S$67,MONTH($G51)+6,FALSE))</f>
        <v>13.57016477</v>
      </c>
      <c r="L51" s="98">
        <f>IFERROR(IF(AND($M51=TRUE,$N51=TRUE),VLOOKUP($E51,RH!$B$47:$S$67,MONTH($G51)+6,FALSE)*$H51,0),0)</f>
        <v>766.7143097</v>
      </c>
      <c r="M51" s="99" t="b">
        <f t="shared" si="1"/>
        <v>1</v>
      </c>
      <c r="N51" s="99" t="b">
        <v>1</v>
      </c>
      <c r="O51" s="85" t="s">
        <v>91</v>
      </c>
      <c r="P51" s="68"/>
    </row>
    <row r="52">
      <c r="A52" s="68"/>
      <c r="B52" s="79"/>
      <c r="C52" s="77" t="s">
        <v>66</v>
      </c>
      <c r="D52" s="77" t="s">
        <v>107</v>
      </c>
      <c r="E52" s="77" t="s">
        <v>87</v>
      </c>
      <c r="F52" s="94"/>
      <c r="G52" s="94">
        <v>45419.0</v>
      </c>
      <c r="H52" s="95">
        <v>40.17</v>
      </c>
      <c r="I52" s="77" t="s">
        <v>70</v>
      </c>
      <c r="J52" s="96" t="s">
        <v>88</v>
      </c>
      <c r="K52" s="97">
        <f>IF(AND($M52=TRUE,$N52=TRUE),VLOOKUP($E52,RH!$B$47:$S$67,MONTH($G52)+6,FALSE))</f>
        <v>23.37181452</v>
      </c>
      <c r="L52" s="98">
        <f>IFERROR(IF(AND($M52=TRUE,$N52=TRUE),VLOOKUP($E52,RH!$B$47:$S$67,MONTH($G52)+6,FALSE)*$H52,0),0)</f>
        <v>938.8457894</v>
      </c>
      <c r="M52" s="99" t="b">
        <f t="shared" si="1"/>
        <v>1</v>
      </c>
      <c r="N52" s="99" t="b">
        <v>1</v>
      </c>
      <c r="O52" s="85" t="s">
        <v>91</v>
      </c>
      <c r="P52" s="68"/>
    </row>
    <row r="53">
      <c r="A53" s="68"/>
      <c r="B53" s="79"/>
      <c r="C53" s="77" t="s">
        <v>66</v>
      </c>
      <c r="D53" s="77" t="s">
        <v>105</v>
      </c>
      <c r="E53" s="77" t="s">
        <v>97</v>
      </c>
      <c r="F53" s="94"/>
      <c r="G53" s="94">
        <v>45446.0</v>
      </c>
      <c r="H53" s="95">
        <v>78.75</v>
      </c>
      <c r="I53" s="77" t="s">
        <v>70</v>
      </c>
      <c r="J53" s="96" t="s">
        <v>93</v>
      </c>
      <c r="K53" s="97">
        <f>IF(AND($M53=TRUE,$N53=TRUE),VLOOKUP($E53,RH!$B$47:$S$67,MONTH($G53)+6,FALSE))</f>
        <v>66.99936287</v>
      </c>
      <c r="L53" s="98">
        <f>IFERROR(IF(AND($M53=TRUE,$N53=TRUE),VLOOKUP($E53,RH!$B$47:$S$67,MONTH($G53)+6,FALSE)*$H53,0),0)</f>
        <v>5276.199826</v>
      </c>
      <c r="M53" s="99" t="b">
        <f t="shared" si="1"/>
        <v>1</v>
      </c>
      <c r="N53" s="99" t="b">
        <v>1</v>
      </c>
      <c r="O53" s="85" t="s">
        <v>91</v>
      </c>
      <c r="P53" s="68"/>
    </row>
    <row r="54">
      <c r="A54" s="68"/>
      <c r="B54" s="79"/>
      <c r="C54" s="77" t="s">
        <v>66</v>
      </c>
      <c r="D54" s="77" t="s">
        <v>105</v>
      </c>
      <c r="E54" s="77" t="s">
        <v>89</v>
      </c>
      <c r="F54" s="94"/>
      <c r="G54" s="94">
        <v>45446.0</v>
      </c>
      <c r="H54" s="95">
        <v>79.0</v>
      </c>
      <c r="I54" s="77" t="s">
        <v>70</v>
      </c>
      <c r="J54" s="96" t="s">
        <v>90</v>
      </c>
      <c r="K54" s="97">
        <f>IF(AND($M54=TRUE,$N54=TRUE),VLOOKUP($E54,RH!$B$47:$S$67,MONTH($G54)+6,FALSE))</f>
        <v>82.57854239</v>
      </c>
      <c r="L54" s="98">
        <f>IFERROR(IF(AND($M54=TRUE,$N54=TRUE),VLOOKUP($E54,RH!$B$47:$S$67,MONTH($G54)+6,FALSE)*$H54,0),0)</f>
        <v>6523.704849</v>
      </c>
      <c r="M54" s="99" t="b">
        <f t="shared" si="1"/>
        <v>1</v>
      </c>
      <c r="N54" s="99" t="b">
        <v>1</v>
      </c>
      <c r="O54" s="85" t="s">
        <v>91</v>
      </c>
      <c r="P54" s="68"/>
    </row>
    <row r="55">
      <c r="A55" s="68"/>
      <c r="B55" s="79"/>
      <c r="C55" s="77" t="s">
        <v>66</v>
      </c>
      <c r="D55" s="77" t="s">
        <v>105</v>
      </c>
      <c r="E55" s="77" t="s">
        <v>95</v>
      </c>
      <c r="F55" s="94"/>
      <c r="G55" s="94">
        <v>45446.0</v>
      </c>
      <c r="H55" s="95">
        <v>11.0</v>
      </c>
      <c r="I55" s="77" t="s">
        <v>70</v>
      </c>
      <c r="J55" s="96" t="s">
        <v>96</v>
      </c>
      <c r="K55" s="97">
        <f>IF(AND($M55=TRUE,$N55=TRUE),VLOOKUP($E55,RH!$B$47:$S$67,MONTH($G55)+6,FALSE))</f>
        <v>12.8886616</v>
      </c>
      <c r="L55" s="98">
        <f>IFERROR(IF(AND($M55=TRUE,$N55=TRUE),VLOOKUP($E55,RH!$B$47:$S$67,MONTH($G55)+6,FALSE)*$H55,0),0)</f>
        <v>141.7752776</v>
      </c>
      <c r="M55" s="99" t="b">
        <f t="shared" si="1"/>
        <v>1</v>
      </c>
      <c r="N55" s="99" t="b">
        <v>1</v>
      </c>
      <c r="O55" s="85" t="s">
        <v>91</v>
      </c>
      <c r="P55" s="68"/>
    </row>
    <row r="56">
      <c r="A56" s="68"/>
      <c r="B56" s="79"/>
      <c r="C56" s="77" t="s">
        <v>66</v>
      </c>
      <c r="D56" s="77" t="s">
        <v>105</v>
      </c>
      <c r="E56" s="77" t="s">
        <v>87</v>
      </c>
      <c r="F56" s="94"/>
      <c r="G56" s="94">
        <v>45457.0</v>
      </c>
      <c r="H56" s="95">
        <v>7.0</v>
      </c>
      <c r="I56" s="77" t="s">
        <v>70</v>
      </c>
      <c r="J56" s="96" t="s">
        <v>88</v>
      </c>
      <c r="K56" s="97">
        <f>IF(AND($M56=TRUE,$N56=TRUE),VLOOKUP($E56,RH!$B$47:$S$67,MONTH($G56)+6,FALSE))</f>
        <v>24.47062812</v>
      </c>
      <c r="L56" s="98">
        <f>IFERROR(IF(AND($M56=TRUE,$N56=TRUE),VLOOKUP($E56,RH!$B$47:$S$67,MONTH($G56)+6,FALSE)*$H56,0),0)</f>
        <v>171.2943968</v>
      </c>
      <c r="M56" s="99" t="b">
        <f t="shared" si="1"/>
        <v>1</v>
      </c>
      <c r="N56" s="99" t="b">
        <v>1</v>
      </c>
      <c r="O56" s="85" t="s">
        <v>91</v>
      </c>
      <c r="P56" s="68"/>
    </row>
    <row r="57">
      <c r="A57" s="68"/>
      <c r="B57" s="79"/>
      <c r="C57" s="77" t="s">
        <v>66</v>
      </c>
      <c r="D57" s="77" t="s">
        <v>105</v>
      </c>
      <c r="E57" s="77" t="s">
        <v>101</v>
      </c>
      <c r="F57" s="94"/>
      <c r="G57" s="94">
        <v>45470.0</v>
      </c>
      <c r="H57" s="95">
        <v>2.0</v>
      </c>
      <c r="I57" s="77" t="s">
        <v>70</v>
      </c>
      <c r="J57" s="96" t="s">
        <v>93</v>
      </c>
      <c r="K57" s="97">
        <f>IF(AND($M57=TRUE,$N57=TRUE),VLOOKUP($E57,RH!$B$47:$S$67,MONTH($G57)+6,FALSE))</f>
        <v>57.16981449</v>
      </c>
      <c r="L57" s="98">
        <f>IFERROR(IF(AND($M57=TRUE,$N57=TRUE),VLOOKUP($E57,RH!$B$47:$S$67,MONTH($G57)+6,FALSE)*$H57,0),0)</f>
        <v>114.339629</v>
      </c>
      <c r="M57" s="99" t="b">
        <f t="shared" si="1"/>
        <v>1</v>
      </c>
      <c r="N57" s="99" t="b">
        <v>1</v>
      </c>
      <c r="O57" s="85" t="s">
        <v>91</v>
      </c>
      <c r="P57" s="68"/>
    </row>
    <row r="58">
      <c r="A58" s="68"/>
      <c r="B58" s="79"/>
      <c r="C58" s="77" t="s">
        <v>66</v>
      </c>
      <c r="D58" s="77" t="s">
        <v>108</v>
      </c>
      <c r="E58" s="77" t="s">
        <v>101</v>
      </c>
      <c r="F58" s="94"/>
      <c r="G58" s="94">
        <v>45474.0</v>
      </c>
      <c r="H58" s="95">
        <v>63.2</v>
      </c>
      <c r="I58" s="77" t="s">
        <v>70</v>
      </c>
      <c r="J58" s="96" t="s">
        <v>93</v>
      </c>
      <c r="K58" s="97">
        <f>IF(AND($M58=TRUE,$N58=TRUE),VLOOKUP($E58,RH!$B$47:$S$67,MONTH($G58)+6,FALSE))</f>
        <v>50.03505154</v>
      </c>
      <c r="L58" s="98">
        <f>IFERROR(IF(AND($M58=TRUE,$N58=TRUE),VLOOKUP($E58,RH!$B$47:$S$67,MONTH($G58)+6,FALSE)*$H58,0),0)</f>
        <v>3162.215257</v>
      </c>
      <c r="M58" s="99" t="b">
        <f t="shared" si="1"/>
        <v>1</v>
      </c>
      <c r="N58" s="99" t="b">
        <v>1</v>
      </c>
      <c r="O58" s="85" t="s">
        <v>91</v>
      </c>
      <c r="P58" s="68"/>
    </row>
    <row r="59">
      <c r="A59" s="68"/>
      <c r="B59" s="79"/>
      <c r="C59" s="77" t="s">
        <v>66</v>
      </c>
      <c r="D59" s="77" t="s">
        <v>108</v>
      </c>
      <c r="E59" s="77" t="s">
        <v>87</v>
      </c>
      <c r="F59" s="93"/>
      <c r="G59" s="94">
        <v>45474.0</v>
      </c>
      <c r="H59" s="95">
        <v>100.52</v>
      </c>
      <c r="I59" s="77" t="s">
        <v>70</v>
      </c>
      <c r="J59" s="100" t="s">
        <v>88</v>
      </c>
      <c r="K59" s="97">
        <f>IF(AND($M59=TRUE,$N59=TRUE),VLOOKUP($E59,RH!$B$47:$S$67,MONTH($G59)+6,FALSE))</f>
        <v>22.94574951</v>
      </c>
      <c r="L59" s="98">
        <f>IFERROR(IF(AND($M59=TRUE,$N59=TRUE),VLOOKUP($E59,RH!$B$47:$S$67,MONTH($G59)+6,FALSE)*$H59,0),0)</f>
        <v>2306.506741</v>
      </c>
      <c r="M59" s="99" t="b">
        <f t="shared" si="1"/>
        <v>1</v>
      </c>
      <c r="N59" s="99" t="b">
        <v>1</v>
      </c>
      <c r="O59" s="85" t="s">
        <v>91</v>
      </c>
      <c r="P59" s="68"/>
    </row>
    <row r="60">
      <c r="A60" s="68"/>
      <c r="B60" s="79"/>
      <c r="C60" s="77" t="s">
        <v>66</v>
      </c>
      <c r="D60" s="77" t="s">
        <v>108</v>
      </c>
      <c r="E60" s="77" t="s">
        <v>89</v>
      </c>
      <c r="F60" s="93"/>
      <c r="G60" s="94">
        <v>45492.0</v>
      </c>
      <c r="H60" s="95">
        <v>6.25</v>
      </c>
      <c r="I60" s="77" t="s">
        <v>70</v>
      </c>
      <c r="J60" s="100" t="s">
        <v>90</v>
      </c>
      <c r="K60" s="97">
        <f>IF(AND($M60=TRUE,$N60=TRUE),VLOOKUP($E60,RH!$B$47:$S$67,MONTH($G60)+6,FALSE))</f>
        <v>72.27278349</v>
      </c>
      <c r="L60" s="98">
        <f>IFERROR(IF(AND($M60=TRUE,$N60=TRUE),VLOOKUP($E60,RH!$B$47:$S$67,MONTH($G60)+6,FALSE)*$H60,0),0)</f>
        <v>451.7048968</v>
      </c>
      <c r="M60" s="99" t="b">
        <f t="shared" si="1"/>
        <v>1</v>
      </c>
      <c r="N60" s="99" t="b">
        <v>1</v>
      </c>
      <c r="O60" s="85" t="s">
        <v>91</v>
      </c>
      <c r="P60" s="68"/>
    </row>
    <row r="61">
      <c r="A61" s="68"/>
      <c r="B61" s="79"/>
      <c r="C61" s="77" t="s">
        <v>66</v>
      </c>
      <c r="D61" s="77" t="s">
        <v>108</v>
      </c>
      <c r="E61" s="77" t="s">
        <v>92</v>
      </c>
      <c r="F61" s="93"/>
      <c r="G61" s="94">
        <v>45474.0</v>
      </c>
      <c r="H61" s="95">
        <v>27.6</v>
      </c>
      <c r="I61" s="77" t="s">
        <v>70</v>
      </c>
      <c r="J61" s="100" t="s">
        <v>93</v>
      </c>
      <c r="K61" s="97">
        <f>IF(AND($M61=TRUE,$N61=TRUE),VLOOKUP($E61,RH!$B$47:$S$67,MONTH($G61)+6,FALSE))</f>
        <v>42.71043796</v>
      </c>
      <c r="L61" s="98">
        <f>IFERROR(IF(AND($M61=TRUE,$N61=TRUE),VLOOKUP($E61,RH!$B$47:$S$67,MONTH($G61)+6,FALSE)*$H61,0),0)</f>
        <v>1178.808088</v>
      </c>
      <c r="M61" s="99" t="b">
        <f t="shared" si="1"/>
        <v>1</v>
      </c>
      <c r="N61" s="99" t="b">
        <v>1</v>
      </c>
      <c r="O61" s="85" t="s">
        <v>91</v>
      </c>
      <c r="P61" s="68"/>
    </row>
    <row r="62">
      <c r="A62" s="68"/>
      <c r="B62" s="79"/>
      <c r="C62" s="77" t="s">
        <v>66</v>
      </c>
      <c r="D62" s="77" t="s">
        <v>108</v>
      </c>
      <c r="E62" s="77" t="s">
        <v>95</v>
      </c>
      <c r="F62" s="93"/>
      <c r="G62" s="94">
        <v>45474.0</v>
      </c>
      <c r="H62" s="95">
        <v>20.0</v>
      </c>
      <c r="I62" s="77" t="s">
        <v>70</v>
      </c>
      <c r="J62" s="100" t="s">
        <v>96</v>
      </c>
      <c r="K62" s="97">
        <f>IF(AND($M62=TRUE,$N62=TRUE),VLOOKUP($E62,RH!$B$47:$S$67,MONTH($G62)+6,FALSE))</f>
        <v>11.28016337</v>
      </c>
      <c r="L62" s="98">
        <f>IFERROR(IF(AND($M62=TRUE,$N62=TRUE),VLOOKUP($E62,RH!$B$47:$S$67,MONTH($G62)+6,FALSE)*$H62,0),0)</f>
        <v>225.6032675</v>
      </c>
      <c r="M62" s="99" t="b">
        <f t="shared" si="1"/>
        <v>1</v>
      </c>
      <c r="N62" s="99" t="b">
        <v>1</v>
      </c>
      <c r="O62" s="85" t="s">
        <v>91</v>
      </c>
      <c r="P62" s="68"/>
    </row>
    <row r="63">
      <c r="A63" s="68"/>
      <c r="B63" s="79"/>
      <c r="C63" s="77" t="s">
        <v>66</v>
      </c>
      <c r="D63" s="77" t="s">
        <v>108</v>
      </c>
      <c r="E63" s="77" t="s">
        <v>98</v>
      </c>
      <c r="F63" s="93"/>
      <c r="G63" s="94">
        <v>45474.0</v>
      </c>
      <c r="H63" s="95">
        <v>51.0</v>
      </c>
      <c r="I63" s="77" t="s">
        <v>70</v>
      </c>
      <c r="J63" s="100" t="s">
        <v>96</v>
      </c>
      <c r="K63" s="97">
        <f>IF(AND($M63=TRUE,$N63=TRUE),VLOOKUP($E63,RH!$B$47:$S$67,MONTH($G63)+6,FALSE))</f>
        <v>12.43498814</v>
      </c>
      <c r="L63" s="98">
        <f>IFERROR(IF(AND($M63=TRUE,$N63=TRUE),VLOOKUP($E63,RH!$B$47:$S$67,MONTH($G63)+6,FALSE)*$H63,0),0)</f>
        <v>634.1843953</v>
      </c>
      <c r="M63" s="99" t="b">
        <f t="shared" si="1"/>
        <v>1</v>
      </c>
      <c r="N63" s="99" t="b">
        <v>1</v>
      </c>
      <c r="O63" s="85" t="s">
        <v>91</v>
      </c>
      <c r="P63" s="68"/>
    </row>
    <row r="64">
      <c r="A64" s="68"/>
      <c r="B64" s="79"/>
      <c r="C64" s="77" t="s">
        <v>66</v>
      </c>
      <c r="D64" s="77" t="s">
        <v>108</v>
      </c>
      <c r="E64" s="77" t="s">
        <v>99</v>
      </c>
      <c r="F64" s="93"/>
      <c r="G64" s="94">
        <v>45492.0</v>
      </c>
      <c r="H64" s="95">
        <v>3.0</v>
      </c>
      <c r="I64" s="77" t="s">
        <v>70</v>
      </c>
      <c r="J64" s="100" t="s">
        <v>88</v>
      </c>
      <c r="K64" s="97">
        <f>IF(AND($M64=TRUE,$N64=TRUE),VLOOKUP($E64,RH!$B$47:$S$67,MONTH($G64)+6,FALSE))</f>
        <v>22.94574951</v>
      </c>
      <c r="L64" s="98">
        <f>IFERROR(IF(AND($M64=TRUE,$N64=TRUE),VLOOKUP($E64,RH!$B$47:$S$67,MONTH($G64)+6,FALSE)*$H64,0),0)</f>
        <v>68.83724854</v>
      </c>
      <c r="M64" s="99" t="b">
        <f t="shared" si="1"/>
        <v>1</v>
      </c>
      <c r="N64" s="99" t="b">
        <v>1</v>
      </c>
      <c r="O64" s="85" t="s">
        <v>91</v>
      </c>
      <c r="P64" s="68"/>
    </row>
    <row r="65">
      <c r="A65" s="68"/>
      <c r="B65" s="79"/>
      <c r="C65" s="77" t="s">
        <v>66</v>
      </c>
      <c r="D65" s="77" t="s">
        <v>109</v>
      </c>
      <c r="E65" s="77" t="s">
        <v>89</v>
      </c>
      <c r="F65" s="93"/>
      <c r="G65" s="94">
        <v>45489.0</v>
      </c>
      <c r="H65" s="95">
        <v>19.5</v>
      </c>
      <c r="I65" s="77" t="s">
        <v>70</v>
      </c>
      <c r="J65" s="96" t="s">
        <v>90</v>
      </c>
      <c r="K65" s="97">
        <f>IF(AND($M65=TRUE,$N65=TRUE),VLOOKUP($E65,RH!$B$47:$S$67,MONTH($G65)+6,FALSE))</f>
        <v>72.27278349</v>
      </c>
      <c r="L65" s="98">
        <f>IFERROR(IF(AND($M65=TRUE,$N65=TRUE),VLOOKUP($E65,RH!$B$47:$S$67,MONTH($G65)+6,FALSE)*$H65,0),0)</f>
        <v>1409.319278</v>
      </c>
      <c r="M65" s="99" t="b">
        <f t="shared" si="1"/>
        <v>1</v>
      </c>
      <c r="N65" s="99" t="b">
        <v>1</v>
      </c>
      <c r="O65" s="85" t="s">
        <v>91</v>
      </c>
      <c r="P65" s="68"/>
    </row>
    <row r="66">
      <c r="A66" s="68"/>
      <c r="B66" s="79"/>
      <c r="C66" s="77" t="s">
        <v>66</v>
      </c>
      <c r="D66" s="77" t="s">
        <v>108</v>
      </c>
      <c r="E66" s="77" t="s">
        <v>101</v>
      </c>
      <c r="F66" s="93"/>
      <c r="G66" s="94">
        <v>45510.0</v>
      </c>
      <c r="H66" s="95">
        <v>24.75</v>
      </c>
      <c r="I66" s="77" t="s">
        <v>70</v>
      </c>
      <c r="J66" s="100" t="s">
        <v>93</v>
      </c>
      <c r="K66" s="97">
        <f>IF(AND($M66=TRUE,$N66=TRUE),VLOOKUP($E66,RH!$B$47:$S$67,MONTH($G66)+6,FALSE))</f>
        <v>52.34080799</v>
      </c>
      <c r="L66" s="98">
        <f>IFERROR(IF(AND($M66=TRUE,$N66=TRUE),VLOOKUP($E66,RH!$B$47:$S$67,MONTH($G66)+6,FALSE)*$H66,0),0)</f>
        <v>1295.434998</v>
      </c>
      <c r="M66" s="99" t="b">
        <f t="shared" si="1"/>
        <v>1</v>
      </c>
      <c r="N66" s="99" t="b">
        <v>1</v>
      </c>
      <c r="O66" s="85" t="s">
        <v>91</v>
      </c>
      <c r="P66" s="68"/>
    </row>
    <row r="67">
      <c r="A67" s="68"/>
      <c r="B67" s="79"/>
      <c r="C67" s="77" t="s">
        <v>66</v>
      </c>
      <c r="D67" s="77" t="s">
        <v>108</v>
      </c>
      <c r="E67" s="77" t="s">
        <v>87</v>
      </c>
      <c r="F67" s="93"/>
      <c r="G67" s="94">
        <v>45505.0</v>
      </c>
      <c r="H67" s="95">
        <v>86.25</v>
      </c>
      <c r="I67" s="77" t="s">
        <v>70</v>
      </c>
      <c r="J67" s="96" t="s">
        <v>88</v>
      </c>
      <c r="K67" s="97">
        <f>IF(AND($M67=TRUE,$N67=TRUE),VLOOKUP($E67,RH!$B$47:$S$67,MONTH($G67)+6,FALSE))</f>
        <v>24.00315444</v>
      </c>
      <c r="L67" s="98">
        <f>IFERROR(IF(AND($M67=TRUE,$N67=TRUE),VLOOKUP($E67,RH!$B$47:$S$67,MONTH($G67)+6,FALSE)*$H67,0),0)</f>
        <v>2070.27207</v>
      </c>
      <c r="M67" s="99" t="b">
        <f t="shared" si="1"/>
        <v>1</v>
      </c>
      <c r="N67" s="99" t="b">
        <v>1</v>
      </c>
      <c r="O67" s="85" t="s">
        <v>91</v>
      </c>
      <c r="P67" s="68"/>
    </row>
    <row r="68">
      <c r="A68" s="68"/>
      <c r="B68" s="79"/>
      <c r="C68" s="77" t="s">
        <v>66</v>
      </c>
      <c r="D68" s="77" t="s">
        <v>108</v>
      </c>
      <c r="E68" s="77" t="s">
        <v>92</v>
      </c>
      <c r="F68" s="93"/>
      <c r="G68" s="94">
        <v>45505.0</v>
      </c>
      <c r="H68" s="95">
        <v>13.6</v>
      </c>
      <c r="I68" s="77" t="s">
        <v>70</v>
      </c>
      <c r="J68" s="96" t="s">
        <v>93</v>
      </c>
      <c r="K68" s="97">
        <f>IF(AND($M68=TRUE,$N68=TRUE),VLOOKUP($E68,RH!$B$47:$S$67,MONTH($G68)+6,FALSE))</f>
        <v>44.67865553</v>
      </c>
      <c r="L68" s="98">
        <f>IFERROR(IF(AND($M68=TRUE,$N68=TRUE),VLOOKUP($E68,RH!$B$47:$S$67,MONTH($G68)+6,FALSE)*$H68,0),0)</f>
        <v>607.6297153</v>
      </c>
      <c r="M68" s="99" t="b">
        <f t="shared" si="1"/>
        <v>1</v>
      </c>
      <c r="N68" s="99" t="b">
        <v>1</v>
      </c>
      <c r="O68" s="85" t="s">
        <v>91</v>
      </c>
      <c r="P68" s="68"/>
    </row>
    <row r="69">
      <c r="A69" s="68"/>
      <c r="B69" s="79"/>
      <c r="C69" s="77" t="s">
        <v>66</v>
      </c>
      <c r="D69" s="77" t="s">
        <v>108</v>
      </c>
      <c r="E69" s="77" t="s">
        <v>97</v>
      </c>
      <c r="F69" s="93"/>
      <c r="G69" s="101">
        <v>45523.0</v>
      </c>
      <c r="H69" s="95">
        <v>1.0</v>
      </c>
      <c r="I69" s="77" t="s">
        <v>70</v>
      </c>
      <c r="J69" s="100" t="s">
        <v>93</v>
      </c>
      <c r="K69" s="97">
        <f>IF(AND($M69=TRUE,$N69=TRUE),VLOOKUP($E69,RH!$B$47:$S$67,MONTH($G69)+6,FALSE))</f>
        <v>64.86346133</v>
      </c>
      <c r="L69" s="98">
        <f>IFERROR(IF(AND($M69=TRUE,$N69=TRUE),VLOOKUP($E69,RH!$B$47:$S$67,MONTH($G69)+6,FALSE)*$H69,0),0)</f>
        <v>64.86346133</v>
      </c>
      <c r="M69" s="99" t="b">
        <f t="shared" si="1"/>
        <v>1</v>
      </c>
      <c r="N69" s="99" t="b">
        <v>1</v>
      </c>
      <c r="O69" s="85" t="s">
        <v>91</v>
      </c>
      <c r="P69" s="68"/>
    </row>
    <row r="70">
      <c r="A70" s="68"/>
      <c r="B70" s="79"/>
      <c r="C70" s="77" t="s">
        <v>66</v>
      </c>
      <c r="D70" s="77" t="s">
        <v>108</v>
      </c>
      <c r="E70" s="77" t="s">
        <v>99</v>
      </c>
      <c r="F70" s="93"/>
      <c r="G70" s="94">
        <v>45525.0</v>
      </c>
      <c r="H70" s="95">
        <v>40.75</v>
      </c>
      <c r="I70" s="77" t="s">
        <v>70</v>
      </c>
      <c r="J70" s="100" t="s">
        <v>88</v>
      </c>
      <c r="K70" s="97">
        <f>IF(AND($M70=TRUE,$N70=TRUE),VLOOKUP($E70,RH!$B$47:$S$67,MONTH($G70)+6,FALSE))</f>
        <v>24.00315444</v>
      </c>
      <c r="L70" s="98">
        <f>IFERROR(IF(AND($M70=TRUE,$N70=TRUE),VLOOKUP($E70,RH!$B$47:$S$67,MONTH($G70)+6,FALSE)*$H70,0),0)</f>
        <v>978.1285433</v>
      </c>
      <c r="M70" s="99" t="b">
        <f t="shared" si="1"/>
        <v>1</v>
      </c>
      <c r="N70" s="99" t="b">
        <v>1</v>
      </c>
      <c r="O70" s="85" t="s">
        <v>91</v>
      </c>
      <c r="P70" s="68"/>
    </row>
    <row r="71">
      <c r="A71" s="68"/>
      <c r="B71" s="79"/>
      <c r="C71" s="77" t="s">
        <v>66</v>
      </c>
      <c r="D71" s="77" t="s">
        <v>109</v>
      </c>
      <c r="E71" s="77" t="s">
        <v>89</v>
      </c>
      <c r="F71" s="93"/>
      <c r="G71" s="94">
        <v>45505.0</v>
      </c>
      <c r="H71" s="95">
        <v>123.5</v>
      </c>
      <c r="I71" s="77" t="s">
        <v>70</v>
      </c>
      <c r="J71" s="100" t="s">
        <v>90</v>
      </c>
      <c r="K71" s="97">
        <f>IF(AND($M71=TRUE,$N71=TRUE),VLOOKUP($E71,RH!$B$47:$S$67,MONTH($G71)+6,FALSE))</f>
        <v>75.60331741</v>
      </c>
      <c r="L71" s="98">
        <f>IFERROR(IF(AND($M71=TRUE,$N71=TRUE),VLOOKUP($E71,RH!$B$47:$S$67,MONTH($G71)+6,FALSE)*$H71,0),0)</f>
        <v>9337.0097</v>
      </c>
      <c r="M71" s="99" t="b">
        <f t="shared" si="1"/>
        <v>1</v>
      </c>
      <c r="N71" s="99" t="b">
        <v>1</v>
      </c>
      <c r="O71" s="85" t="s">
        <v>91</v>
      </c>
      <c r="P71" s="68"/>
    </row>
    <row r="72">
      <c r="A72" s="68"/>
      <c r="B72" s="79"/>
      <c r="C72" s="77" t="s">
        <v>66</v>
      </c>
      <c r="D72" s="77" t="s">
        <v>109</v>
      </c>
      <c r="E72" s="77" t="s">
        <v>92</v>
      </c>
      <c r="F72" s="93"/>
      <c r="G72" s="94">
        <v>45534.0</v>
      </c>
      <c r="H72" s="95">
        <v>1.0</v>
      </c>
      <c r="I72" s="77" t="s">
        <v>69</v>
      </c>
      <c r="J72" s="96" t="s">
        <v>96</v>
      </c>
      <c r="K72" s="97">
        <f>IF(AND($M72=TRUE,$N72=TRUE),VLOOKUP($E72,RH!$B$47:$S$67,MONTH($G72)+6,FALSE))</f>
        <v>44.67865553</v>
      </c>
      <c r="L72" s="98">
        <f>IFERROR(IF(AND($M72=TRUE,$N72=TRUE),VLOOKUP($E72,RH!$B$47:$S$67,MONTH($G72)+6,FALSE)*$H72,0),0)</f>
        <v>44.67865553</v>
      </c>
      <c r="M72" s="99" t="b">
        <f t="shared" si="1"/>
        <v>1</v>
      </c>
      <c r="N72" s="99" t="b">
        <v>1</v>
      </c>
      <c r="O72" s="85" t="s">
        <v>91</v>
      </c>
      <c r="P72" s="68"/>
    </row>
    <row r="73">
      <c r="A73" s="68"/>
      <c r="B73" s="79"/>
      <c r="C73" s="77" t="s">
        <v>66</v>
      </c>
      <c r="D73" s="77" t="s">
        <v>109</v>
      </c>
      <c r="E73" s="77" t="s">
        <v>97</v>
      </c>
      <c r="F73" s="93"/>
      <c r="G73" s="94">
        <v>45526.0</v>
      </c>
      <c r="H73" s="95">
        <v>19.85</v>
      </c>
      <c r="I73" s="77" t="s">
        <v>69</v>
      </c>
      <c r="J73" s="96" t="s">
        <v>96</v>
      </c>
      <c r="K73" s="97">
        <f>IF(AND($M73=TRUE,$N73=TRUE),VLOOKUP($E73,RH!$B$47:$S$67,MONTH($G73)+6,FALSE))</f>
        <v>64.86346133</v>
      </c>
      <c r="L73" s="98">
        <f>IFERROR(IF(AND($M73=TRUE,$N73=TRUE),VLOOKUP($E73,RH!$B$47:$S$67,MONTH($G73)+6,FALSE)*$H73,0),0)</f>
        <v>1287.539707</v>
      </c>
      <c r="M73" s="99" t="b">
        <f t="shared" si="1"/>
        <v>1</v>
      </c>
      <c r="N73" s="99" t="b">
        <v>1</v>
      </c>
      <c r="O73" s="85" t="s">
        <v>91</v>
      </c>
      <c r="P73" s="68"/>
    </row>
    <row r="74">
      <c r="A74" s="68"/>
      <c r="B74" s="79"/>
      <c r="C74" s="77" t="s">
        <v>66</v>
      </c>
      <c r="D74" s="77" t="s">
        <v>110</v>
      </c>
      <c r="E74" s="77" t="s">
        <v>101</v>
      </c>
      <c r="F74" s="93"/>
      <c r="G74" s="94">
        <v>45537.0</v>
      </c>
      <c r="H74" s="95">
        <v>89.5</v>
      </c>
      <c r="I74" s="77" t="s">
        <v>70</v>
      </c>
      <c r="J74" s="100" t="s">
        <v>93</v>
      </c>
      <c r="K74" s="97">
        <f>IF(AND($M74=TRUE,$N74=TRUE),VLOOKUP($E74,RH!$B$47:$S$67,MONTH($G74)+6,FALSE))</f>
        <v>54.60269733</v>
      </c>
      <c r="L74" s="98">
        <f>IFERROR(IF(AND($M74=TRUE,$N74=TRUE),VLOOKUP($E74,RH!$B$47:$S$67,MONTH($G74)+6,FALSE)*$H74,0),0)</f>
        <v>4886.941411</v>
      </c>
      <c r="M74" s="99" t="b">
        <f t="shared" si="1"/>
        <v>1</v>
      </c>
      <c r="N74" s="99" t="b">
        <v>1</v>
      </c>
      <c r="O74" s="85" t="s">
        <v>91</v>
      </c>
      <c r="P74" s="68"/>
    </row>
    <row r="75">
      <c r="A75" s="68"/>
      <c r="B75" s="79"/>
      <c r="C75" s="77" t="s">
        <v>66</v>
      </c>
      <c r="D75" s="77" t="s">
        <v>110</v>
      </c>
      <c r="E75" s="77" t="s">
        <v>87</v>
      </c>
      <c r="F75" s="93"/>
      <c r="G75" s="94">
        <v>45537.0</v>
      </c>
      <c r="H75" s="95">
        <v>132.22</v>
      </c>
      <c r="I75" s="77" t="s">
        <v>70</v>
      </c>
      <c r="J75" s="100" t="s">
        <v>88</v>
      </c>
      <c r="K75" s="97">
        <f>IF(AND($M75=TRUE,$N75=TRUE),VLOOKUP($E75,RH!$B$47:$S$67,MONTH($G75)+6,FALSE))</f>
        <v>25.04044219</v>
      </c>
      <c r="L75" s="98">
        <f>IFERROR(IF(AND($M75=TRUE,$N75=TRUE),VLOOKUP($E75,RH!$B$47:$S$67,MONTH($G75)+6,FALSE)*$H75,0),0)</f>
        <v>3310.847266</v>
      </c>
      <c r="M75" s="99" t="b">
        <f t="shared" si="1"/>
        <v>1</v>
      </c>
      <c r="N75" s="99" t="b">
        <v>1</v>
      </c>
      <c r="O75" s="85" t="s">
        <v>91</v>
      </c>
      <c r="P75" s="68"/>
    </row>
    <row r="76">
      <c r="A76" s="68"/>
      <c r="B76" s="79"/>
      <c r="C76" s="77" t="s">
        <v>66</v>
      </c>
      <c r="D76" s="77" t="s">
        <v>110</v>
      </c>
      <c r="E76" s="77" t="s">
        <v>89</v>
      </c>
      <c r="F76" s="93"/>
      <c r="G76" s="94">
        <v>45537.0</v>
      </c>
      <c r="H76" s="95">
        <v>3.75</v>
      </c>
      <c r="I76" s="77" t="s">
        <v>70</v>
      </c>
      <c r="J76" s="96" t="s">
        <v>90</v>
      </c>
      <c r="K76" s="97">
        <f>IF(AND($M76=TRUE,$N76=TRUE),VLOOKUP($E76,RH!$B$47:$S$67,MONTH($G76)+6,FALSE))</f>
        <v>78.87048779</v>
      </c>
      <c r="L76" s="98">
        <f>IFERROR(IF(AND($M76=TRUE,$N76=TRUE),VLOOKUP($E76,RH!$B$47:$S$67,MONTH($G76)+6,FALSE)*$H76,0),0)</f>
        <v>295.7643292</v>
      </c>
      <c r="M76" s="99" t="b">
        <f t="shared" si="1"/>
        <v>1</v>
      </c>
      <c r="N76" s="99" t="b">
        <v>1</v>
      </c>
      <c r="O76" s="85" t="s">
        <v>91</v>
      </c>
      <c r="P76" s="68"/>
    </row>
    <row r="77">
      <c r="A77" s="68"/>
      <c r="B77" s="79"/>
      <c r="C77" s="77" t="s">
        <v>66</v>
      </c>
      <c r="D77" s="77" t="s">
        <v>110</v>
      </c>
      <c r="E77" s="77" t="s">
        <v>92</v>
      </c>
      <c r="F77" s="93"/>
      <c r="G77" s="94">
        <v>45537.0</v>
      </c>
      <c r="H77" s="95">
        <v>12.3</v>
      </c>
      <c r="I77" s="77" t="s">
        <v>70</v>
      </c>
      <c r="J77" s="96" t="s">
        <v>93</v>
      </c>
      <c r="K77" s="97">
        <f>IF(AND($M77=TRUE,$N77=TRUE),VLOOKUP($E77,RH!$B$47:$S$67,MONTH($G77)+6,FALSE))</f>
        <v>46.60942769</v>
      </c>
      <c r="L77" s="98">
        <f>IFERROR(IF(AND($M77=TRUE,$N77=TRUE),VLOOKUP($E77,RH!$B$47:$S$67,MONTH($G77)+6,FALSE)*$H77,0),0)</f>
        <v>573.2959606</v>
      </c>
      <c r="M77" s="99" t="b">
        <f t="shared" si="1"/>
        <v>1</v>
      </c>
      <c r="N77" s="99" t="b">
        <v>1</v>
      </c>
      <c r="O77" s="85" t="s">
        <v>91</v>
      </c>
      <c r="P77" s="68"/>
    </row>
    <row r="78">
      <c r="A78" s="68"/>
      <c r="B78" s="79"/>
      <c r="C78" s="77" t="s">
        <v>66</v>
      </c>
      <c r="D78" s="77" t="s">
        <v>110</v>
      </c>
      <c r="E78" s="77" t="s">
        <v>95</v>
      </c>
      <c r="F78" s="93"/>
      <c r="G78" s="94">
        <v>45565.0</v>
      </c>
      <c r="H78" s="95">
        <v>2.5</v>
      </c>
      <c r="I78" s="77" t="s">
        <v>70</v>
      </c>
      <c r="J78" s="100" t="s">
        <v>96</v>
      </c>
      <c r="K78" s="97">
        <f>IF(AND($M78=TRUE,$N78=TRUE),VLOOKUP($E78,RH!$B$47:$S$67,MONTH($G78)+6,FALSE))</f>
        <v>13.57016477</v>
      </c>
      <c r="L78" s="98">
        <f>IFERROR(IF(AND($M78=TRUE,$N78=TRUE),VLOOKUP($E78,RH!$B$47:$S$67,MONTH($G78)+6,FALSE)*$H78,0),0)</f>
        <v>33.92541193</v>
      </c>
      <c r="M78" s="99" t="b">
        <f t="shared" si="1"/>
        <v>1</v>
      </c>
      <c r="N78" s="99" t="b">
        <v>1</v>
      </c>
      <c r="O78" s="85" t="s">
        <v>91</v>
      </c>
      <c r="P78" s="68"/>
    </row>
    <row r="79">
      <c r="A79" s="68"/>
      <c r="B79" s="79"/>
      <c r="C79" s="77" t="s">
        <v>66</v>
      </c>
      <c r="D79" s="77" t="s">
        <v>110</v>
      </c>
      <c r="E79" s="77" t="s">
        <v>97</v>
      </c>
      <c r="F79" s="93"/>
      <c r="G79" s="94">
        <v>45548.0</v>
      </c>
      <c r="H79" s="95">
        <v>3.8</v>
      </c>
      <c r="I79" s="77" t="s">
        <v>70</v>
      </c>
      <c r="J79" s="100" t="s">
        <v>93</v>
      </c>
      <c r="K79" s="97">
        <f>IF(AND($M79=TRUE,$N79=TRUE),VLOOKUP($E79,RH!$B$47:$S$67,MONTH($G79)+6,FALSE))</f>
        <v>67.66651267</v>
      </c>
      <c r="L79" s="98">
        <f>IFERROR(IF(AND($M79=TRUE,$N79=TRUE),VLOOKUP($E79,RH!$B$47:$S$67,MONTH($G79)+6,FALSE)*$H79,0),0)</f>
        <v>257.1327481</v>
      </c>
      <c r="M79" s="99" t="b">
        <f t="shared" si="1"/>
        <v>1</v>
      </c>
      <c r="N79" s="99" t="b">
        <v>1</v>
      </c>
      <c r="O79" s="85" t="s">
        <v>91</v>
      </c>
      <c r="P79" s="68"/>
    </row>
    <row r="80">
      <c r="A80" s="68"/>
      <c r="B80" s="79"/>
      <c r="C80" s="77" t="s">
        <v>66</v>
      </c>
      <c r="D80" s="77" t="s">
        <v>110</v>
      </c>
      <c r="E80" s="77" t="s">
        <v>99</v>
      </c>
      <c r="F80" s="94"/>
      <c r="G80" s="94">
        <v>45537.0</v>
      </c>
      <c r="H80" s="95">
        <v>3.25</v>
      </c>
      <c r="I80" s="77" t="s">
        <v>70</v>
      </c>
      <c r="J80" s="96" t="s">
        <v>88</v>
      </c>
      <c r="K80" s="97">
        <f>IF(AND($M80=TRUE,$N80=TRUE),VLOOKUP($E80,RH!$B$47:$S$67,MONTH($G80)+6,FALSE))</f>
        <v>25.04044219</v>
      </c>
      <c r="L80" s="98">
        <f>IFERROR(IF(AND($M80=TRUE,$N80=TRUE),VLOOKUP($E80,RH!$B$47:$S$67,MONTH($G80)+6,FALSE)*$H80,0),0)</f>
        <v>81.38143712</v>
      </c>
      <c r="M80" s="99" t="b">
        <f t="shared" si="1"/>
        <v>1</v>
      </c>
      <c r="N80" s="99" t="b">
        <v>1</v>
      </c>
      <c r="O80" s="85" t="s">
        <v>91</v>
      </c>
      <c r="P80" s="68"/>
    </row>
    <row r="81">
      <c r="A81" s="68"/>
      <c r="B81" s="79"/>
      <c r="C81" s="77" t="s">
        <v>66</v>
      </c>
      <c r="D81" s="77" t="s">
        <v>109</v>
      </c>
      <c r="E81" s="77" t="s">
        <v>89</v>
      </c>
      <c r="F81" s="94"/>
      <c r="G81" s="94">
        <v>45537.0</v>
      </c>
      <c r="H81" s="95">
        <v>99.0</v>
      </c>
      <c r="I81" s="77" t="s">
        <v>70</v>
      </c>
      <c r="J81" s="96" t="s">
        <v>90</v>
      </c>
      <c r="K81" s="97">
        <f>IF(AND($M81=TRUE,$N81=TRUE),VLOOKUP($E81,RH!$B$47:$S$67,MONTH($G81)+6,FALSE))</f>
        <v>78.87048779</v>
      </c>
      <c r="L81" s="98">
        <f>IFERROR(IF(AND($M81=TRUE,$N81=TRUE),VLOOKUP($E81,RH!$B$47:$S$67,MONTH($G81)+6,FALSE)*$H81,0),0)</f>
        <v>7808.178292</v>
      </c>
      <c r="M81" s="99" t="b">
        <f t="shared" si="1"/>
        <v>1</v>
      </c>
      <c r="N81" s="99" t="b">
        <v>1</v>
      </c>
      <c r="O81" s="85" t="s">
        <v>91</v>
      </c>
      <c r="P81" s="68"/>
    </row>
    <row r="82">
      <c r="A82" s="68"/>
      <c r="B82" s="79"/>
      <c r="C82" s="77" t="s">
        <v>66</v>
      </c>
      <c r="D82" s="77" t="s">
        <v>109</v>
      </c>
      <c r="E82" s="77" t="s">
        <v>92</v>
      </c>
      <c r="F82" s="94"/>
      <c r="G82" s="94">
        <v>45537.0</v>
      </c>
      <c r="H82" s="95">
        <v>0.5</v>
      </c>
      <c r="I82" s="77" t="s">
        <v>69</v>
      </c>
      <c r="J82" s="96" t="s">
        <v>96</v>
      </c>
      <c r="K82" s="97">
        <f>IF(AND($M82=TRUE,$N82=TRUE),VLOOKUP($E82,RH!$B$47:$S$67,MONTH($G82)+6,FALSE))</f>
        <v>46.60942769</v>
      </c>
      <c r="L82" s="98">
        <f>IFERROR(IF(AND($M82=TRUE,$N82=TRUE),VLOOKUP($E82,RH!$B$47:$S$67,MONTH($G82)+6,FALSE)*$H82,0),0)</f>
        <v>23.30471385</v>
      </c>
      <c r="M82" s="99" t="b">
        <f t="shared" si="1"/>
        <v>1</v>
      </c>
      <c r="N82" s="99" t="b">
        <v>1</v>
      </c>
      <c r="O82" s="85" t="s">
        <v>91</v>
      </c>
      <c r="P82" s="68"/>
    </row>
    <row r="83">
      <c r="A83" s="68"/>
      <c r="B83" s="79"/>
      <c r="C83" s="77" t="s">
        <v>66</v>
      </c>
      <c r="D83" s="77" t="s">
        <v>109</v>
      </c>
      <c r="E83" s="77" t="s">
        <v>97</v>
      </c>
      <c r="F83" s="94"/>
      <c r="G83" s="94">
        <v>45310.0</v>
      </c>
      <c r="H83" s="95">
        <v>2.0</v>
      </c>
      <c r="I83" s="77" t="s">
        <v>69</v>
      </c>
      <c r="J83" s="96" t="s">
        <v>96</v>
      </c>
      <c r="K83" s="97">
        <f>IF(AND($M83=TRUE,$N83=TRUE),VLOOKUP($E83,RH!$B$47:$S$67,MONTH($G83)+6,FALSE))</f>
        <v>60.9085117</v>
      </c>
      <c r="L83" s="98">
        <f>IFERROR(IF(AND($M83=TRUE,$N83=TRUE),VLOOKUP($E83,RH!$B$47:$S$67,MONTH($G83)+6,FALSE)*$H83,0),0)</f>
        <v>121.8170234</v>
      </c>
      <c r="M83" s="99" t="b">
        <f t="shared" si="1"/>
        <v>1</v>
      </c>
      <c r="N83" s="99" t="b">
        <v>1</v>
      </c>
      <c r="O83" s="85" t="s">
        <v>91</v>
      </c>
      <c r="P83" s="68"/>
    </row>
    <row r="84">
      <c r="A84" s="68"/>
      <c r="B84" s="79"/>
      <c r="C84" s="77" t="s">
        <v>66</v>
      </c>
      <c r="D84" s="77" t="s">
        <v>111</v>
      </c>
      <c r="E84" s="77" t="s">
        <v>112</v>
      </c>
      <c r="F84" s="94"/>
      <c r="G84" s="94">
        <v>45568.0</v>
      </c>
      <c r="H84" s="95">
        <v>11.05</v>
      </c>
      <c r="I84" s="77" t="s">
        <v>69</v>
      </c>
      <c r="J84" s="96" t="s">
        <v>96</v>
      </c>
      <c r="K84" s="97">
        <f>IF(AND($M84=TRUE,$N84=TRUE),VLOOKUP($E84,RH!$B$47:$S$67,MONTH($G84)+6,FALSE))</f>
        <v>47.2082307</v>
      </c>
      <c r="L84" s="98">
        <f>IFERROR(IF(AND($M84=TRUE,$N84=TRUE),VLOOKUP($E84,RH!$B$47:$S$67,MONTH($G84)+6,FALSE)*$H84,0),0)</f>
        <v>521.6509493</v>
      </c>
      <c r="M84" s="99" t="b">
        <f t="shared" si="1"/>
        <v>1</v>
      </c>
      <c r="N84" s="99" t="b">
        <v>1</v>
      </c>
      <c r="O84" s="85" t="s">
        <v>91</v>
      </c>
      <c r="P84" s="68"/>
    </row>
    <row r="85">
      <c r="A85" s="68"/>
      <c r="B85" s="79"/>
      <c r="C85" s="77" t="s">
        <v>66</v>
      </c>
      <c r="D85" s="77" t="s">
        <v>111</v>
      </c>
      <c r="E85" s="77" t="s">
        <v>92</v>
      </c>
      <c r="F85" s="94"/>
      <c r="G85" s="94">
        <v>45589.0</v>
      </c>
      <c r="H85" s="95">
        <v>24.9</v>
      </c>
      <c r="I85" s="77" t="s">
        <v>70</v>
      </c>
      <c r="J85" s="96" t="s">
        <v>96</v>
      </c>
      <c r="K85" s="97">
        <f>IF(AND($M85=TRUE,$N85=TRUE),VLOOKUP($E85,RH!$B$47:$S$67,MONTH($G85)+6,FALSE))</f>
        <v>44.36431407</v>
      </c>
      <c r="L85" s="98">
        <f>IFERROR(IF(AND($M85=TRUE,$N85=TRUE),VLOOKUP($E85,RH!$B$47:$S$67,MONTH($G85)+6,FALSE)*$H85,0),0)</f>
        <v>1104.67142</v>
      </c>
      <c r="M85" s="99" t="b">
        <f t="shared" si="1"/>
        <v>1</v>
      </c>
      <c r="N85" s="99" t="b">
        <v>1</v>
      </c>
      <c r="O85" s="85" t="s">
        <v>91</v>
      </c>
      <c r="P85" s="68"/>
    </row>
    <row r="86">
      <c r="A86" s="68"/>
      <c r="B86" s="79"/>
      <c r="C86" s="77" t="s">
        <v>66</v>
      </c>
      <c r="D86" s="77" t="s">
        <v>113</v>
      </c>
      <c r="E86" s="77" t="s">
        <v>101</v>
      </c>
      <c r="F86" s="94"/>
      <c r="G86" s="94">
        <v>45568.0</v>
      </c>
      <c r="H86" s="95">
        <v>1.75</v>
      </c>
      <c r="I86" s="77" t="s">
        <v>69</v>
      </c>
      <c r="J86" s="96" t="s">
        <v>96</v>
      </c>
      <c r="K86" s="97">
        <f>IF(AND($M86=TRUE,$N86=TRUE),VLOOKUP($E86,RH!$B$47:$S$67,MONTH($G86)+6,FALSE))</f>
        <v>51.97255863</v>
      </c>
      <c r="L86" s="98">
        <f>IFERROR(IF(AND($M86=TRUE,$N86=TRUE),VLOOKUP($E86,RH!$B$47:$S$67,MONTH($G86)+6,FALSE)*$H86,0),0)</f>
        <v>90.9519776</v>
      </c>
      <c r="M86" s="99" t="b">
        <f t="shared" si="1"/>
        <v>1</v>
      </c>
      <c r="N86" s="99" t="b">
        <v>1</v>
      </c>
      <c r="O86" s="85" t="s">
        <v>91</v>
      </c>
      <c r="P86" s="68"/>
    </row>
    <row r="87">
      <c r="A87" s="68"/>
      <c r="B87" s="79"/>
      <c r="C87" s="77" t="s">
        <v>66</v>
      </c>
      <c r="D87" s="77" t="s">
        <v>113</v>
      </c>
      <c r="E87" s="77" t="s">
        <v>89</v>
      </c>
      <c r="F87" s="94"/>
      <c r="G87" s="94">
        <v>45566.0</v>
      </c>
      <c r="H87" s="95">
        <v>86.0</v>
      </c>
      <c r="I87" s="77" t="s">
        <v>70</v>
      </c>
      <c r="J87" s="96" t="s">
        <v>90</v>
      </c>
      <c r="K87" s="97">
        <f>IF(AND($M87=TRUE,$N87=TRUE),VLOOKUP($E87,RH!$B$47:$S$67,MONTH($G87)+6,FALSE))</f>
        <v>75.07140218</v>
      </c>
      <c r="L87" s="98">
        <f>IFERROR(IF(AND($M87=TRUE,$N87=TRUE),VLOOKUP($E87,RH!$B$47:$S$67,MONTH($G87)+6,FALSE)*$H87,0),0)</f>
        <v>6456.140587</v>
      </c>
      <c r="M87" s="99" t="b">
        <f t="shared" si="1"/>
        <v>1</v>
      </c>
      <c r="N87" s="99" t="b">
        <v>1</v>
      </c>
      <c r="O87" s="85" t="s">
        <v>91</v>
      </c>
      <c r="P87" s="68"/>
    </row>
    <row r="88">
      <c r="A88" s="68"/>
      <c r="B88" s="79"/>
      <c r="C88" s="77" t="s">
        <v>66</v>
      </c>
      <c r="D88" s="77" t="s">
        <v>113</v>
      </c>
      <c r="E88" s="77" t="s">
        <v>89</v>
      </c>
      <c r="F88" s="94"/>
      <c r="G88" s="94">
        <v>45568.0</v>
      </c>
      <c r="H88" s="95">
        <v>2.0</v>
      </c>
      <c r="I88" s="77" t="s">
        <v>70</v>
      </c>
      <c r="J88" s="96" t="s">
        <v>96</v>
      </c>
      <c r="K88" s="97">
        <f>IF(AND($M88=TRUE,$N88=TRUE),VLOOKUP($E88,RH!$B$47:$S$67,MONTH($G88)+6,FALSE))</f>
        <v>75.07140218</v>
      </c>
      <c r="L88" s="98">
        <f>IFERROR(IF(AND($M88=TRUE,$N88=TRUE),VLOOKUP($E88,RH!$B$47:$S$67,MONTH($G88)+6,FALSE)*$H88,0),0)</f>
        <v>150.1428044</v>
      </c>
      <c r="M88" s="99" t="b">
        <f t="shared" si="1"/>
        <v>1</v>
      </c>
      <c r="N88" s="99" t="b">
        <v>1</v>
      </c>
      <c r="O88" s="85" t="s">
        <v>91</v>
      </c>
      <c r="P88" s="68"/>
    </row>
    <row r="89">
      <c r="A89" s="68"/>
      <c r="B89" s="79"/>
      <c r="C89" s="77" t="s">
        <v>66</v>
      </c>
      <c r="D89" s="77" t="s">
        <v>113</v>
      </c>
      <c r="E89" s="77" t="s">
        <v>97</v>
      </c>
      <c r="F89" s="94"/>
      <c r="G89" s="94">
        <v>45566.0</v>
      </c>
      <c r="H89" s="95">
        <v>29.75</v>
      </c>
      <c r="I89" s="77" t="s">
        <v>70</v>
      </c>
      <c r="J89" s="96" t="s">
        <v>96</v>
      </c>
      <c r="K89" s="97">
        <f>IF(AND($M89=TRUE,$N89=TRUE),VLOOKUP($E89,RH!$B$47:$S$67,MONTH($G89)+6,FALSE))</f>
        <v>64.40710751</v>
      </c>
      <c r="L89" s="98">
        <f>IFERROR(IF(AND($M89=TRUE,$N89=TRUE),VLOOKUP($E89,RH!$B$47:$S$67,MONTH($G89)+6,FALSE)*$H89,0),0)</f>
        <v>1916.111448</v>
      </c>
      <c r="M89" s="99" t="b">
        <f t="shared" si="1"/>
        <v>1</v>
      </c>
      <c r="N89" s="99" t="b">
        <v>1</v>
      </c>
      <c r="O89" s="85" t="s">
        <v>91</v>
      </c>
      <c r="P89" s="68"/>
    </row>
    <row r="90">
      <c r="A90" s="68"/>
      <c r="B90" s="79"/>
      <c r="C90" s="77" t="s">
        <v>66</v>
      </c>
      <c r="D90" s="77" t="s">
        <v>113</v>
      </c>
      <c r="E90" s="77" t="s">
        <v>97</v>
      </c>
      <c r="F90" s="94"/>
      <c r="G90" s="94">
        <v>45566.0</v>
      </c>
      <c r="H90" s="95">
        <v>56.05</v>
      </c>
      <c r="I90" s="77" t="s">
        <v>70</v>
      </c>
      <c r="J90" s="96" t="s">
        <v>93</v>
      </c>
      <c r="K90" s="97">
        <f>IF(AND($M90=TRUE,$N90=TRUE),VLOOKUP($E90,RH!$B$47:$S$67,MONTH($G90)+6,FALSE))</f>
        <v>64.40710751</v>
      </c>
      <c r="L90" s="98">
        <f>IFERROR(IF(AND($M90=TRUE,$N90=TRUE),VLOOKUP($E90,RH!$B$47:$S$67,MONTH($G90)+6,FALSE)*$H90,0),0)</f>
        <v>3610.018376</v>
      </c>
      <c r="M90" s="99" t="b">
        <f t="shared" si="1"/>
        <v>1</v>
      </c>
      <c r="N90" s="99" t="b">
        <v>1</v>
      </c>
      <c r="O90" s="85" t="s">
        <v>91</v>
      </c>
      <c r="P90" s="68"/>
    </row>
    <row r="91">
      <c r="A91" s="68"/>
      <c r="B91" s="79"/>
      <c r="C91" s="77" t="s">
        <v>66</v>
      </c>
      <c r="D91" s="77" t="s">
        <v>113</v>
      </c>
      <c r="E91" s="77" t="s">
        <v>97</v>
      </c>
      <c r="F91" s="94"/>
      <c r="G91" s="94">
        <v>45580.0</v>
      </c>
      <c r="H91" s="95">
        <v>4.0</v>
      </c>
      <c r="I91" s="77" t="s">
        <v>70</v>
      </c>
      <c r="J91" s="96" t="s">
        <v>88</v>
      </c>
      <c r="K91" s="97">
        <f>IF(AND($M91=TRUE,$N91=TRUE),VLOOKUP($E91,RH!$B$47:$S$67,MONTH($G91)+6,FALSE))</f>
        <v>64.40710751</v>
      </c>
      <c r="L91" s="98">
        <f>IFERROR(IF(AND($M91=TRUE,$N91=TRUE),VLOOKUP($E91,RH!$B$47:$S$67,MONTH($G91)+6,FALSE)*$H91,0),0)</f>
        <v>257.62843</v>
      </c>
      <c r="M91" s="99" t="b">
        <f t="shared" si="1"/>
        <v>1</v>
      </c>
      <c r="N91" s="99" t="b">
        <v>1</v>
      </c>
      <c r="O91" s="85" t="s">
        <v>91</v>
      </c>
      <c r="P91" s="68"/>
    </row>
    <row r="92">
      <c r="A92" s="68"/>
      <c r="B92" s="79"/>
      <c r="C92" s="77" t="s">
        <v>66</v>
      </c>
      <c r="D92" s="77" t="s">
        <v>113</v>
      </c>
      <c r="E92" s="77" t="s">
        <v>112</v>
      </c>
      <c r="F92" s="94"/>
      <c r="G92" s="94">
        <v>45568.0</v>
      </c>
      <c r="H92" s="95">
        <v>2.25</v>
      </c>
      <c r="I92" s="77" t="s">
        <v>70</v>
      </c>
      <c r="J92" s="96" t="s">
        <v>96</v>
      </c>
      <c r="K92" s="97">
        <f>IF(AND($M92=TRUE,$N92=TRUE),VLOOKUP($E92,RH!$B$47:$S$67,MONTH($G92)+6,FALSE))</f>
        <v>47.2082307</v>
      </c>
      <c r="L92" s="98">
        <f>IFERROR(IF(AND($M92=TRUE,$N92=TRUE),VLOOKUP($E92,RH!$B$47:$S$67,MONTH($G92)+6,FALSE)*$H92,0),0)</f>
        <v>106.2185191</v>
      </c>
      <c r="M92" s="99" t="b">
        <f t="shared" si="1"/>
        <v>1</v>
      </c>
      <c r="N92" s="99" t="b">
        <v>1</v>
      </c>
      <c r="O92" s="85" t="s">
        <v>91</v>
      </c>
      <c r="P92" s="68"/>
    </row>
    <row r="93">
      <c r="A93" s="68"/>
      <c r="B93" s="79"/>
      <c r="C93" s="77" t="s">
        <v>66</v>
      </c>
      <c r="D93" s="77" t="s">
        <v>113</v>
      </c>
      <c r="E93" s="77" t="s">
        <v>112</v>
      </c>
      <c r="F93" s="94"/>
      <c r="G93" s="94">
        <v>45566.0</v>
      </c>
      <c r="H93" s="95">
        <v>77.43</v>
      </c>
      <c r="I93" s="77" t="s">
        <v>70</v>
      </c>
      <c r="J93" s="96" t="s">
        <v>88</v>
      </c>
      <c r="K93" s="97">
        <f>IF(AND($M93=TRUE,$N93=TRUE),VLOOKUP($E93,RH!$B$47:$S$67,MONTH($G93)+6,FALSE))</f>
        <v>47.2082307</v>
      </c>
      <c r="L93" s="98">
        <f>IFERROR(IF(AND($M93=TRUE,$N93=TRUE),VLOOKUP($E93,RH!$B$47:$S$67,MONTH($G93)+6,FALSE)*$H93,0),0)</f>
        <v>3655.333303</v>
      </c>
      <c r="M93" s="99" t="b">
        <f t="shared" si="1"/>
        <v>1</v>
      </c>
      <c r="N93" s="99" t="b">
        <v>1</v>
      </c>
      <c r="O93" s="85" t="s">
        <v>91</v>
      </c>
      <c r="P93" s="68"/>
    </row>
    <row r="94">
      <c r="A94" s="68"/>
      <c r="B94" s="79"/>
      <c r="C94" s="77" t="s">
        <v>66</v>
      </c>
      <c r="D94" s="77" t="s">
        <v>114</v>
      </c>
      <c r="E94" s="77" t="s">
        <v>101</v>
      </c>
      <c r="F94" s="94"/>
      <c r="G94" s="94">
        <v>45567.0</v>
      </c>
      <c r="H94" s="95">
        <v>19.0</v>
      </c>
      <c r="I94" s="77" t="s">
        <v>70</v>
      </c>
      <c r="J94" s="96" t="s">
        <v>93</v>
      </c>
      <c r="K94" s="97">
        <f>IF(AND($M94=TRUE,$N94=TRUE),VLOOKUP($E94,RH!$B$47:$S$67,MONTH($G94)+6,FALSE))</f>
        <v>51.97255863</v>
      </c>
      <c r="L94" s="98">
        <f>IFERROR(IF(AND($M94=TRUE,$N94=TRUE),VLOOKUP($E94,RH!$B$47:$S$67,MONTH($G94)+6,FALSE)*$H94,0),0)</f>
        <v>987.478614</v>
      </c>
      <c r="M94" s="99" t="b">
        <f t="shared" si="1"/>
        <v>1</v>
      </c>
      <c r="N94" s="99" t="b">
        <v>1</v>
      </c>
      <c r="O94" s="85" t="s">
        <v>91</v>
      </c>
      <c r="P94" s="68"/>
    </row>
    <row r="95">
      <c r="A95" s="68"/>
      <c r="B95" s="79"/>
      <c r="C95" s="77" t="s">
        <v>66</v>
      </c>
      <c r="D95" s="77" t="s">
        <v>114</v>
      </c>
      <c r="E95" s="77" t="s">
        <v>87</v>
      </c>
      <c r="F95" s="94"/>
      <c r="G95" s="94">
        <v>45566.0</v>
      </c>
      <c r="H95" s="95">
        <v>58.0</v>
      </c>
      <c r="I95" s="77" t="s">
        <v>70</v>
      </c>
      <c r="J95" s="96" t="s">
        <v>88</v>
      </c>
      <c r="K95" s="97">
        <f>IF(AND($M95=TRUE,$N95=TRUE),VLOOKUP($E95,RH!$B$47:$S$67,MONTH($G95)+6,FALSE))</f>
        <v>23.83427767</v>
      </c>
      <c r="L95" s="98">
        <f>IFERROR(IF(AND($M95=TRUE,$N95=TRUE),VLOOKUP($E95,RH!$B$47:$S$67,MONTH($G95)+6,FALSE)*$H95,0),0)</f>
        <v>1382.388105</v>
      </c>
      <c r="M95" s="99" t="b">
        <f t="shared" si="1"/>
        <v>1</v>
      </c>
      <c r="N95" s="99" t="b">
        <v>1</v>
      </c>
      <c r="O95" s="85" t="s">
        <v>91</v>
      </c>
      <c r="P95" s="68"/>
    </row>
    <row r="96">
      <c r="A96" s="68"/>
      <c r="B96" s="79"/>
      <c r="C96" s="77" t="s">
        <v>66</v>
      </c>
      <c r="D96" s="77" t="s">
        <v>114</v>
      </c>
      <c r="E96" s="77" t="s">
        <v>89</v>
      </c>
      <c r="F96" s="94"/>
      <c r="G96" s="94">
        <v>45595.0</v>
      </c>
      <c r="H96" s="95">
        <v>10.0</v>
      </c>
      <c r="I96" s="77" t="s">
        <v>70</v>
      </c>
      <c r="J96" s="96" t="s">
        <v>90</v>
      </c>
      <c r="K96" s="97">
        <f>IF(AND($M96=TRUE,$N96=TRUE),VLOOKUP($E96,RH!$B$47:$S$67,MONTH($G96)+6,FALSE))</f>
        <v>75.07140218</v>
      </c>
      <c r="L96" s="98">
        <f>IFERROR(IF(AND($M96=TRUE,$N96=TRUE),VLOOKUP($E96,RH!$B$47:$S$67,MONTH($G96)+6,FALSE)*$H96,0),0)</f>
        <v>750.7140218</v>
      </c>
      <c r="M96" s="99" t="b">
        <f t="shared" si="1"/>
        <v>1</v>
      </c>
      <c r="N96" s="99" t="b">
        <v>1</v>
      </c>
      <c r="O96" s="85" t="s">
        <v>91</v>
      </c>
      <c r="P96" s="68"/>
    </row>
    <row r="97">
      <c r="A97" s="68"/>
      <c r="B97" s="79"/>
      <c r="C97" s="77" t="s">
        <v>66</v>
      </c>
      <c r="D97" s="77" t="s">
        <v>114</v>
      </c>
      <c r="E97" s="77" t="s">
        <v>95</v>
      </c>
      <c r="F97" s="94"/>
      <c r="G97" s="94">
        <v>45572.0</v>
      </c>
      <c r="H97" s="95">
        <v>0.5</v>
      </c>
      <c r="I97" s="77" t="s">
        <v>70</v>
      </c>
      <c r="J97" s="96" t="s">
        <v>96</v>
      </c>
      <c r="K97" s="97">
        <f>IF(AND($M97=TRUE,$N97=TRUE),VLOOKUP($E97,RH!$B$47:$S$67,MONTH($G97)+6,FALSE))</f>
        <v>12.91650814</v>
      </c>
      <c r="L97" s="98">
        <f>IFERROR(IF(AND($M97=TRUE,$N97=TRUE),VLOOKUP($E97,RH!$B$47:$S$67,MONTH($G97)+6,FALSE)*$H97,0),0)</f>
        <v>6.458254068</v>
      </c>
      <c r="M97" s="99" t="b">
        <f t="shared" si="1"/>
        <v>1</v>
      </c>
      <c r="N97" s="99" t="b">
        <v>1</v>
      </c>
      <c r="O97" s="85" t="s">
        <v>91</v>
      </c>
      <c r="P97" s="68"/>
    </row>
    <row r="98">
      <c r="A98" s="68"/>
      <c r="B98" s="79"/>
      <c r="C98" s="77" t="s">
        <v>66</v>
      </c>
      <c r="D98" s="77" t="s">
        <v>114</v>
      </c>
      <c r="E98" s="77" t="s">
        <v>97</v>
      </c>
      <c r="F98" s="94"/>
      <c r="G98" s="94">
        <v>45579.0</v>
      </c>
      <c r="H98" s="95">
        <v>1.0</v>
      </c>
      <c r="I98" s="77" t="s">
        <v>70</v>
      </c>
      <c r="J98" s="96" t="s">
        <v>96</v>
      </c>
      <c r="K98" s="97">
        <f>IF(AND($M98=TRUE,$N98=TRUE),VLOOKUP($E98,RH!$B$47:$S$67,MONTH($G98)+6,FALSE))</f>
        <v>64.40710751</v>
      </c>
      <c r="L98" s="98">
        <f>IFERROR(IF(AND($M98=TRUE,$N98=TRUE),VLOOKUP($E98,RH!$B$47:$S$67,MONTH($G98)+6,FALSE)*$H98,0),0)</f>
        <v>64.40710751</v>
      </c>
      <c r="M98" s="99" t="b">
        <f t="shared" si="1"/>
        <v>1</v>
      </c>
      <c r="N98" s="99" t="b">
        <v>1</v>
      </c>
      <c r="O98" s="85" t="s">
        <v>91</v>
      </c>
      <c r="P98" s="68"/>
    </row>
    <row r="99">
      <c r="A99" s="68"/>
      <c r="B99" s="79"/>
      <c r="C99" s="77" t="s">
        <v>66</v>
      </c>
      <c r="D99" s="77" t="s">
        <v>115</v>
      </c>
      <c r="E99" s="77" t="s">
        <v>92</v>
      </c>
      <c r="F99" s="94"/>
      <c r="G99" s="94">
        <v>45580.0</v>
      </c>
      <c r="H99" s="95">
        <v>7.25</v>
      </c>
      <c r="I99" s="77" t="s">
        <v>70</v>
      </c>
      <c r="J99" s="96" t="s">
        <v>93</v>
      </c>
      <c r="K99" s="97">
        <f>IF(AND($M99=TRUE,$N99=TRUE),VLOOKUP($E99,RH!$B$47:$S$67,MONTH($G99)+6,FALSE))</f>
        <v>44.36431407</v>
      </c>
      <c r="L99" s="98">
        <f>IFERROR(IF(AND($M99=TRUE,$N99=TRUE),VLOOKUP($E99,RH!$B$47:$S$67,MONTH($G99)+6,FALSE)*$H99,0),0)</f>
        <v>321.641277</v>
      </c>
      <c r="M99" s="99" t="b">
        <f t="shared" si="1"/>
        <v>1</v>
      </c>
      <c r="N99" s="99" t="b">
        <v>1</v>
      </c>
      <c r="O99" s="85" t="s">
        <v>91</v>
      </c>
      <c r="P99" s="68"/>
    </row>
    <row r="100">
      <c r="A100" s="68"/>
      <c r="B100" s="79"/>
      <c r="C100" s="77" t="s">
        <v>66</v>
      </c>
      <c r="D100" s="77" t="s">
        <v>115</v>
      </c>
      <c r="E100" s="77" t="s">
        <v>97</v>
      </c>
      <c r="F100" s="94"/>
      <c r="G100" s="94">
        <v>45590.0</v>
      </c>
      <c r="H100" s="95">
        <v>2.25</v>
      </c>
      <c r="I100" s="77" t="s">
        <v>70</v>
      </c>
      <c r="J100" s="96" t="s">
        <v>93</v>
      </c>
      <c r="K100" s="97">
        <f>IF(AND($M100=TRUE,$N100=TRUE),VLOOKUP($E100,RH!$B$47:$S$67,MONTH($G100)+6,FALSE))</f>
        <v>64.40710751</v>
      </c>
      <c r="L100" s="98">
        <f>IFERROR(IF(AND($M100=TRUE,$N100=TRUE),VLOOKUP($E100,RH!$B$47:$S$67,MONTH($G100)+6,FALSE)*$H100,0),0)</f>
        <v>144.9159919</v>
      </c>
      <c r="M100" s="99" t="b">
        <f t="shared" si="1"/>
        <v>1</v>
      </c>
      <c r="N100" s="99" t="b">
        <v>1</v>
      </c>
      <c r="O100" s="85" t="s">
        <v>91</v>
      </c>
      <c r="P100" s="68"/>
    </row>
    <row r="101">
      <c r="A101" s="68"/>
      <c r="B101" s="79"/>
      <c r="C101" s="77" t="s">
        <v>66</v>
      </c>
      <c r="D101" s="77" t="s">
        <v>115</v>
      </c>
      <c r="E101" s="77" t="s">
        <v>99</v>
      </c>
      <c r="F101" s="94"/>
      <c r="G101" s="94">
        <v>45566.0</v>
      </c>
      <c r="H101" s="95">
        <v>136.28</v>
      </c>
      <c r="I101" s="77" t="s">
        <v>70</v>
      </c>
      <c r="J101" s="96" t="s">
        <v>88</v>
      </c>
      <c r="K101" s="97">
        <f>IF(AND($M101=TRUE,$N101=TRUE),VLOOKUP($E101,RH!$B$47:$S$67,MONTH($G101)+6,FALSE))</f>
        <v>23.83427767</v>
      </c>
      <c r="L101" s="98">
        <f>IFERROR(IF(AND($M101=TRUE,$N101=TRUE),VLOOKUP($E101,RH!$B$47:$S$67,MONTH($G101)+6,FALSE)*$H101,0),0)</f>
        <v>3248.135361</v>
      </c>
      <c r="M101" s="99" t="b">
        <f t="shared" si="1"/>
        <v>1</v>
      </c>
      <c r="N101" s="99" t="b">
        <v>1</v>
      </c>
      <c r="O101" s="85" t="s">
        <v>91</v>
      </c>
      <c r="P101" s="68"/>
    </row>
    <row r="102">
      <c r="A102" s="68"/>
      <c r="B102" s="79"/>
      <c r="C102" s="77" t="s">
        <v>66</v>
      </c>
      <c r="D102" s="77" t="s">
        <v>115</v>
      </c>
      <c r="E102" s="77" t="s">
        <v>112</v>
      </c>
      <c r="F102" s="94"/>
      <c r="G102" s="94">
        <v>45593.0</v>
      </c>
      <c r="H102" s="95">
        <v>8.8</v>
      </c>
      <c r="I102" s="77" t="s">
        <v>70</v>
      </c>
      <c r="J102" s="96" t="s">
        <v>96</v>
      </c>
      <c r="K102" s="97">
        <f>IF(AND($M102=TRUE,$N102=TRUE),VLOOKUP($E102,RH!$B$47:$S$67,MONTH($G102)+6,FALSE))</f>
        <v>47.2082307</v>
      </c>
      <c r="L102" s="98">
        <f>IFERROR(IF(AND($M102=TRUE,$N102=TRUE),VLOOKUP($E102,RH!$B$47:$S$67,MONTH($G102)+6,FALSE)*$H102,0),0)</f>
        <v>415.4324302</v>
      </c>
      <c r="M102" s="99" t="b">
        <f t="shared" si="1"/>
        <v>1</v>
      </c>
      <c r="N102" s="99" t="b">
        <v>1</v>
      </c>
      <c r="O102" s="85" t="s">
        <v>91</v>
      </c>
      <c r="P102" s="68"/>
    </row>
    <row r="103">
      <c r="A103" s="68"/>
      <c r="B103" s="79"/>
      <c r="C103" s="77" t="s">
        <v>66</v>
      </c>
      <c r="D103" s="77" t="s">
        <v>115</v>
      </c>
      <c r="E103" s="77" t="s">
        <v>112</v>
      </c>
      <c r="F103" s="94"/>
      <c r="G103" s="94">
        <v>45590.0</v>
      </c>
      <c r="H103" s="95">
        <v>2.25</v>
      </c>
      <c r="I103" s="77" t="s">
        <v>70</v>
      </c>
      <c r="J103" s="96" t="s">
        <v>88</v>
      </c>
      <c r="K103" s="97">
        <f>IF(AND($M103=TRUE,$N103=TRUE),VLOOKUP($E103,RH!$B$47:$S$67,MONTH($G103)+6,FALSE))</f>
        <v>47.2082307</v>
      </c>
      <c r="L103" s="98">
        <f>IFERROR(IF(AND($M103=TRUE,$N103=TRUE),VLOOKUP($E103,RH!$B$47:$S$67,MONTH($G103)+6,FALSE)*$H103,0),0)</f>
        <v>106.2185191</v>
      </c>
      <c r="M103" s="99" t="b">
        <f t="shared" si="1"/>
        <v>1</v>
      </c>
      <c r="N103" s="99" t="b">
        <v>1</v>
      </c>
      <c r="O103" s="85" t="s">
        <v>91</v>
      </c>
      <c r="P103" s="68"/>
    </row>
    <row r="104">
      <c r="A104" s="68"/>
      <c r="B104" s="79"/>
      <c r="C104" s="102" t="s">
        <v>66</v>
      </c>
      <c r="D104" s="102" t="s">
        <v>116</v>
      </c>
      <c r="E104" s="102" t="s">
        <v>95</v>
      </c>
      <c r="F104" s="93"/>
      <c r="G104" s="93">
        <v>45580.0</v>
      </c>
      <c r="H104" s="103">
        <v>6.5</v>
      </c>
      <c r="I104" s="77" t="s">
        <v>70</v>
      </c>
      <c r="J104" s="104" t="s">
        <v>96</v>
      </c>
      <c r="K104" s="97">
        <f>IF(AND($M104=TRUE,$N104=TRUE),VLOOKUP($E104,RH!$B$47:$S$67,MONTH($G104)+6,FALSE))</f>
        <v>12.91650814</v>
      </c>
      <c r="L104" s="98">
        <f>IFERROR(IF(AND($M104=TRUE,$N104=TRUE),VLOOKUP($E104,RH!$B$47:$S$67,MONTH($G104)+6,FALSE)*$H104,0),0)</f>
        <v>83.95730288</v>
      </c>
      <c r="M104" s="99" t="b">
        <f t="shared" si="1"/>
        <v>1</v>
      </c>
      <c r="N104" s="99" t="b">
        <v>1</v>
      </c>
      <c r="O104" s="85" t="s">
        <v>91</v>
      </c>
      <c r="P104" s="68"/>
    </row>
    <row r="105">
      <c r="A105" s="68"/>
      <c r="B105" s="79"/>
      <c r="C105" s="102" t="s">
        <v>66</v>
      </c>
      <c r="D105" s="102" t="s">
        <v>111</v>
      </c>
      <c r="E105" s="102" t="s">
        <v>92</v>
      </c>
      <c r="F105" s="93"/>
      <c r="G105" s="93">
        <v>45601.0</v>
      </c>
      <c r="H105" s="103">
        <v>10.25</v>
      </c>
      <c r="I105" s="77" t="s">
        <v>70</v>
      </c>
      <c r="J105" s="104" t="s">
        <v>96</v>
      </c>
      <c r="K105" s="97">
        <f>IF(AND($M105=TRUE,$N105=TRUE),VLOOKUP($E105,RH!$B$47:$S$67,MONTH($G105)+6,FALSE))</f>
        <v>54.23677733</v>
      </c>
      <c r="L105" s="98">
        <f>IFERROR(IF(AND($M105=TRUE,$N105=TRUE),VLOOKUP($E105,RH!$B$47:$S$67,MONTH($G105)+6,FALSE)*$H105,0),0)</f>
        <v>555.9269676</v>
      </c>
      <c r="M105" s="99" t="b">
        <f t="shared" si="1"/>
        <v>1</v>
      </c>
      <c r="N105" s="99" t="b">
        <v>1</v>
      </c>
      <c r="O105" s="85" t="s">
        <v>91</v>
      </c>
      <c r="P105" s="68"/>
    </row>
    <row r="106">
      <c r="A106" s="68"/>
      <c r="B106" s="79"/>
      <c r="C106" s="102" t="s">
        <v>66</v>
      </c>
      <c r="D106" s="102" t="s">
        <v>113</v>
      </c>
      <c r="E106" s="102" t="s">
        <v>89</v>
      </c>
      <c r="F106" s="93"/>
      <c r="G106" s="93">
        <v>45597.0</v>
      </c>
      <c r="H106" s="103">
        <v>25.75</v>
      </c>
      <c r="I106" s="77" t="s">
        <v>70</v>
      </c>
      <c r="J106" s="104" t="s">
        <v>90</v>
      </c>
      <c r="K106" s="97">
        <f>IF(AND($M106=TRUE,$N106=TRUE),VLOOKUP($E106,RH!$B$47:$S$67,MONTH($G106)+6,FALSE))</f>
        <v>91.77708463</v>
      </c>
      <c r="L106" s="98">
        <f>IFERROR(IF(AND($M106=TRUE,$N106=TRUE),VLOOKUP($E106,RH!$B$47:$S$67,MONTH($G106)+6,FALSE)*$H106,0),0)</f>
        <v>2363.259929</v>
      </c>
      <c r="M106" s="99" t="b">
        <f t="shared" si="1"/>
        <v>1</v>
      </c>
      <c r="N106" s="99" t="b">
        <v>1</v>
      </c>
      <c r="O106" s="85" t="s">
        <v>91</v>
      </c>
      <c r="P106" s="68"/>
    </row>
    <row r="107">
      <c r="A107" s="68"/>
      <c r="B107" s="79"/>
      <c r="C107" s="102" t="s">
        <v>66</v>
      </c>
      <c r="D107" s="102" t="s">
        <v>113</v>
      </c>
      <c r="E107" s="102" t="s">
        <v>89</v>
      </c>
      <c r="F107" s="93"/>
      <c r="G107" s="93">
        <v>45614.0</v>
      </c>
      <c r="H107" s="103">
        <v>1.5</v>
      </c>
      <c r="I107" s="77" t="s">
        <v>70</v>
      </c>
      <c r="J107" s="104" t="s">
        <v>96</v>
      </c>
      <c r="K107" s="97">
        <f>IF(AND($M107=TRUE,$N107=TRUE),VLOOKUP($E107,RH!$B$47:$S$67,MONTH($G107)+6,FALSE))</f>
        <v>91.77708463</v>
      </c>
      <c r="L107" s="98">
        <f>IFERROR(IF(AND($M107=TRUE,$N107=TRUE),VLOOKUP($E107,RH!$B$47:$S$67,MONTH($G107)+6,FALSE)*$H107,0),0)</f>
        <v>137.6656269</v>
      </c>
      <c r="M107" s="99" t="b">
        <f t="shared" si="1"/>
        <v>1</v>
      </c>
      <c r="N107" s="99" t="b">
        <v>1</v>
      </c>
      <c r="O107" s="85" t="s">
        <v>91</v>
      </c>
      <c r="P107" s="68"/>
    </row>
    <row r="108">
      <c r="A108" s="68"/>
      <c r="B108" s="79"/>
      <c r="C108" s="102" t="s">
        <v>66</v>
      </c>
      <c r="D108" s="102" t="s">
        <v>113</v>
      </c>
      <c r="E108" s="102" t="s">
        <v>92</v>
      </c>
      <c r="F108" s="93"/>
      <c r="G108" s="93">
        <v>45602.0</v>
      </c>
      <c r="H108" s="103">
        <v>1.75</v>
      </c>
      <c r="I108" s="77" t="s">
        <v>70</v>
      </c>
      <c r="J108" s="104" t="s">
        <v>93</v>
      </c>
      <c r="K108" s="97">
        <f>IF(AND($M108=TRUE,$N108=TRUE),VLOOKUP($E108,RH!$B$47:$S$67,MONTH($G108)+6,FALSE))</f>
        <v>54.23677733</v>
      </c>
      <c r="L108" s="98">
        <f>IFERROR(IF(AND($M108=TRUE,$N108=TRUE),VLOOKUP($E108,RH!$B$47:$S$67,MONTH($G108)+6,FALSE)*$H108,0),0)</f>
        <v>94.91436033</v>
      </c>
      <c r="M108" s="99" t="b">
        <f t="shared" si="1"/>
        <v>1</v>
      </c>
      <c r="N108" s="99" t="b">
        <v>1</v>
      </c>
      <c r="O108" s="85" t="s">
        <v>91</v>
      </c>
      <c r="P108" s="68"/>
    </row>
    <row r="109">
      <c r="A109" s="68"/>
      <c r="B109" s="79"/>
      <c r="C109" s="77" t="s">
        <v>66</v>
      </c>
      <c r="D109" s="102" t="s">
        <v>113</v>
      </c>
      <c r="E109" s="77" t="s">
        <v>97</v>
      </c>
      <c r="F109" s="93"/>
      <c r="G109" s="93">
        <v>45605.0</v>
      </c>
      <c r="H109" s="103">
        <v>9.3</v>
      </c>
      <c r="I109" s="77" t="s">
        <v>70</v>
      </c>
      <c r="J109" s="104" t="s">
        <v>96</v>
      </c>
      <c r="K109" s="97">
        <f>IF(AND($M109=TRUE,$N109=TRUE),VLOOKUP($E109,RH!$B$47:$S$67,MONTH($G109)+6,FALSE))</f>
        <v>78.73968605</v>
      </c>
      <c r="L109" s="98">
        <f>IFERROR(IF(AND($M109=TRUE,$N109=TRUE),VLOOKUP($E109,RH!$B$47:$S$67,MONTH($G109)+6,FALSE)*$H109,0),0)</f>
        <v>732.2790802</v>
      </c>
      <c r="M109" s="99" t="b">
        <f t="shared" si="1"/>
        <v>1</v>
      </c>
      <c r="N109" s="99" t="b">
        <v>1</v>
      </c>
      <c r="O109" s="85" t="s">
        <v>91</v>
      </c>
      <c r="P109" s="68"/>
    </row>
    <row r="110">
      <c r="A110" s="68"/>
      <c r="B110" s="79"/>
      <c r="C110" s="77" t="s">
        <v>66</v>
      </c>
      <c r="D110" s="102" t="s">
        <v>113</v>
      </c>
      <c r="E110" s="77" t="s">
        <v>97</v>
      </c>
      <c r="F110" s="93"/>
      <c r="G110" s="93">
        <v>45614.0</v>
      </c>
      <c r="H110" s="103">
        <v>53.8</v>
      </c>
      <c r="I110" s="77" t="s">
        <v>70</v>
      </c>
      <c r="J110" s="104" t="s">
        <v>93</v>
      </c>
      <c r="K110" s="97">
        <f>IF(AND($M110=TRUE,$N110=TRUE),VLOOKUP($E110,RH!$B$47:$S$67,MONTH($G110)+6,FALSE))</f>
        <v>78.73968605</v>
      </c>
      <c r="L110" s="98">
        <f>IFERROR(IF(AND($M110=TRUE,$N110=TRUE),VLOOKUP($E110,RH!$B$47:$S$67,MONTH($G110)+6,FALSE)*$H110,0),0)</f>
        <v>4236.195109</v>
      </c>
      <c r="M110" s="99" t="b">
        <f t="shared" si="1"/>
        <v>1</v>
      </c>
      <c r="N110" s="99" t="b">
        <v>1</v>
      </c>
      <c r="O110" s="85" t="s">
        <v>91</v>
      </c>
      <c r="P110" s="68"/>
    </row>
    <row r="111">
      <c r="A111" s="68"/>
      <c r="B111" s="79"/>
      <c r="C111" s="77" t="s">
        <v>66</v>
      </c>
      <c r="D111" s="102" t="s">
        <v>113</v>
      </c>
      <c r="E111" s="77" t="s">
        <v>112</v>
      </c>
      <c r="F111" s="93"/>
      <c r="G111" s="93">
        <v>45601.0</v>
      </c>
      <c r="H111" s="103">
        <v>121.75</v>
      </c>
      <c r="I111" s="77" t="s">
        <v>70</v>
      </c>
      <c r="J111" s="104" t="s">
        <v>88</v>
      </c>
      <c r="K111" s="97">
        <f>IF(AND($M111=TRUE,$N111=TRUE),VLOOKUP($E111,RH!$B$47:$S$67,MONTH($G111)+6,FALSE))</f>
        <v>57.71348321</v>
      </c>
      <c r="L111" s="98">
        <f>IFERROR(IF(AND($M111=TRUE,$N111=TRUE),VLOOKUP($E111,RH!$B$47:$S$67,MONTH($G111)+6,FALSE)*$H111,0),0)</f>
        <v>7026.616581</v>
      </c>
      <c r="M111" s="99" t="b">
        <f t="shared" si="1"/>
        <v>1</v>
      </c>
      <c r="N111" s="99" t="b">
        <v>1</v>
      </c>
      <c r="O111" s="85" t="s">
        <v>91</v>
      </c>
      <c r="P111" s="68"/>
    </row>
    <row r="112">
      <c r="A112" s="68"/>
      <c r="B112" s="79"/>
      <c r="C112" s="77" t="s">
        <v>66</v>
      </c>
      <c r="D112" s="102" t="s">
        <v>114</v>
      </c>
      <c r="E112" s="77" t="s">
        <v>101</v>
      </c>
      <c r="F112" s="93"/>
      <c r="G112" s="93">
        <v>45597.0</v>
      </c>
      <c r="H112" s="103">
        <v>27.5</v>
      </c>
      <c r="I112" s="77" t="s">
        <v>70</v>
      </c>
      <c r="J112" s="104" t="s">
        <v>93</v>
      </c>
      <c r="K112" s="97">
        <f>IF(AND($M112=TRUE,$N112=TRUE),VLOOKUP($E112,RH!$B$47:$S$67,MONTH($G112)+6,FALSE))</f>
        <v>63.5380836</v>
      </c>
      <c r="L112" s="98">
        <f>IFERROR(IF(AND($M112=TRUE,$N112=TRUE),VLOOKUP($E112,RH!$B$47:$S$67,MONTH($G112)+6,FALSE)*$H112,0),0)</f>
        <v>1747.297299</v>
      </c>
      <c r="M112" s="99" t="b">
        <f t="shared" si="1"/>
        <v>1</v>
      </c>
      <c r="N112" s="99" t="b">
        <v>1</v>
      </c>
      <c r="O112" s="85" t="s">
        <v>91</v>
      </c>
      <c r="P112" s="68"/>
    </row>
    <row r="113">
      <c r="A113" s="68"/>
      <c r="B113" s="79"/>
      <c r="C113" s="77" t="s">
        <v>66</v>
      </c>
      <c r="D113" s="102" t="s">
        <v>114</v>
      </c>
      <c r="E113" s="77" t="s">
        <v>87</v>
      </c>
      <c r="F113" s="93"/>
      <c r="G113" s="93">
        <v>45600.0</v>
      </c>
      <c r="H113" s="103">
        <v>41.75</v>
      </c>
      <c r="I113" s="77" t="s">
        <v>70</v>
      </c>
      <c r="J113" s="104" t="s">
        <v>88</v>
      </c>
      <c r="K113" s="97">
        <f>IF(AND($M113=TRUE,$N113=TRUE),VLOOKUP($E113,RH!$B$47:$S$67,MONTH($G113)+6,FALSE))</f>
        <v>29.13815767</v>
      </c>
      <c r="L113" s="98">
        <f>IFERROR(IF(AND($M113=TRUE,$N113=TRUE),VLOOKUP($E113,RH!$B$47:$S$67,MONTH($G113)+6,FALSE)*$H113,0),0)</f>
        <v>1216.518083</v>
      </c>
      <c r="M113" s="99" t="b">
        <f t="shared" si="1"/>
        <v>1</v>
      </c>
      <c r="N113" s="99" t="b">
        <v>1</v>
      </c>
      <c r="O113" s="85" t="s">
        <v>91</v>
      </c>
      <c r="P113" s="68"/>
    </row>
    <row r="114">
      <c r="A114" s="68"/>
      <c r="B114" s="79"/>
      <c r="C114" s="77" t="s">
        <v>66</v>
      </c>
      <c r="D114" s="102" t="s">
        <v>114</v>
      </c>
      <c r="E114" s="77" t="s">
        <v>89</v>
      </c>
      <c r="F114" s="93"/>
      <c r="G114" s="93">
        <v>45600.0</v>
      </c>
      <c r="H114" s="103">
        <v>4.25</v>
      </c>
      <c r="I114" s="77" t="s">
        <v>70</v>
      </c>
      <c r="J114" s="105" t="s">
        <v>90</v>
      </c>
      <c r="K114" s="97">
        <f>IF(AND($M114=TRUE,$N114=TRUE),VLOOKUP($E114,RH!$B$47:$S$67,MONTH($G114)+6,FALSE))</f>
        <v>91.77708463</v>
      </c>
      <c r="L114" s="98">
        <f>IFERROR(IF(AND($M114=TRUE,$N114=TRUE),VLOOKUP($E114,RH!$B$47:$S$67,MONTH($G114)+6,FALSE)*$H114,0),0)</f>
        <v>390.0526097</v>
      </c>
      <c r="M114" s="99" t="b">
        <f t="shared" si="1"/>
        <v>1</v>
      </c>
      <c r="N114" s="99" t="b">
        <v>1</v>
      </c>
      <c r="O114" s="85" t="s">
        <v>91</v>
      </c>
      <c r="P114" s="68"/>
    </row>
    <row r="115">
      <c r="A115" s="68"/>
      <c r="B115" s="79"/>
      <c r="C115" s="77" t="s">
        <v>66</v>
      </c>
      <c r="D115" s="102" t="s">
        <v>114</v>
      </c>
      <c r="E115" s="77" t="s">
        <v>95</v>
      </c>
      <c r="F115" s="93"/>
      <c r="G115" s="93">
        <v>45601.0</v>
      </c>
      <c r="H115" s="103">
        <v>44.75</v>
      </c>
      <c r="I115" s="77" t="s">
        <v>70</v>
      </c>
      <c r="J115" s="105" t="s">
        <v>96</v>
      </c>
      <c r="K115" s="97">
        <f>IF(AND($M115=TRUE,$N115=TRUE),VLOOKUP($E115,RH!$B$47:$S$67,MONTH($G115)+6,FALSE))</f>
        <v>15.79342094</v>
      </c>
      <c r="L115" s="98">
        <f>IFERROR(IF(AND($M115=TRUE,$N115=TRUE),VLOOKUP($E115,RH!$B$47:$S$67,MONTH($G115)+6,FALSE)*$H115,0),0)</f>
        <v>706.7555869</v>
      </c>
      <c r="M115" s="99" t="b">
        <f t="shared" si="1"/>
        <v>1</v>
      </c>
      <c r="N115" s="99" t="b">
        <v>1</v>
      </c>
      <c r="O115" s="85" t="s">
        <v>91</v>
      </c>
      <c r="P115" s="68"/>
    </row>
    <row r="116">
      <c r="A116" s="68"/>
      <c r="B116" s="79"/>
      <c r="C116" s="77" t="s">
        <v>66</v>
      </c>
      <c r="D116" s="102" t="s">
        <v>114</v>
      </c>
      <c r="E116" s="77" t="s">
        <v>98</v>
      </c>
      <c r="F116" s="93"/>
      <c r="G116" s="93">
        <v>45601.0</v>
      </c>
      <c r="H116" s="103">
        <v>30.0</v>
      </c>
      <c r="I116" s="77" t="s">
        <v>70</v>
      </c>
      <c r="J116" s="105" t="s">
        <v>96</v>
      </c>
      <c r="K116" s="97">
        <f>IF(AND($M116=TRUE,$N116=TRUE),VLOOKUP($E116,RH!$B$47:$S$67,MONTH($G116)+6,FALSE))</f>
        <v>15.79342094</v>
      </c>
      <c r="L116" s="98">
        <f>IFERROR(IF(AND($M116=TRUE,$N116=TRUE),VLOOKUP($E116,RH!$B$47:$S$67,MONTH($G116)+6,FALSE)*$H116,0),0)</f>
        <v>473.8026281</v>
      </c>
      <c r="M116" s="99" t="b">
        <f t="shared" si="1"/>
        <v>1</v>
      </c>
      <c r="N116" s="99" t="b">
        <v>1</v>
      </c>
      <c r="O116" s="85" t="s">
        <v>91</v>
      </c>
      <c r="P116" s="68"/>
    </row>
    <row r="117">
      <c r="A117" s="68"/>
      <c r="B117" s="79"/>
      <c r="C117" s="77" t="s">
        <v>66</v>
      </c>
      <c r="D117" s="102" t="s">
        <v>115</v>
      </c>
      <c r="E117" s="77" t="s">
        <v>89</v>
      </c>
      <c r="F117" s="93"/>
      <c r="G117" s="93">
        <v>45600.0</v>
      </c>
      <c r="H117" s="103">
        <v>3.5</v>
      </c>
      <c r="I117" s="77" t="s">
        <v>70</v>
      </c>
      <c r="J117" s="105" t="s">
        <v>90</v>
      </c>
      <c r="K117" s="97">
        <f>IF(AND($M117=TRUE,$N117=TRUE),VLOOKUP($E117,RH!$B$47:$S$67,MONTH($G117)+6,FALSE))</f>
        <v>91.77708463</v>
      </c>
      <c r="L117" s="98">
        <f>IFERROR(IF(AND($M117=TRUE,$N117=TRUE),VLOOKUP($E117,RH!$B$47:$S$67,MONTH($G117)+6,FALSE)*$H117,0),0)</f>
        <v>321.2197962</v>
      </c>
      <c r="M117" s="99" t="b">
        <f t="shared" si="1"/>
        <v>1</v>
      </c>
      <c r="N117" s="99" t="b">
        <v>1</v>
      </c>
      <c r="O117" s="85" t="s">
        <v>91</v>
      </c>
      <c r="P117" s="68"/>
    </row>
    <row r="118">
      <c r="A118" s="68"/>
      <c r="B118" s="79"/>
      <c r="C118" s="77" t="s">
        <v>66</v>
      </c>
      <c r="D118" s="102" t="s">
        <v>115</v>
      </c>
      <c r="E118" s="77" t="s">
        <v>92</v>
      </c>
      <c r="F118" s="93"/>
      <c r="G118" s="93">
        <v>45623.0</v>
      </c>
      <c r="H118" s="103">
        <v>5.5</v>
      </c>
      <c r="I118" s="77" t="s">
        <v>70</v>
      </c>
      <c r="J118" s="105" t="s">
        <v>93</v>
      </c>
      <c r="K118" s="97">
        <f>IF(AND($M118=TRUE,$N118=TRUE),VLOOKUP($E118,RH!$B$47:$S$67,MONTH($G118)+6,FALSE))</f>
        <v>54.23677733</v>
      </c>
      <c r="L118" s="98">
        <f>IFERROR(IF(AND($M118=TRUE,$N118=TRUE),VLOOKUP($E118,RH!$B$47:$S$67,MONTH($G118)+6,FALSE)*$H118,0),0)</f>
        <v>298.3022753</v>
      </c>
      <c r="M118" s="99" t="b">
        <f t="shared" si="1"/>
        <v>1</v>
      </c>
      <c r="N118" s="99" t="b">
        <v>1</v>
      </c>
      <c r="O118" s="85" t="s">
        <v>91</v>
      </c>
      <c r="P118" s="68"/>
    </row>
    <row r="119">
      <c r="A119" s="68"/>
      <c r="B119" s="79"/>
      <c r="C119" s="77" t="s">
        <v>66</v>
      </c>
      <c r="D119" s="102" t="s">
        <v>115</v>
      </c>
      <c r="E119" s="77" t="s">
        <v>95</v>
      </c>
      <c r="F119" s="93"/>
      <c r="G119" s="93">
        <v>45614.0</v>
      </c>
      <c r="H119" s="103">
        <v>48.0</v>
      </c>
      <c r="I119" s="77" t="s">
        <v>70</v>
      </c>
      <c r="J119" s="105" t="s">
        <v>96</v>
      </c>
      <c r="K119" s="97">
        <f>IF(AND($M119=TRUE,$N119=TRUE),VLOOKUP($E119,RH!$B$47:$S$67,MONTH($G119)+6,FALSE))</f>
        <v>15.79342094</v>
      </c>
      <c r="L119" s="98">
        <f>IFERROR(IF(AND($M119=TRUE,$N119=TRUE),VLOOKUP($E119,RH!$B$47:$S$67,MONTH($G119)+6,FALSE)*$H119,0),0)</f>
        <v>758.0842049</v>
      </c>
      <c r="M119" s="99" t="b">
        <f t="shared" si="1"/>
        <v>1</v>
      </c>
      <c r="N119" s="99" t="b">
        <v>1</v>
      </c>
      <c r="O119" s="85" t="s">
        <v>91</v>
      </c>
      <c r="P119" s="68"/>
    </row>
    <row r="120">
      <c r="A120" s="68"/>
      <c r="B120" s="79"/>
      <c r="C120" s="77" t="s">
        <v>66</v>
      </c>
      <c r="D120" s="102" t="s">
        <v>115</v>
      </c>
      <c r="E120" s="77" t="s">
        <v>98</v>
      </c>
      <c r="F120" s="93"/>
      <c r="G120" s="93">
        <v>45610.0</v>
      </c>
      <c r="H120" s="103">
        <v>49.0</v>
      </c>
      <c r="I120" s="77" t="s">
        <v>70</v>
      </c>
      <c r="J120" s="105" t="s">
        <v>96</v>
      </c>
      <c r="K120" s="97">
        <f>IF(AND($M120=TRUE,$N120=TRUE),VLOOKUP($E120,RH!$B$47:$S$67,MONTH($G120)+6,FALSE))</f>
        <v>15.79342094</v>
      </c>
      <c r="L120" s="98">
        <f>IFERROR(IF(AND($M120=TRUE,$N120=TRUE),VLOOKUP($E120,RH!$B$47:$S$67,MONTH($G120)+6,FALSE)*$H120,0),0)</f>
        <v>773.8776259</v>
      </c>
      <c r="M120" s="99" t="b">
        <f t="shared" si="1"/>
        <v>1</v>
      </c>
      <c r="N120" s="99" t="b">
        <v>1</v>
      </c>
      <c r="O120" s="85" t="s">
        <v>91</v>
      </c>
      <c r="P120" s="68"/>
    </row>
    <row r="121">
      <c r="A121" s="68"/>
      <c r="B121" s="79"/>
      <c r="C121" s="77" t="s">
        <v>66</v>
      </c>
      <c r="D121" s="102" t="s">
        <v>115</v>
      </c>
      <c r="E121" s="77" t="s">
        <v>99</v>
      </c>
      <c r="F121" s="93"/>
      <c r="G121" s="93">
        <v>45615.0</v>
      </c>
      <c r="H121" s="103">
        <v>10.93</v>
      </c>
      <c r="I121" s="77" t="s">
        <v>70</v>
      </c>
      <c r="J121" s="105" t="s">
        <v>96</v>
      </c>
      <c r="K121" s="97">
        <f>IF(AND($M121=TRUE,$N121=TRUE),VLOOKUP($E121,RH!$B$47:$S$67,MONTH($G121)+6,FALSE))</f>
        <v>29.13815767</v>
      </c>
      <c r="L121" s="98">
        <f>IFERROR(IF(AND($M121=TRUE,$N121=TRUE),VLOOKUP($E121,RH!$B$47:$S$67,MONTH($G121)+6,FALSE)*$H121,0),0)</f>
        <v>318.4800634</v>
      </c>
      <c r="M121" s="99" t="b">
        <f t="shared" si="1"/>
        <v>1</v>
      </c>
      <c r="N121" s="99" t="b">
        <v>1</v>
      </c>
      <c r="O121" s="85" t="s">
        <v>91</v>
      </c>
      <c r="P121" s="68"/>
    </row>
    <row r="122">
      <c r="A122" s="68"/>
      <c r="B122" s="79"/>
      <c r="C122" s="102" t="s">
        <v>66</v>
      </c>
      <c r="D122" s="79" t="s">
        <v>115</v>
      </c>
      <c r="E122" s="79" t="s">
        <v>99</v>
      </c>
      <c r="F122" s="93"/>
      <c r="G122" s="93">
        <v>45597.0</v>
      </c>
      <c r="H122" s="103">
        <v>90.82</v>
      </c>
      <c r="I122" s="106" t="s">
        <v>70</v>
      </c>
      <c r="J122" s="100" t="s">
        <v>88</v>
      </c>
      <c r="K122" s="97">
        <f>IF(AND($M122=TRUE,$N122=TRUE),VLOOKUP($E122,RH!$B$47:$S$67,MONTH($G122)+6,FALSE))</f>
        <v>29.13815767</v>
      </c>
      <c r="L122" s="98">
        <f>IFERROR(IF(AND($M122=TRUE,$N122=TRUE),VLOOKUP($E122,RH!$B$47:$S$67,MONTH($G122)+6,FALSE)*$H122,0),0)</f>
        <v>2646.32748</v>
      </c>
      <c r="M122" s="99" t="b">
        <f t="shared" si="1"/>
        <v>1</v>
      </c>
      <c r="N122" s="99" t="b">
        <v>1</v>
      </c>
      <c r="O122" s="85" t="s">
        <v>91</v>
      </c>
      <c r="P122" s="68"/>
    </row>
    <row r="123">
      <c r="A123" s="68"/>
      <c r="B123" s="79"/>
      <c r="C123" s="102" t="s">
        <v>66</v>
      </c>
      <c r="D123" s="79" t="s">
        <v>116</v>
      </c>
      <c r="E123" s="77" t="s">
        <v>89</v>
      </c>
      <c r="F123" s="93"/>
      <c r="G123" s="93">
        <v>45603.0</v>
      </c>
      <c r="H123" s="103">
        <v>76.0</v>
      </c>
      <c r="I123" s="106" t="s">
        <v>70</v>
      </c>
      <c r="J123" s="100" t="s">
        <v>96</v>
      </c>
      <c r="K123" s="97">
        <f>IF(AND($M123=TRUE,$N123=TRUE),VLOOKUP($E123,RH!$B$47:$S$67,MONTH($G123)+6,FALSE))</f>
        <v>91.77708463</v>
      </c>
      <c r="L123" s="98">
        <f>IFERROR(IF(AND($M123=TRUE,$N123=TRUE),VLOOKUP($E123,RH!$B$47:$S$67,MONTH($G123)+6,FALSE)*$H123,0),0)</f>
        <v>6975.058432</v>
      </c>
      <c r="M123" s="99" t="b">
        <f t="shared" si="1"/>
        <v>1</v>
      </c>
      <c r="N123" s="99" t="b">
        <v>1</v>
      </c>
      <c r="O123" s="85" t="s">
        <v>91</v>
      </c>
      <c r="P123" s="68"/>
    </row>
    <row r="124">
      <c r="A124" s="68"/>
      <c r="B124" s="79"/>
      <c r="C124" s="102" t="s">
        <v>66</v>
      </c>
      <c r="D124" s="79" t="s">
        <v>116</v>
      </c>
      <c r="E124" s="79" t="s">
        <v>97</v>
      </c>
      <c r="F124" s="93"/>
      <c r="G124" s="93">
        <v>45621.0</v>
      </c>
      <c r="H124" s="103">
        <v>4.25</v>
      </c>
      <c r="I124" s="106" t="s">
        <v>70</v>
      </c>
      <c r="J124" s="96" t="s">
        <v>96</v>
      </c>
      <c r="K124" s="97">
        <f>IF(AND($M124=TRUE,$N124=TRUE),VLOOKUP($E124,RH!$B$47:$S$67,MONTH($G124)+6,FALSE))</f>
        <v>78.73968605</v>
      </c>
      <c r="L124" s="98">
        <f>IFERROR(IF(AND($M124=TRUE,$N124=TRUE),VLOOKUP($E124,RH!$B$47:$S$67,MONTH($G124)+6,FALSE)*$H124,0),0)</f>
        <v>334.6436657</v>
      </c>
      <c r="M124" s="99" t="b">
        <f t="shared" si="1"/>
        <v>1</v>
      </c>
      <c r="N124" s="99" t="b">
        <v>1</v>
      </c>
      <c r="O124" s="85" t="s">
        <v>91</v>
      </c>
      <c r="P124" s="68"/>
    </row>
    <row r="125">
      <c r="A125" s="68"/>
      <c r="B125" s="79"/>
      <c r="C125" s="102" t="s">
        <v>66</v>
      </c>
      <c r="D125" s="79" t="s">
        <v>116</v>
      </c>
      <c r="E125" s="79" t="s">
        <v>112</v>
      </c>
      <c r="F125" s="93"/>
      <c r="G125" s="93">
        <v>45621.0</v>
      </c>
      <c r="H125" s="103">
        <v>1.75</v>
      </c>
      <c r="I125" s="106" t="s">
        <v>70</v>
      </c>
      <c r="J125" s="100" t="s">
        <v>96</v>
      </c>
      <c r="K125" s="97">
        <f>IF(AND($M125=TRUE,$N125=TRUE),VLOOKUP($E125,RH!$B$47:$S$67,MONTH($G125)+6,FALSE))</f>
        <v>57.71348321</v>
      </c>
      <c r="L125" s="98">
        <f>IFERROR(IF(AND($M125=TRUE,$N125=TRUE),VLOOKUP($E125,RH!$B$47:$S$67,MONTH($G125)+6,FALSE)*$H125,0),0)</f>
        <v>100.9985956</v>
      </c>
      <c r="M125" s="99" t="b">
        <f t="shared" si="1"/>
        <v>1</v>
      </c>
      <c r="N125" s="99" t="b">
        <v>1</v>
      </c>
      <c r="O125" s="85" t="s">
        <v>91</v>
      </c>
      <c r="P125" s="68"/>
    </row>
    <row r="126">
      <c r="A126" s="68"/>
      <c r="B126" s="79"/>
      <c r="C126" s="102" t="s">
        <v>66</v>
      </c>
      <c r="D126" s="79" t="s">
        <v>111</v>
      </c>
      <c r="E126" s="79" t="s">
        <v>92</v>
      </c>
      <c r="F126" s="93"/>
      <c r="G126" s="93">
        <v>45629.0</v>
      </c>
      <c r="H126" s="103">
        <v>13.75</v>
      </c>
      <c r="I126" s="106" t="s">
        <v>70</v>
      </c>
      <c r="J126" s="100" t="s">
        <v>90</v>
      </c>
      <c r="K126" s="97">
        <f>IF(AND($M126=TRUE,$N126=TRUE),VLOOKUP($E126,RH!$B$47:$S$67,MONTH($G126)+6,FALSE))</f>
        <v>48.93591893</v>
      </c>
      <c r="L126" s="98">
        <f>IFERROR(IF(AND($M126=TRUE,$N126=TRUE),VLOOKUP($E126,RH!$B$47:$S$67,MONTH($G126)+6,FALSE)*$H126,0),0)</f>
        <v>672.8688853</v>
      </c>
      <c r="M126" s="99" t="b">
        <f t="shared" si="1"/>
        <v>1</v>
      </c>
      <c r="N126" s="99" t="b">
        <v>1</v>
      </c>
      <c r="O126" s="85" t="s">
        <v>91</v>
      </c>
      <c r="P126" s="68"/>
    </row>
    <row r="127">
      <c r="A127" s="68"/>
      <c r="B127" s="79"/>
      <c r="C127" s="102" t="s">
        <v>66</v>
      </c>
      <c r="D127" s="79" t="s">
        <v>111</v>
      </c>
      <c r="E127" s="79" t="s">
        <v>89</v>
      </c>
      <c r="F127" s="93"/>
      <c r="G127" s="93">
        <v>45636.0</v>
      </c>
      <c r="H127" s="103">
        <v>1.0</v>
      </c>
      <c r="I127" s="106" t="s">
        <v>70</v>
      </c>
      <c r="J127" s="100" t="s">
        <v>96</v>
      </c>
      <c r="K127" s="97">
        <f>IF(AND($M127=TRUE,$N127=TRUE),VLOOKUP($E127,RH!$B$47:$S$67,MONTH($G127)+6,FALSE))</f>
        <v>82.80720563</v>
      </c>
      <c r="L127" s="98">
        <f>IFERROR(IF(AND($M127=TRUE,$N127=TRUE),VLOOKUP($E127,RH!$B$47:$S$67,MONTH($G127)+6,FALSE)*$H127,0),0)</f>
        <v>82.80720563</v>
      </c>
      <c r="M127" s="99" t="b">
        <f t="shared" si="1"/>
        <v>1</v>
      </c>
      <c r="N127" s="99" t="b">
        <v>1</v>
      </c>
      <c r="O127" s="85" t="s">
        <v>91</v>
      </c>
      <c r="P127" s="68"/>
    </row>
    <row r="128">
      <c r="A128" s="68"/>
      <c r="B128" s="79"/>
      <c r="C128" s="102" t="s">
        <v>66</v>
      </c>
      <c r="D128" s="79" t="s">
        <v>113</v>
      </c>
      <c r="E128" s="79" t="s">
        <v>89</v>
      </c>
      <c r="F128" s="93"/>
      <c r="G128" s="93">
        <v>45629.0</v>
      </c>
      <c r="H128" s="103">
        <v>9.0</v>
      </c>
      <c r="I128" s="106" t="s">
        <v>70</v>
      </c>
      <c r="J128" s="100" t="s">
        <v>90</v>
      </c>
      <c r="K128" s="97">
        <f>IF(AND($M128=TRUE,$N128=TRUE),VLOOKUP($E128,RH!$B$47:$S$67,MONTH($G128)+6,FALSE))</f>
        <v>82.80720563</v>
      </c>
      <c r="L128" s="98">
        <f>IFERROR(IF(AND($M128=TRUE,$N128=TRUE),VLOOKUP($E128,RH!$B$47:$S$67,MONTH($G128)+6,FALSE)*$H128,0),0)</f>
        <v>745.2648507</v>
      </c>
      <c r="M128" s="99" t="b">
        <f t="shared" si="1"/>
        <v>1</v>
      </c>
      <c r="N128" s="99" t="b">
        <v>1</v>
      </c>
      <c r="O128" s="85" t="s">
        <v>91</v>
      </c>
      <c r="P128" s="68"/>
    </row>
    <row r="129">
      <c r="A129" s="68"/>
      <c r="B129" s="79"/>
      <c r="C129" s="102" t="s">
        <v>66</v>
      </c>
      <c r="D129" s="79" t="s">
        <v>113</v>
      </c>
      <c r="E129" s="79" t="s">
        <v>92</v>
      </c>
      <c r="F129" s="93"/>
      <c r="G129" s="93">
        <v>45630.0</v>
      </c>
      <c r="H129" s="103">
        <v>78.45</v>
      </c>
      <c r="I129" s="106" t="s">
        <v>70</v>
      </c>
      <c r="J129" s="96" t="s">
        <v>93</v>
      </c>
      <c r="K129" s="97">
        <f>IF(AND($M129=TRUE,$N129=TRUE),VLOOKUP($E129,RH!$B$47:$S$67,MONTH($G129)+6,FALSE))</f>
        <v>48.93591893</v>
      </c>
      <c r="L129" s="98">
        <f>IFERROR(IF(AND($M129=TRUE,$N129=TRUE),VLOOKUP($E129,RH!$B$47:$S$67,MONTH($G129)+6,FALSE)*$H129,0),0)</f>
        <v>3839.02284</v>
      </c>
      <c r="M129" s="99" t="b">
        <f t="shared" si="1"/>
        <v>1</v>
      </c>
      <c r="N129" s="99" t="b">
        <v>1</v>
      </c>
      <c r="O129" s="85" t="s">
        <v>91</v>
      </c>
      <c r="P129" s="68"/>
    </row>
    <row r="130">
      <c r="A130" s="68"/>
      <c r="B130" s="79"/>
      <c r="C130" s="102" t="s">
        <v>66</v>
      </c>
      <c r="D130" s="79" t="s">
        <v>113</v>
      </c>
      <c r="E130" s="79" t="s">
        <v>92</v>
      </c>
      <c r="F130" s="93"/>
      <c r="G130" s="93">
        <v>45643.0</v>
      </c>
      <c r="H130" s="103">
        <v>21.4</v>
      </c>
      <c r="I130" s="106" t="s">
        <v>70</v>
      </c>
      <c r="J130" s="100" t="s">
        <v>88</v>
      </c>
      <c r="K130" s="97">
        <f>IF(AND($M130=TRUE,$N130=TRUE),VLOOKUP($E130,RH!$B$47:$S$67,MONTH($G130)+6,FALSE))</f>
        <v>48.93591893</v>
      </c>
      <c r="L130" s="98">
        <f>IFERROR(IF(AND($M130=TRUE,$N130=TRUE),VLOOKUP($E130,RH!$B$47:$S$67,MONTH($G130)+6,FALSE)*$H130,0),0)</f>
        <v>1047.228665</v>
      </c>
      <c r="M130" s="99" t="b">
        <f t="shared" si="1"/>
        <v>1</v>
      </c>
      <c r="N130" s="99" t="b">
        <v>1</v>
      </c>
      <c r="O130" s="85" t="s">
        <v>91</v>
      </c>
      <c r="P130" s="68"/>
    </row>
    <row r="131">
      <c r="A131" s="68"/>
      <c r="B131" s="79"/>
      <c r="C131" s="102" t="s">
        <v>66</v>
      </c>
      <c r="D131" s="79" t="s">
        <v>113</v>
      </c>
      <c r="E131" s="79" t="s">
        <v>97</v>
      </c>
      <c r="F131" s="93"/>
      <c r="G131" s="93">
        <v>45629.0</v>
      </c>
      <c r="H131" s="103">
        <v>15.15</v>
      </c>
      <c r="I131" s="106" t="s">
        <v>70</v>
      </c>
      <c r="J131" s="100" t="s">
        <v>96</v>
      </c>
      <c r="K131" s="97">
        <f>IF(AND($M131=TRUE,$N131=TRUE),VLOOKUP($E131,RH!$B$47:$S$67,MONTH($G131)+6,FALSE))</f>
        <v>71.04402368</v>
      </c>
      <c r="L131" s="98">
        <f>IFERROR(IF(AND($M131=TRUE,$N131=TRUE),VLOOKUP($E131,RH!$B$47:$S$67,MONTH($G131)+6,FALSE)*$H131,0),0)</f>
        <v>1076.316959</v>
      </c>
      <c r="M131" s="99" t="b">
        <f t="shared" si="1"/>
        <v>1</v>
      </c>
      <c r="N131" s="99" t="b">
        <v>1</v>
      </c>
      <c r="O131" s="85" t="s">
        <v>91</v>
      </c>
      <c r="P131" s="68"/>
    </row>
    <row r="132">
      <c r="A132" s="68"/>
      <c r="B132" s="79"/>
      <c r="C132" s="102" t="s">
        <v>66</v>
      </c>
      <c r="D132" s="79" t="s">
        <v>113</v>
      </c>
      <c r="E132" s="79" t="s">
        <v>97</v>
      </c>
      <c r="F132" s="93"/>
      <c r="G132" s="93">
        <v>45628.0</v>
      </c>
      <c r="H132" s="103">
        <v>80.35</v>
      </c>
      <c r="I132" s="106" t="s">
        <v>70</v>
      </c>
      <c r="J132" s="100" t="s">
        <v>93</v>
      </c>
      <c r="K132" s="97">
        <f>IF(AND($M132=TRUE,$N132=TRUE),VLOOKUP($E132,RH!$B$47:$S$67,MONTH($G132)+6,FALSE))</f>
        <v>71.04402368</v>
      </c>
      <c r="L132" s="98">
        <f>IFERROR(IF(AND($M132=TRUE,$N132=TRUE),VLOOKUP($E132,RH!$B$47:$S$67,MONTH($G132)+6,FALSE)*$H132,0),0)</f>
        <v>5708.387303</v>
      </c>
      <c r="M132" s="99" t="b">
        <f t="shared" si="1"/>
        <v>1</v>
      </c>
      <c r="N132" s="99" t="b">
        <v>1</v>
      </c>
      <c r="O132" s="85" t="s">
        <v>91</v>
      </c>
      <c r="P132" s="68"/>
    </row>
    <row r="133">
      <c r="A133" s="68"/>
      <c r="B133" s="79"/>
      <c r="C133" s="102" t="s">
        <v>66</v>
      </c>
      <c r="D133" s="79" t="s">
        <v>113</v>
      </c>
      <c r="E133" s="79" t="s">
        <v>99</v>
      </c>
      <c r="F133" s="93"/>
      <c r="G133" s="93">
        <v>45632.0</v>
      </c>
      <c r="H133" s="103">
        <v>72.75</v>
      </c>
      <c r="I133" s="106" t="s">
        <v>70</v>
      </c>
      <c r="J133" s="100" t="s">
        <v>88</v>
      </c>
      <c r="K133" s="97">
        <f>IF(AND($M133=TRUE,$N133=TRUE),VLOOKUP($E133,RH!$B$47:$S$67,MONTH($G133)+6,FALSE))</f>
        <v>26.29032535</v>
      </c>
      <c r="L133" s="98">
        <f>IFERROR(IF(AND($M133=TRUE,$N133=TRUE),VLOOKUP($E133,RH!$B$47:$S$67,MONTH($G133)+6,FALSE)*$H133,0),0)</f>
        <v>1912.621169</v>
      </c>
      <c r="M133" s="99" t="b">
        <f t="shared" si="1"/>
        <v>1</v>
      </c>
      <c r="N133" s="99" t="b">
        <v>1</v>
      </c>
      <c r="O133" s="85" t="s">
        <v>91</v>
      </c>
      <c r="P133" s="68"/>
    </row>
    <row r="134">
      <c r="A134" s="68"/>
      <c r="B134" s="79"/>
      <c r="C134" s="102" t="s">
        <v>66</v>
      </c>
      <c r="D134" s="79" t="s">
        <v>113</v>
      </c>
      <c r="E134" s="79" t="s">
        <v>112</v>
      </c>
      <c r="F134" s="93"/>
      <c r="G134" s="93">
        <v>45629.0</v>
      </c>
      <c r="H134" s="103">
        <v>12.0</v>
      </c>
      <c r="I134" s="106" t="s">
        <v>70</v>
      </c>
      <c r="J134" s="100" t="s">
        <v>96</v>
      </c>
      <c r="K134" s="97">
        <f>IF(AND($M134=TRUE,$N134=TRUE),VLOOKUP($E134,RH!$B$47:$S$67,MONTH($G134)+6,FALSE))</f>
        <v>52.07282723</v>
      </c>
      <c r="L134" s="98">
        <f>IFERROR(IF(AND($M134=TRUE,$N134=TRUE),VLOOKUP($E134,RH!$B$47:$S$67,MONTH($G134)+6,FALSE)*$H134,0),0)</f>
        <v>624.8739268</v>
      </c>
      <c r="M134" s="99" t="b">
        <f t="shared" si="1"/>
        <v>1</v>
      </c>
      <c r="N134" s="99" t="b">
        <v>1</v>
      </c>
      <c r="O134" s="85" t="s">
        <v>91</v>
      </c>
      <c r="P134" s="68"/>
    </row>
    <row r="135">
      <c r="A135" s="68"/>
      <c r="B135" s="79"/>
      <c r="C135" s="102" t="s">
        <v>66</v>
      </c>
      <c r="D135" s="79" t="s">
        <v>113</v>
      </c>
      <c r="E135" s="79" t="s">
        <v>112</v>
      </c>
      <c r="F135" s="93"/>
      <c r="G135" s="93">
        <v>45628.0</v>
      </c>
      <c r="H135" s="103">
        <v>146.1</v>
      </c>
      <c r="I135" s="106" t="s">
        <v>70</v>
      </c>
      <c r="J135" s="96" t="s">
        <v>88</v>
      </c>
      <c r="K135" s="97">
        <f>IF(AND($M135=TRUE,$N135=TRUE),VLOOKUP($E135,RH!$B$47:$S$67,MONTH($G135)+6,FALSE))</f>
        <v>52.07282723</v>
      </c>
      <c r="L135" s="98">
        <f>IFERROR(IF(AND($M135=TRUE,$N135=TRUE),VLOOKUP($E135,RH!$B$47:$S$67,MONTH($G135)+6,FALSE)*$H135,0),0)</f>
        <v>7607.840059</v>
      </c>
      <c r="M135" s="99" t="b">
        <f t="shared" si="1"/>
        <v>1</v>
      </c>
      <c r="N135" s="99" t="b">
        <v>1</v>
      </c>
      <c r="O135" s="85" t="s">
        <v>91</v>
      </c>
      <c r="P135" s="68"/>
    </row>
    <row r="136">
      <c r="A136" s="68"/>
      <c r="B136" s="79"/>
      <c r="C136" s="102" t="s">
        <v>66</v>
      </c>
      <c r="D136" s="79" t="s">
        <v>114</v>
      </c>
      <c r="E136" s="79" t="s">
        <v>101</v>
      </c>
      <c r="F136" s="93"/>
      <c r="G136" s="93">
        <v>45637.0</v>
      </c>
      <c r="H136" s="103">
        <v>5.5</v>
      </c>
      <c r="I136" s="106" t="s">
        <v>70</v>
      </c>
      <c r="J136" s="100" t="s">
        <v>96</v>
      </c>
      <c r="K136" s="97">
        <f>IF(AND($M136=TRUE,$N136=TRUE),VLOOKUP($E136,RH!$B$47:$S$67,MONTH($G136)+6,FALSE))</f>
        <v>57.32815741</v>
      </c>
      <c r="L136" s="98">
        <f>IFERROR(IF(AND($M136=TRUE,$N136=TRUE),VLOOKUP($E136,RH!$B$47:$S$67,MONTH($G136)+6,FALSE)*$H136,0),0)</f>
        <v>315.3048657</v>
      </c>
      <c r="M136" s="99" t="b">
        <f t="shared" si="1"/>
        <v>1</v>
      </c>
      <c r="N136" s="99" t="b">
        <v>1</v>
      </c>
      <c r="O136" s="85" t="s">
        <v>91</v>
      </c>
      <c r="P136" s="68"/>
    </row>
    <row r="137">
      <c r="A137" s="68"/>
      <c r="B137" s="79"/>
      <c r="C137" s="102" t="s">
        <v>66</v>
      </c>
      <c r="D137" s="79" t="s">
        <v>114</v>
      </c>
      <c r="E137" s="79" t="s">
        <v>101</v>
      </c>
      <c r="F137" s="93"/>
      <c r="G137" s="93">
        <v>45632.0</v>
      </c>
      <c r="H137" s="103">
        <v>4.0</v>
      </c>
      <c r="I137" s="106" t="s">
        <v>70</v>
      </c>
      <c r="J137" s="100" t="s">
        <v>93</v>
      </c>
      <c r="K137" s="97">
        <f>IF(AND($M137=TRUE,$N137=TRUE),VLOOKUP($E137,RH!$B$47:$S$67,MONTH($G137)+6,FALSE))</f>
        <v>57.32815741</v>
      </c>
      <c r="L137" s="98">
        <f>IFERROR(IF(AND($M137=TRUE,$N137=TRUE),VLOOKUP($E137,RH!$B$47:$S$67,MONTH($G137)+6,FALSE)*$H137,0),0)</f>
        <v>229.3126296</v>
      </c>
      <c r="M137" s="99" t="b">
        <f t="shared" si="1"/>
        <v>1</v>
      </c>
      <c r="N137" s="99" t="b">
        <v>1</v>
      </c>
      <c r="O137" s="85" t="s">
        <v>91</v>
      </c>
      <c r="P137" s="68"/>
    </row>
    <row r="138">
      <c r="A138" s="68"/>
      <c r="B138" s="79"/>
      <c r="C138" s="102" t="s">
        <v>66</v>
      </c>
      <c r="D138" s="79" t="s">
        <v>114</v>
      </c>
      <c r="E138" s="79" t="s">
        <v>87</v>
      </c>
      <c r="F138" s="93"/>
      <c r="G138" s="93">
        <v>45628.0</v>
      </c>
      <c r="H138" s="103">
        <v>17.5</v>
      </c>
      <c r="I138" s="106" t="s">
        <v>70</v>
      </c>
      <c r="J138" s="100" t="s">
        <v>88</v>
      </c>
      <c r="K138" s="97">
        <f>IF(AND($M138=TRUE,$N138=TRUE),VLOOKUP($E138,RH!$B$47:$S$67,MONTH($G138)+6,FALSE))</f>
        <v>26.29032535</v>
      </c>
      <c r="L138" s="98">
        <f>IFERROR(IF(AND($M138=TRUE,$N138=TRUE),VLOOKUP($E138,RH!$B$47:$S$67,MONTH($G138)+6,FALSE)*$H138,0),0)</f>
        <v>460.0806935</v>
      </c>
      <c r="M138" s="99" t="b">
        <f t="shared" si="1"/>
        <v>1</v>
      </c>
      <c r="N138" s="99" t="b">
        <v>1</v>
      </c>
      <c r="O138" s="85" t="s">
        <v>91</v>
      </c>
      <c r="P138" s="68"/>
    </row>
    <row r="139">
      <c r="A139" s="68"/>
      <c r="B139" s="79"/>
      <c r="C139" s="102" t="s">
        <v>66</v>
      </c>
      <c r="D139" s="79" t="s">
        <v>114</v>
      </c>
      <c r="E139" s="79" t="s">
        <v>89</v>
      </c>
      <c r="F139" s="93"/>
      <c r="G139" s="93">
        <v>45630.0</v>
      </c>
      <c r="H139" s="103">
        <v>2.5</v>
      </c>
      <c r="I139" s="106" t="s">
        <v>70</v>
      </c>
      <c r="J139" s="100" t="s">
        <v>96</v>
      </c>
      <c r="K139" s="97">
        <f>IF(AND($M139=TRUE,$N139=TRUE),VLOOKUP($E139,RH!$B$47:$S$67,MONTH($G139)+6,FALSE))</f>
        <v>82.80720563</v>
      </c>
      <c r="L139" s="98">
        <f>IFERROR(IF(AND($M139=TRUE,$N139=TRUE),VLOOKUP($E139,RH!$B$47:$S$67,MONTH($G139)+6,FALSE)*$H139,0),0)</f>
        <v>207.0180141</v>
      </c>
      <c r="M139" s="99" t="b">
        <f t="shared" si="1"/>
        <v>1</v>
      </c>
      <c r="N139" s="99" t="b">
        <v>1</v>
      </c>
      <c r="O139" s="85" t="s">
        <v>91</v>
      </c>
      <c r="P139" s="68"/>
    </row>
    <row r="140">
      <c r="A140" s="68"/>
      <c r="B140" s="79"/>
      <c r="C140" s="102" t="s">
        <v>66</v>
      </c>
      <c r="D140" s="79" t="s">
        <v>114</v>
      </c>
      <c r="E140" s="79" t="s">
        <v>95</v>
      </c>
      <c r="F140" s="93"/>
      <c r="G140" s="93">
        <v>45636.0</v>
      </c>
      <c r="H140" s="103">
        <v>50.5</v>
      </c>
      <c r="I140" s="106" t="s">
        <v>70</v>
      </c>
      <c r="J140" s="96" t="s">
        <v>96</v>
      </c>
      <c r="K140" s="97">
        <f>IF(AND($M140=TRUE,$N140=TRUE),VLOOKUP($E140,RH!$B$47:$S$67,MONTH($G140)+6,FALSE))</f>
        <v>14.24984309</v>
      </c>
      <c r="L140" s="98">
        <f>IFERROR(IF(AND($M140=TRUE,$N140=TRUE),VLOOKUP($E140,RH!$B$47:$S$67,MONTH($G140)+6,FALSE)*$H140,0),0)</f>
        <v>719.617076</v>
      </c>
      <c r="M140" s="99" t="b">
        <f t="shared" si="1"/>
        <v>1</v>
      </c>
      <c r="N140" s="99" t="b">
        <v>1</v>
      </c>
      <c r="O140" s="85" t="s">
        <v>91</v>
      </c>
      <c r="P140" s="68"/>
    </row>
    <row r="141">
      <c r="A141" s="68"/>
      <c r="B141" s="79"/>
      <c r="C141" s="102" t="s">
        <v>66</v>
      </c>
      <c r="D141" s="79" t="s">
        <v>114</v>
      </c>
      <c r="E141" s="79" t="s">
        <v>98</v>
      </c>
      <c r="F141" s="93"/>
      <c r="G141" s="93">
        <v>45638.0</v>
      </c>
      <c r="H141" s="103">
        <v>9.5</v>
      </c>
      <c r="I141" s="106" t="s">
        <v>70</v>
      </c>
      <c r="J141" s="100" t="s">
        <v>96</v>
      </c>
      <c r="K141" s="97">
        <f>IF(AND($M141=TRUE,$N141=TRUE),VLOOKUP($E141,RH!$B$47:$S$67,MONTH($G141)+6,FALSE))</f>
        <v>14.24984309</v>
      </c>
      <c r="L141" s="98">
        <f>IFERROR(IF(AND($M141=TRUE,$N141=TRUE),VLOOKUP($E141,RH!$B$47:$S$67,MONTH($G141)+6,FALSE)*$H141,0),0)</f>
        <v>135.3735093</v>
      </c>
      <c r="M141" s="99" t="b">
        <f t="shared" si="1"/>
        <v>1</v>
      </c>
      <c r="N141" s="99" t="b">
        <v>1</v>
      </c>
      <c r="O141" s="85" t="s">
        <v>91</v>
      </c>
      <c r="P141" s="68"/>
    </row>
    <row r="142">
      <c r="A142" s="68"/>
      <c r="B142" s="79"/>
      <c r="C142" s="102" t="s">
        <v>66</v>
      </c>
      <c r="D142" s="79" t="s">
        <v>115</v>
      </c>
      <c r="E142" s="79" t="s">
        <v>92</v>
      </c>
      <c r="F142" s="93"/>
      <c r="G142" s="93">
        <v>45636.0</v>
      </c>
      <c r="H142" s="103">
        <v>1.5</v>
      </c>
      <c r="I142" s="106" t="s">
        <v>70</v>
      </c>
      <c r="J142" s="100" t="s">
        <v>88</v>
      </c>
      <c r="K142" s="97">
        <f>IF(AND($M142=TRUE,$N142=TRUE),VLOOKUP($E142,RH!$B$47:$S$67,MONTH($G142)+6,FALSE))</f>
        <v>48.93591893</v>
      </c>
      <c r="L142" s="98">
        <f>IFERROR(IF(AND($M142=TRUE,$N142=TRUE),VLOOKUP($E142,RH!$B$47:$S$67,MONTH($G142)+6,FALSE)*$H142,0),0)</f>
        <v>73.4038784</v>
      </c>
      <c r="M142" s="99" t="b">
        <f t="shared" si="1"/>
        <v>1</v>
      </c>
      <c r="N142" s="99" t="b">
        <v>1</v>
      </c>
      <c r="O142" s="85" t="s">
        <v>91</v>
      </c>
      <c r="P142" s="68"/>
    </row>
    <row r="143">
      <c r="A143" s="68"/>
      <c r="B143" s="79"/>
      <c r="C143" s="102" t="s">
        <v>66</v>
      </c>
      <c r="D143" s="79" t="s">
        <v>115</v>
      </c>
      <c r="E143" s="79" t="s">
        <v>95</v>
      </c>
      <c r="F143" s="93"/>
      <c r="G143" s="93">
        <v>45628.0</v>
      </c>
      <c r="H143" s="103">
        <v>1.5</v>
      </c>
      <c r="I143" s="106" t="s">
        <v>70</v>
      </c>
      <c r="J143" s="100" t="s">
        <v>96</v>
      </c>
      <c r="K143" s="97">
        <f>IF(AND($M143=TRUE,$N143=TRUE),VLOOKUP($E143,RH!$B$47:$S$67,MONTH($G143)+6,FALSE))</f>
        <v>14.24984309</v>
      </c>
      <c r="L143" s="98">
        <f>IFERROR(IF(AND($M143=TRUE,$N143=TRUE),VLOOKUP($E143,RH!$B$47:$S$67,MONTH($G143)+6,FALSE)*$H143,0),0)</f>
        <v>21.37476463</v>
      </c>
      <c r="M143" s="99" t="b">
        <f t="shared" si="1"/>
        <v>1</v>
      </c>
      <c r="N143" s="99" t="b">
        <v>1</v>
      </c>
      <c r="O143" s="85" t="s">
        <v>91</v>
      </c>
      <c r="P143" s="68"/>
    </row>
    <row r="144">
      <c r="A144" s="68"/>
      <c r="B144" s="79"/>
      <c r="C144" s="102" t="s">
        <v>66</v>
      </c>
      <c r="D144" s="79" t="s">
        <v>115</v>
      </c>
      <c r="E144" s="79" t="s">
        <v>98</v>
      </c>
      <c r="F144" s="93"/>
      <c r="G144" s="93">
        <v>45628.0</v>
      </c>
      <c r="H144" s="103">
        <v>26.0</v>
      </c>
      <c r="I144" s="106" t="s">
        <v>70</v>
      </c>
      <c r="J144" s="100" t="s">
        <v>96</v>
      </c>
      <c r="K144" s="97">
        <f>IF(AND($M144=TRUE,$N144=TRUE),VLOOKUP($E144,RH!$B$47:$S$67,MONTH($G144)+6,FALSE))</f>
        <v>14.24984309</v>
      </c>
      <c r="L144" s="98">
        <f>IFERROR(IF(AND($M144=TRUE,$N144=TRUE),VLOOKUP($E144,RH!$B$47:$S$67,MONTH($G144)+6,FALSE)*$H144,0),0)</f>
        <v>370.4959203</v>
      </c>
      <c r="M144" s="99" t="b">
        <f t="shared" si="1"/>
        <v>1</v>
      </c>
      <c r="N144" s="99" t="b">
        <v>1</v>
      </c>
      <c r="O144" s="85" t="s">
        <v>91</v>
      </c>
      <c r="P144" s="68"/>
    </row>
    <row r="145">
      <c r="A145" s="68"/>
      <c r="B145" s="79"/>
      <c r="C145" s="102" t="s">
        <v>66</v>
      </c>
      <c r="D145" s="79" t="s">
        <v>115</v>
      </c>
      <c r="E145" s="79" t="s">
        <v>99</v>
      </c>
      <c r="F145" s="93"/>
      <c r="G145" s="93">
        <v>45630.0</v>
      </c>
      <c r="H145" s="103">
        <v>10.55</v>
      </c>
      <c r="I145" s="106" t="s">
        <v>70</v>
      </c>
      <c r="J145" s="96" t="s">
        <v>96</v>
      </c>
      <c r="K145" s="97">
        <f>IF(AND($M145=TRUE,$N145=TRUE),VLOOKUP($E145,RH!$B$47:$S$67,MONTH($G145)+6,FALSE))</f>
        <v>26.29032535</v>
      </c>
      <c r="L145" s="98">
        <f>IFERROR(IF(AND($M145=TRUE,$N145=TRUE),VLOOKUP($E145,RH!$B$47:$S$67,MONTH($G145)+6,FALSE)*$H145,0),0)</f>
        <v>277.3629324</v>
      </c>
      <c r="M145" s="99" t="b">
        <f t="shared" si="1"/>
        <v>1</v>
      </c>
      <c r="N145" s="99" t="b">
        <v>1</v>
      </c>
      <c r="O145" s="85" t="s">
        <v>91</v>
      </c>
      <c r="P145" s="68"/>
    </row>
    <row r="146">
      <c r="A146" s="68"/>
      <c r="B146" s="79"/>
      <c r="C146" s="102" t="s">
        <v>66</v>
      </c>
      <c r="D146" s="79" t="s">
        <v>115</v>
      </c>
      <c r="E146" s="79" t="s">
        <v>99</v>
      </c>
      <c r="F146" s="93"/>
      <c r="G146" s="93">
        <v>45630.0</v>
      </c>
      <c r="H146" s="103">
        <v>4.75</v>
      </c>
      <c r="I146" s="106" t="s">
        <v>70</v>
      </c>
      <c r="J146" s="100" t="s">
        <v>88</v>
      </c>
      <c r="K146" s="97">
        <f>IF(AND($M146=TRUE,$N146=TRUE),VLOOKUP($E146,RH!$B$47:$S$67,MONTH($G146)+6,FALSE))</f>
        <v>26.29032535</v>
      </c>
      <c r="L146" s="98">
        <f>IFERROR(IF(AND($M146=TRUE,$N146=TRUE),VLOOKUP($E146,RH!$B$47:$S$67,MONTH($G146)+6,FALSE)*$H146,0),0)</f>
        <v>124.8790454</v>
      </c>
      <c r="M146" s="99" t="b">
        <f t="shared" si="1"/>
        <v>1</v>
      </c>
      <c r="N146" s="99" t="b">
        <v>1</v>
      </c>
      <c r="O146" s="85" t="s">
        <v>91</v>
      </c>
      <c r="P146" s="68"/>
    </row>
    <row r="147">
      <c r="A147" s="68"/>
      <c r="B147" s="79"/>
      <c r="C147" s="102" t="s">
        <v>66</v>
      </c>
      <c r="D147" s="79" t="s">
        <v>116</v>
      </c>
      <c r="E147" s="79" t="s">
        <v>89</v>
      </c>
      <c r="F147" s="93"/>
      <c r="G147" s="93">
        <v>45628.0</v>
      </c>
      <c r="H147" s="103">
        <v>63.25</v>
      </c>
      <c r="I147" s="106" t="s">
        <v>70</v>
      </c>
      <c r="J147" s="100" t="s">
        <v>117</v>
      </c>
      <c r="K147" s="97">
        <f>IF(AND($M147=TRUE,$N147=TRUE),VLOOKUP($E147,RH!$B$47:$S$67,MONTH($G147)+6,FALSE))</f>
        <v>82.80720563</v>
      </c>
      <c r="L147" s="98">
        <f>IFERROR(IF(AND($M147=TRUE,$N147=TRUE),VLOOKUP($E147,RH!$B$47:$S$67,MONTH($G147)+6,FALSE)*$H147,0),0)</f>
        <v>5237.555756</v>
      </c>
      <c r="M147" s="99" t="b">
        <f t="shared" si="1"/>
        <v>1</v>
      </c>
      <c r="N147" s="99" t="b">
        <v>1</v>
      </c>
      <c r="O147" s="85" t="s">
        <v>91</v>
      </c>
      <c r="P147" s="68"/>
    </row>
    <row r="148">
      <c r="A148" s="68"/>
      <c r="B148" s="79"/>
      <c r="C148" s="77" t="s">
        <v>66</v>
      </c>
      <c r="D148" s="77" t="s">
        <v>116</v>
      </c>
      <c r="E148" s="77" t="s">
        <v>95</v>
      </c>
      <c r="F148" s="94"/>
      <c r="G148" s="94">
        <v>45628.0</v>
      </c>
      <c r="H148" s="95">
        <v>6.0</v>
      </c>
      <c r="I148" s="77" t="s">
        <v>70</v>
      </c>
      <c r="J148" s="96" t="s">
        <v>118</v>
      </c>
      <c r="K148" s="97">
        <f>IF(AND($M148=TRUE,$N148=TRUE),VLOOKUP($E148,RH!$B$47:$S$67,MONTH($G148)+6,FALSE))</f>
        <v>14.24984309</v>
      </c>
      <c r="L148" s="98">
        <f>IFERROR(IF(AND($M148=TRUE,$N148=TRUE),VLOOKUP($E148,RH!$B$47:$S$67,MONTH($G148)+6,FALSE)*$H148,0),0)</f>
        <v>85.49905853</v>
      </c>
      <c r="M148" s="99" t="b">
        <f t="shared" si="1"/>
        <v>1</v>
      </c>
      <c r="N148" s="99" t="b">
        <v>1</v>
      </c>
      <c r="O148" s="85" t="s">
        <v>91</v>
      </c>
      <c r="P148" s="68"/>
    </row>
    <row r="149">
      <c r="A149" s="68"/>
      <c r="B149" s="79"/>
      <c r="C149" s="77" t="s">
        <v>66</v>
      </c>
      <c r="D149" s="77" t="s">
        <v>116</v>
      </c>
      <c r="E149" s="77" t="s">
        <v>98</v>
      </c>
      <c r="F149" s="94"/>
      <c r="G149" s="94">
        <v>45628.0</v>
      </c>
      <c r="H149" s="95">
        <v>30.0</v>
      </c>
      <c r="I149" s="77" t="s">
        <v>70</v>
      </c>
      <c r="J149" s="96" t="s">
        <v>118</v>
      </c>
      <c r="K149" s="97">
        <f>IF(AND($M149=TRUE,$N149=TRUE),VLOOKUP($E149,RH!$B$47:$S$67,MONTH($G149)+6,FALSE))</f>
        <v>14.24984309</v>
      </c>
      <c r="L149" s="98">
        <f>IFERROR(IF(AND($M149=TRUE,$N149=TRUE),VLOOKUP($E149,RH!$B$47:$S$67,MONTH($G149)+6,FALSE)*$H149,0),0)</f>
        <v>427.4952927</v>
      </c>
      <c r="M149" s="99" t="b">
        <f t="shared" si="1"/>
        <v>1</v>
      </c>
      <c r="N149" s="99" t="b">
        <v>1</v>
      </c>
      <c r="O149" s="85" t="s">
        <v>91</v>
      </c>
      <c r="P149" s="68"/>
    </row>
    <row r="150" hidden="1">
      <c r="A150" s="68"/>
      <c r="B150" s="79"/>
      <c r="C150" s="77" t="s">
        <v>119</v>
      </c>
      <c r="D150" s="77" t="s">
        <v>120</v>
      </c>
      <c r="E150" s="77" t="s">
        <v>89</v>
      </c>
      <c r="F150" s="107" t="s">
        <v>121</v>
      </c>
      <c r="G150" s="94">
        <v>45292.0</v>
      </c>
      <c r="H150" s="95">
        <v>20.0</v>
      </c>
      <c r="I150" s="77" t="s">
        <v>70</v>
      </c>
      <c r="J150" s="96" t="s">
        <v>122</v>
      </c>
      <c r="K150" s="97">
        <f>IF(AND($M150=TRUE,$N150=TRUE),VLOOKUP($E150,RH!$B$47:$S$67,MONTH($G150)+6,FALSE))</f>
        <v>75.07140218</v>
      </c>
      <c r="L150" s="98">
        <f>IFERROR(IF(AND($M150=TRUE,$N150=TRUE),VLOOKUP($E150,RH!$B$47:$S$67,MONTH($G150)+6,FALSE)*$H150,0),0)</f>
        <v>1501.428044</v>
      </c>
      <c r="M150" s="99" t="b">
        <f t="shared" si="1"/>
        <v>1</v>
      </c>
      <c r="N150" s="99" t="b">
        <v>1</v>
      </c>
      <c r="O150" s="85" t="s">
        <v>91</v>
      </c>
      <c r="P150" s="68"/>
    </row>
    <row r="151" hidden="1">
      <c r="A151" s="68"/>
      <c r="B151" s="79"/>
      <c r="C151" s="77" t="s">
        <v>119</v>
      </c>
      <c r="D151" s="77" t="s">
        <v>123</v>
      </c>
      <c r="E151" s="77" t="s">
        <v>124</v>
      </c>
      <c r="F151" s="107" t="s">
        <v>125</v>
      </c>
      <c r="G151" s="94">
        <v>45292.0</v>
      </c>
      <c r="H151" s="95">
        <v>191.0</v>
      </c>
      <c r="I151" s="77" t="s">
        <v>70</v>
      </c>
      <c r="J151" s="96" t="s">
        <v>126</v>
      </c>
      <c r="K151" s="97">
        <f>IF(AND($M151=TRUE,$N151=TRUE),VLOOKUP($E151,RH!$B$47:$S$67,MONTH($G151)+6,FALSE))</f>
        <v>89.09648801</v>
      </c>
      <c r="L151" s="98">
        <f>IFERROR(IF(AND($M151=TRUE,$N151=TRUE),VLOOKUP($E151,RH!$B$47:$S$67,MONTH($G151)+6,FALSE)*$H151,0),0)</f>
        <v>17017.42921</v>
      </c>
      <c r="M151" s="99" t="b">
        <f t="shared" si="1"/>
        <v>1</v>
      </c>
      <c r="N151" s="99" t="b">
        <v>1</v>
      </c>
      <c r="O151" s="85" t="s">
        <v>127</v>
      </c>
      <c r="P151" s="68"/>
    </row>
    <row r="152" hidden="1">
      <c r="A152" s="68"/>
      <c r="B152" s="79"/>
      <c r="C152" s="77" t="s">
        <v>119</v>
      </c>
      <c r="D152" s="77" t="s">
        <v>128</v>
      </c>
      <c r="E152" s="77" t="s">
        <v>95</v>
      </c>
      <c r="F152" s="107" t="s">
        <v>129</v>
      </c>
      <c r="G152" s="94">
        <v>45292.0</v>
      </c>
      <c r="H152" s="95">
        <v>4.0</v>
      </c>
      <c r="I152" s="77" t="s">
        <v>70</v>
      </c>
      <c r="J152" s="96" t="s">
        <v>130</v>
      </c>
      <c r="K152" s="97">
        <f>IF(AND($M152=TRUE,$N152=TRUE),VLOOKUP($E152,RH!$B$47:$S$67,MONTH($G152)+6,FALSE))</f>
        <v>11.71696509</v>
      </c>
      <c r="L152" s="98">
        <f>IFERROR(IF(AND($M152=TRUE,$N152=TRUE),VLOOKUP($E152,RH!$B$47:$S$67,MONTH($G152)+6,FALSE)*$H152,0),0)</f>
        <v>46.86786037</v>
      </c>
      <c r="M152" s="99" t="b">
        <f t="shared" si="1"/>
        <v>1</v>
      </c>
      <c r="N152" s="99" t="b">
        <v>1</v>
      </c>
      <c r="O152" s="85" t="s">
        <v>91</v>
      </c>
      <c r="P152" s="68"/>
    </row>
    <row r="153" hidden="1">
      <c r="A153" s="68"/>
      <c r="B153" s="79"/>
      <c r="C153" s="77" t="s">
        <v>119</v>
      </c>
      <c r="D153" s="77" t="s">
        <v>131</v>
      </c>
      <c r="E153" s="77" t="s">
        <v>132</v>
      </c>
      <c r="F153" s="107" t="s">
        <v>133</v>
      </c>
      <c r="G153" s="94">
        <v>45292.0</v>
      </c>
      <c r="H153" s="95">
        <v>198.0</v>
      </c>
      <c r="I153" s="77" t="s">
        <v>70</v>
      </c>
      <c r="J153" s="96" t="s">
        <v>126</v>
      </c>
      <c r="K153" s="97">
        <f>IF(AND($M153=TRUE,$N153=TRUE),VLOOKUP($E153,RH!$B$47:$S$67,MONTH($G153)+6,FALSE))</f>
        <v>107.3521051</v>
      </c>
      <c r="L153" s="98">
        <f>IFERROR(IF(AND($M153=TRUE,$N153=TRUE),VLOOKUP($E153,RH!$B$47:$S$67,MONTH($G153)+6,FALSE)*$H153,0),0)</f>
        <v>21255.71681</v>
      </c>
      <c r="M153" s="99" t="b">
        <f t="shared" si="1"/>
        <v>1</v>
      </c>
      <c r="N153" s="99" t="b">
        <v>1</v>
      </c>
      <c r="O153" s="85" t="s">
        <v>127</v>
      </c>
      <c r="P153" s="68"/>
    </row>
    <row r="154" hidden="1">
      <c r="A154" s="68"/>
      <c r="B154" s="79"/>
      <c r="C154" s="77" t="s">
        <v>119</v>
      </c>
      <c r="D154" s="77" t="s">
        <v>134</v>
      </c>
      <c r="E154" s="77" t="s">
        <v>135</v>
      </c>
      <c r="F154" s="107" t="s">
        <v>136</v>
      </c>
      <c r="G154" s="94">
        <v>45292.0</v>
      </c>
      <c r="H154" s="95">
        <v>122.0</v>
      </c>
      <c r="I154" s="77" t="s">
        <v>70</v>
      </c>
      <c r="J154" s="96" t="s">
        <v>137</v>
      </c>
      <c r="K154" s="97">
        <f>IF(AND($M154=TRUE,$N154=TRUE),VLOOKUP($E154,RH!$B$47:$S$67,MONTH($G154)+6,FALSE))</f>
        <v>94.80781233</v>
      </c>
      <c r="L154" s="98">
        <f>IFERROR(IF(AND($M154=TRUE,$N154=TRUE),VLOOKUP($E154,RH!$B$47:$S$67,MONTH($G154)+6,FALSE)*$H154,0),0)</f>
        <v>11566.5531</v>
      </c>
      <c r="M154" s="99" t="b">
        <f t="shared" si="1"/>
        <v>1</v>
      </c>
      <c r="N154" s="99" t="b">
        <v>1</v>
      </c>
      <c r="O154" s="85" t="s">
        <v>127</v>
      </c>
      <c r="P154" s="68"/>
    </row>
    <row r="155" hidden="1">
      <c r="A155" s="68"/>
      <c r="B155" s="79"/>
      <c r="C155" s="77" t="s">
        <v>119</v>
      </c>
      <c r="D155" s="77" t="s">
        <v>123</v>
      </c>
      <c r="E155" s="77" t="s">
        <v>138</v>
      </c>
      <c r="F155" s="107" t="s">
        <v>139</v>
      </c>
      <c r="G155" s="94">
        <v>45292.0</v>
      </c>
      <c r="H155" s="95">
        <v>120.0</v>
      </c>
      <c r="I155" s="77" t="s">
        <v>69</v>
      </c>
      <c r="J155" s="96" t="s">
        <v>140</v>
      </c>
      <c r="K155" s="97">
        <f>IF(AND($M155=TRUE,$N155=TRUE),VLOOKUP($E155,RH!$B$47:$S$67,MONTH($G155)+6,FALSE))</f>
        <v>114.2336265</v>
      </c>
      <c r="L155" s="98">
        <f>IFERROR(IF(AND($M155=TRUE,$N155=TRUE),VLOOKUP($E155,RH!$B$47:$S$67,MONTH($G155)+6,FALSE)*$H155,0),0)</f>
        <v>13708.03518</v>
      </c>
      <c r="M155" s="99" t="b">
        <f t="shared" si="1"/>
        <v>1</v>
      </c>
      <c r="N155" s="99" t="b">
        <v>1</v>
      </c>
      <c r="O155" s="85" t="s">
        <v>127</v>
      </c>
      <c r="P155" s="68"/>
    </row>
    <row r="156" hidden="1">
      <c r="A156" s="68"/>
      <c r="B156" s="79"/>
      <c r="C156" s="77" t="s">
        <v>119</v>
      </c>
      <c r="D156" s="77" t="s">
        <v>123</v>
      </c>
      <c r="E156" s="77" t="s">
        <v>141</v>
      </c>
      <c r="F156" s="107" t="s">
        <v>142</v>
      </c>
      <c r="G156" s="94">
        <v>45292.0</v>
      </c>
      <c r="H156" s="95">
        <v>5.0</v>
      </c>
      <c r="I156" s="77" t="s">
        <v>69</v>
      </c>
      <c r="J156" s="96" t="s">
        <v>140</v>
      </c>
      <c r="K156" s="97">
        <f>IF(AND($M156=TRUE,$N156=TRUE),VLOOKUP($E156,RH!$B$47:$S$67,MONTH($G156)+6,FALSE))</f>
        <v>130.3039332</v>
      </c>
      <c r="L156" s="98">
        <f>IFERROR(IF(AND($M156=TRUE,$N156=TRUE),VLOOKUP($E156,RH!$B$47:$S$67,MONTH($G156)+6,FALSE)*$H156,0),0)</f>
        <v>651.5196662</v>
      </c>
      <c r="M156" s="99" t="b">
        <f t="shared" si="1"/>
        <v>1</v>
      </c>
      <c r="N156" s="99" t="b">
        <v>1</v>
      </c>
      <c r="O156" s="85" t="s">
        <v>91</v>
      </c>
      <c r="P156" s="68"/>
    </row>
    <row r="157" hidden="1">
      <c r="A157" s="68"/>
      <c r="B157" s="79"/>
      <c r="C157" s="77" t="s">
        <v>119</v>
      </c>
      <c r="D157" s="77" t="s">
        <v>134</v>
      </c>
      <c r="E157" s="77" t="s">
        <v>143</v>
      </c>
      <c r="F157" s="107" t="s">
        <v>144</v>
      </c>
      <c r="G157" s="94">
        <v>45292.0</v>
      </c>
      <c r="H157" s="95">
        <v>168.0</v>
      </c>
      <c r="I157" s="77" t="s">
        <v>70</v>
      </c>
      <c r="J157" s="96" t="s">
        <v>130</v>
      </c>
      <c r="K157" s="97">
        <f>IF(AND($M157=TRUE,$N157=TRUE),VLOOKUP($E157,RH!$B$47:$S$67,MONTH($G157)+6,FALSE))</f>
        <v>55.6930699</v>
      </c>
      <c r="L157" s="98">
        <f>IFERROR(IF(AND($M157=TRUE,$N157=TRUE),VLOOKUP($E157,RH!$B$47:$S$67,MONTH($G157)+6,FALSE)*$H157,0),0)</f>
        <v>9356.435744</v>
      </c>
      <c r="M157" s="99" t="b">
        <f t="shared" si="1"/>
        <v>1</v>
      </c>
      <c r="N157" s="99" t="b">
        <v>1</v>
      </c>
      <c r="O157" s="85" t="s">
        <v>91</v>
      </c>
      <c r="P157" s="68"/>
    </row>
    <row r="158" hidden="1">
      <c r="A158" s="68"/>
      <c r="B158" s="79"/>
      <c r="C158" s="77" t="s">
        <v>119</v>
      </c>
      <c r="D158" s="77" t="s">
        <v>120</v>
      </c>
      <c r="E158" s="77" t="s">
        <v>89</v>
      </c>
      <c r="F158" s="107" t="s">
        <v>121</v>
      </c>
      <c r="G158" s="94">
        <v>45323.0</v>
      </c>
      <c r="H158" s="95">
        <v>17.0</v>
      </c>
      <c r="I158" s="77" t="s">
        <v>70</v>
      </c>
      <c r="J158" s="96" t="s">
        <v>122</v>
      </c>
      <c r="K158" s="97">
        <f>IF(AND($M158=TRUE,$N158=TRUE),VLOOKUP($E158,RH!$B$47:$S$67,MONTH($G158)+6,FALSE))</f>
        <v>78.46954356</v>
      </c>
      <c r="L158" s="98">
        <f>IFERROR(IF(AND($M158=TRUE,$N158=TRUE),VLOOKUP($E158,RH!$B$47:$S$67,MONTH($G158)+6,FALSE)*$H158,0),0)</f>
        <v>1333.982241</v>
      </c>
      <c r="M158" s="99" t="b">
        <f t="shared" si="1"/>
        <v>1</v>
      </c>
      <c r="N158" s="99" t="b">
        <v>1</v>
      </c>
      <c r="O158" s="85" t="s">
        <v>91</v>
      </c>
      <c r="P158" s="68"/>
    </row>
    <row r="159" hidden="1">
      <c r="A159" s="68"/>
      <c r="B159" s="79"/>
      <c r="C159" s="77" t="s">
        <v>119</v>
      </c>
      <c r="D159" s="77" t="s">
        <v>123</v>
      </c>
      <c r="E159" s="77" t="s">
        <v>124</v>
      </c>
      <c r="F159" s="107" t="s">
        <v>125</v>
      </c>
      <c r="G159" s="94">
        <v>45323.0</v>
      </c>
      <c r="H159" s="95">
        <v>89.0</v>
      </c>
      <c r="I159" s="77" t="s">
        <v>70</v>
      </c>
      <c r="J159" s="96" t="s">
        <v>126</v>
      </c>
      <c r="K159" s="97">
        <f>IF(AND($M159=TRUE,$N159=TRUE),VLOOKUP($E159,RH!$B$47:$S$67,MONTH($G159)+6,FALSE))</f>
        <v>93.12948132</v>
      </c>
      <c r="L159" s="98">
        <f>IFERROR(IF(AND($M159=TRUE,$N159=TRUE),VLOOKUP($E159,RH!$B$47:$S$67,MONTH($G159)+6,FALSE)*$H159,0),0)</f>
        <v>8288.523838</v>
      </c>
      <c r="M159" s="99" t="b">
        <f t="shared" si="1"/>
        <v>1</v>
      </c>
      <c r="N159" s="99" t="b">
        <v>1</v>
      </c>
      <c r="O159" s="85" t="s">
        <v>127</v>
      </c>
      <c r="P159" s="68"/>
    </row>
    <row r="160" hidden="1">
      <c r="A160" s="68"/>
      <c r="B160" s="79"/>
      <c r="C160" s="77" t="s">
        <v>119</v>
      </c>
      <c r="D160" s="77" t="s">
        <v>134</v>
      </c>
      <c r="E160" s="77" t="s">
        <v>95</v>
      </c>
      <c r="F160" s="107" t="s">
        <v>129</v>
      </c>
      <c r="G160" s="94">
        <v>45323.0</v>
      </c>
      <c r="H160" s="95">
        <v>36.0</v>
      </c>
      <c r="I160" s="77" t="s">
        <v>70</v>
      </c>
      <c r="J160" s="96" t="s">
        <v>130</v>
      </c>
      <c r="K160" s="97">
        <f>IF(AND($M160=TRUE,$N160=TRUE),VLOOKUP($E160,RH!$B$47:$S$67,MONTH($G160)+6,FALSE))</f>
        <v>12.24733888</v>
      </c>
      <c r="L160" s="98">
        <f>IFERROR(IF(AND($M160=TRUE,$N160=TRUE),VLOOKUP($E160,RH!$B$47:$S$67,MONTH($G160)+6,FALSE)*$H160,0),0)</f>
        <v>440.9041997</v>
      </c>
      <c r="M160" s="99" t="b">
        <f t="shared" si="1"/>
        <v>1</v>
      </c>
      <c r="N160" s="99" t="b">
        <v>1</v>
      </c>
      <c r="O160" s="85" t="s">
        <v>91</v>
      </c>
      <c r="P160" s="68"/>
    </row>
    <row r="161" hidden="1">
      <c r="A161" s="68"/>
      <c r="B161" s="79"/>
      <c r="C161" s="77" t="s">
        <v>119</v>
      </c>
      <c r="D161" s="77" t="s">
        <v>131</v>
      </c>
      <c r="E161" s="77" t="s">
        <v>132</v>
      </c>
      <c r="F161" s="107" t="s">
        <v>133</v>
      </c>
      <c r="G161" s="94">
        <v>45323.0</v>
      </c>
      <c r="H161" s="95">
        <v>193.0</v>
      </c>
      <c r="I161" s="77" t="s">
        <v>70</v>
      </c>
      <c r="J161" s="96" t="s">
        <v>126</v>
      </c>
      <c r="K161" s="97">
        <f>IF(AND($M161=TRUE,$N161=TRUE),VLOOKUP($E161,RH!$B$47:$S$67,MONTH($G161)+6,FALSE))</f>
        <v>112.2114473</v>
      </c>
      <c r="L161" s="98">
        <f>IFERROR(IF(AND($M161=TRUE,$N161=TRUE),VLOOKUP($E161,RH!$B$47:$S$67,MONTH($G161)+6,FALSE)*$H161,0),0)</f>
        <v>21656.80933</v>
      </c>
      <c r="M161" s="99" t="b">
        <f t="shared" si="1"/>
        <v>1</v>
      </c>
      <c r="N161" s="99" t="b">
        <v>1</v>
      </c>
      <c r="O161" s="85" t="s">
        <v>127</v>
      </c>
      <c r="P161" s="68"/>
    </row>
    <row r="162" hidden="1">
      <c r="A162" s="68"/>
      <c r="B162" s="79"/>
      <c r="C162" s="77" t="s">
        <v>119</v>
      </c>
      <c r="D162" s="77" t="s">
        <v>134</v>
      </c>
      <c r="E162" s="77" t="s">
        <v>135</v>
      </c>
      <c r="F162" s="107" t="s">
        <v>136</v>
      </c>
      <c r="G162" s="94">
        <v>45323.0</v>
      </c>
      <c r="H162" s="95">
        <v>188.0</v>
      </c>
      <c r="I162" s="77" t="s">
        <v>70</v>
      </c>
      <c r="J162" s="96" t="s">
        <v>137</v>
      </c>
      <c r="K162" s="97">
        <f>IF(AND($M162=TRUE,$N162=TRUE),VLOOKUP($E162,RH!$B$47:$S$67,MONTH($G162)+6,FALSE))</f>
        <v>105.4517521</v>
      </c>
      <c r="L162" s="98">
        <f>IFERROR(IF(AND($M162=TRUE,$N162=TRUE),VLOOKUP($E162,RH!$B$47:$S$67,MONTH($G162)+6,FALSE)*$H162,0),0)</f>
        <v>19824.9294</v>
      </c>
      <c r="M162" s="99" t="b">
        <f t="shared" si="1"/>
        <v>1</v>
      </c>
      <c r="N162" s="99" t="b">
        <v>1</v>
      </c>
      <c r="O162" s="85" t="s">
        <v>127</v>
      </c>
      <c r="P162" s="68"/>
    </row>
    <row r="163" hidden="1">
      <c r="A163" s="68"/>
      <c r="B163" s="79"/>
      <c r="C163" s="77" t="s">
        <v>119</v>
      </c>
      <c r="D163" s="77" t="s">
        <v>134</v>
      </c>
      <c r="E163" s="77" t="s">
        <v>138</v>
      </c>
      <c r="F163" s="107" t="s">
        <v>139</v>
      </c>
      <c r="G163" s="94">
        <v>45323.0</v>
      </c>
      <c r="H163" s="95">
        <v>192.0</v>
      </c>
      <c r="I163" s="77" t="s">
        <v>69</v>
      </c>
      <c r="J163" s="96" t="s">
        <v>140</v>
      </c>
      <c r="K163" s="97">
        <f>IF(AND($M163=TRUE,$N163=TRUE),VLOOKUP($E163,RH!$B$47:$S$67,MONTH($G163)+6,FALSE))</f>
        <v>119.4044639</v>
      </c>
      <c r="L163" s="98">
        <f>IFERROR(IF(AND($M163=TRUE,$N163=TRUE),VLOOKUP($E163,RH!$B$47:$S$67,MONTH($G163)+6,FALSE)*$H163,0),0)</f>
        <v>22925.65707</v>
      </c>
      <c r="M163" s="99" t="b">
        <f t="shared" si="1"/>
        <v>1</v>
      </c>
      <c r="N163" s="99" t="b">
        <v>1</v>
      </c>
      <c r="O163" s="85" t="s">
        <v>127</v>
      </c>
      <c r="P163" s="68"/>
    </row>
    <row r="164" hidden="1">
      <c r="A164" s="68"/>
      <c r="B164" s="79"/>
      <c r="C164" s="77" t="s">
        <v>119</v>
      </c>
      <c r="D164" s="77" t="s">
        <v>131</v>
      </c>
      <c r="E164" s="77" t="s">
        <v>141</v>
      </c>
      <c r="F164" s="107" t="s">
        <v>142</v>
      </c>
      <c r="G164" s="94">
        <v>45323.0</v>
      </c>
      <c r="H164" s="95">
        <v>8.0</v>
      </c>
      <c r="I164" s="77" t="s">
        <v>69</v>
      </c>
      <c r="J164" s="96" t="s">
        <v>140</v>
      </c>
      <c r="K164" s="97">
        <f>IF(AND($M164=TRUE,$N164=TRUE),VLOOKUP($E164,RH!$B$47:$S$67,MONTH($G164)+6,FALSE))</f>
        <v>136.2022004</v>
      </c>
      <c r="L164" s="98">
        <f>IFERROR(IF(AND($M164=TRUE,$N164=TRUE),VLOOKUP($E164,RH!$B$47:$S$67,MONTH($G164)+6,FALSE)*$H164,0),0)</f>
        <v>1089.617603</v>
      </c>
      <c r="M164" s="99" t="b">
        <f t="shared" si="1"/>
        <v>1</v>
      </c>
      <c r="N164" s="99" t="b">
        <v>1</v>
      </c>
      <c r="O164" s="85" t="s">
        <v>91</v>
      </c>
      <c r="P164" s="68"/>
    </row>
    <row r="165" hidden="1">
      <c r="A165" s="68"/>
      <c r="B165" s="79"/>
      <c r="C165" s="77" t="s">
        <v>119</v>
      </c>
      <c r="D165" s="77" t="s">
        <v>123</v>
      </c>
      <c r="E165" s="77" t="s">
        <v>143</v>
      </c>
      <c r="F165" s="107" t="s">
        <v>144</v>
      </c>
      <c r="G165" s="94">
        <v>45323.0</v>
      </c>
      <c r="H165" s="95">
        <v>169.0</v>
      </c>
      <c r="I165" s="77" t="s">
        <v>70</v>
      </c>
      <c r="J165" s="96" t="s">
        <v>130</v>
      </c>
      <c r="K165" s="97">
        <f>IF(AND($M165=TRUE,$N165=TRUE),VLOOKUP($E165,RH!$B$47:$S$67,MONTH($G165)+6,FALSE))</f>
        <v>58.21404221</v>
      </c>
      <c r="L165" s="98">
        <f>IFERROR(IF(AND($M165=TRUE,$N165=TRUE),VLOOKUP($E165,RH!$B$47:$S$67,MONTH($G165)+6,FALSE)*$H165,0),0)</f>
        <v>9838.173133</v>
      </c>
      <c r="M165" s="99" t="b">
        <f t="shared" si="1"/>
        <v>1</v>
      </c>
      <c r="N165" s="99" t="b">
        <v>1</v>
      </c>
      <c r="O165" s="85" t="s">
        <v>91</v>
      </c>
      <c r="P165" s="68"/>
    </row>
    <row r="166" hidden="1">
      <c r="A166" s="68"/>
      <c r="B166" s="79"/>
      <c r="C166" s="77" t="s">
        <v>119</v>
      </c>
      <c r="D166" s="77" t="s">
        <v>145</v>
      </c>
      <c r="E166" s="77" t="s">
        <v>89</v>
      </c>
      <c r="F166" s="107" t="s">
        <v>121</v>
      </c>
      <c r="G166" s="94">
        <v>45352.0</v>
      </c>
      <c r="H166" s="95">
        <v>16.0</v>
      </c>
      <c r="I166" s="77" t="s">
        <v>70</v>
      </c>
      <c r="J166" s="96" t="s">
        <v>122</v>
      </c>
      <c r="K166" s="97">
        <f>IF(AND($M166=TRUE,$N166=TRUE),VLOOKUP($E166,RH!$B$47:$S$67,MONTH($G166)+6,FALSE))</f>
        <v>82.32166626</v>
      </c>
      <c r="L166" s="98">
        <f>IFERROR(IF(AND($M166=TRUE,$N166=TRUE),VLOOKUP($E166,RH!$B$47:$S$67,MONTH($G166)+6,FALSE)*$H166,0),0)</f>
        <v>1317.14666</v>
      </c>
      <c r="M166" s="99" t="b">
        <f t="shared" si="1"/>
        <v>1</v>
      </c>
      <c r="N166" s="99" t="b">
        <v>1</v>
      </c>
      <c r="O166" s="85" t="s">
        <v>91</v>
      </c>
      <c r="P166" s="68"/>
    </row>
    <row r="167" hidden="1">
      <c r="A167" s="68"/>
      <c r="B167" s="79"/>
      <c r="C167" s="77" t="s">
        <v>119</v>
      </c>
      <c r="D167" s="77" t="s">
        <v>123</v>
      </c>
      <c r="E167" s="77" t="s">
        <v>124</v>
      </c>
      <c r="F167" s="107" t="s">
        <v>125</v>
      </c>
      <c r="G167" s="94">
        <v>45352.0</v>
      </c>
      <c r="H167" s="95">
        <v>182.0</v>
      </c>
      <c r="I167" s="77" t="s">
        <v>70</v>
      </c>
      <c r="J167" s="96" t="s">
        <v>126</v>
      </c>
      <c r="K167" s="97">
        <f>IF(AND($M167=TRUE,$N167=TRUE),VLOOKUP($E167,RH!$B$47:$S$67,MONTH($G167)+6,FALSE))</f>
        <v>97.70127023</v>
      </c>
      <c r="L167" s="98">
        <f>IFERROR(IF(AND($M167=TRUE,$N167=TRUE),VLOOKUP($E167,RH!$B$47:$S$67,MONTH($G167)+6,FALSE)*$H167,0),0)</f>
        <v>17781.63118</v>
      </c>
      <c r="M167" s="99" t="b">
        <f t="shared" si="1"/>
        <v>1</v>
      </c>
      <c r="N167" s="99" t="b">
        <v>1</v>
      </c>
      <c r="O167" s="85" t="s">
        <v>127</v>
      </c>
      <c r="P167" s="68"/>
    </row>
    <row r="168" hidden="1">
      <c r="A168" s="68"/>
      <c r="B168" s="79"/>
      <c r="C168" s="77" t="s">
        <v>119</v>
      </c>
      <c r="D168" s="77" t="s">
        <v>131</v>
      </c>
      <c r="E168" s="77" t="s">
        <v>132</v>
      </c>
      <c r="F168" s="107" t="s">
        <v>133</v>
      </c>
      <c r="G168" s="94">
        <v>45352.0</v>
      </c>
      <c r="H168" s="95">
        <v>96.0</v>
      </c>
      <c r="I168" s="77" t="s">
        <v>70</v>
      </c>
      <c r="J168" s="96" t="s">
        <v>126</v>
      </c>
      <c r="K168" s="97">
        <f>IF(AND($M168=TRUE,$N168=TRUE),VLOOKUP($E168,RH!$B$47:$S$67,MONTH($G168)+6,FALSE))</f>
        <v>117.7199827</v>
      </c>
      <c r="L168" s="98">
        <f>IFERROR(IF(AND($M168=TRUE,$N168=TRUE),VLOOKUP($E168,RH!$B$47:$S$67,MONTH($G168)+6,FALSE)*$H168,0),0)</f>
        <v>11301.11834</v>
      </c>
      <c r="M168" s="99" t="b">
        <f t="shared" si="1"/>
        <v>1</v>
      </c>
      <c r="N168" s="99" t="b">
        <v>1</v>
      </c>
      <c r="O168" s="85" t="s">
        <v>127</v>
      </c>
      <c r="P168" s="68"/>
    </row>
    <row r="169" hidden="1">
      <c r="A169" s="68"/>
      <c r="B169" s="79"/>
      <c r="C169" s="77" t="s">
        <v>119</v>
      </c>
      <c r="D169" s="77" t="s">
        <v>134</v>
      </c>
      <c r="E169" s="77" t="s">
        <v>135</v>
      </c>
      <c r="F169" s="107" t="s">
        <v>136</v>
      </c>
      <c r="G169" s="94">
        <v>45352.0</v>
      </c>
      <c r="H169" s="95">
        <v>173.0</v>
      </c>
      <c r="I169" s="77" t="s">
        <v>70</v>
      </c>
      <c r="J169" s="96" t="s">
        <v>137</v>
      </c>
      <c r="K169" s="97">
        <f>IF(AND($M169=TRUE,$N169=TRUE),VLOOKUP($E169,RH!$B$47:$S$67,MONTH($G169)+6,FALSE))</f>
        <v>110.6284496</v>
      </c>
      <c r="L169" s="98">
        <f>IFERROR(IF(AND($M169=TRUE,$N169=TRUE),VLOOKUP($E169,RH!$B$47:$S$67,MONTH($G169)+6,FALSE)*$H169,0),0)</f>
        <v>19138.72178</v>
      </c>
      <c r="M169" s="99" t="b">
        <f t="shared" si="1"/>
        <v>1</v>
      </c>
      <c r="N169" s="99" t="b">
        <v>1</v>
      </c>
      <c r="O169" s="85" t="s">
        <v>127</v>
      </c>
      <c r="P169" s="68"/>
    </row>
    <row r="170" hidden="1">
      <c r="A170" s="68"/>
      <c r="B170" s="79"/>
      <c r="C170" s="77" t="s">
        <v>119</v>
      </c>
      <c r="D170" s="77" t="s">
        <v>134</v>
      </c>
      <c r="E170" s="77" t="s">
        <v>138</v>
      </c>
      <c r="F170" s="107" t="s">
        <v>139</v>
      </c>
      <c r="G170" s="101">
        <v>45352.0</v>
      </c>
      <c r="H170" s="95">
        <v>186.0</v>
      </c>
      <c r="I170" s="77" t="s">
        <v>69</v>
      </c>
      <c r="J170" s="96" t="s">
        <v>96</v>
      </c>
      <c r="K170" s="97">
        <f>IF(AND($M170=TRUE,$N170=TRUE),VLOOKUP($E170,RH!$B$47:$S$67,MONTH($G170)+6,FALSE))</f>
        <v>125.2661094</v>
      </c>
      <c r="L170" s="98">
        <f>IFERROR(IF(AND($M170=TRUE,$N170=TRUE),VLOOKUP($E170,RH!$B$47:$S$67,MONTH($G170)+6,FALSE)*$H170,0),0)</f>
        <v>23299.49635</v>
      </c>
      <c r="M170" s="99" t="b">
        <f t="shared" si="1"/>
        <v>1</v>
      </c>
      <c r="N170" s="99" t="b">
        <v>1</v>
      </c>
      <c r="O170" s="85" t="s">
        <v>127</v>
      </c>
      <c r="P170" s="68"/>
    </row>
    <row r="171" hidden="1">
      <c r="A171" s="68"/>
      <c r="B171" s="79"/>
      <c r="C171" s="102" t="s">
        <v>119</v>
      </c>
      <c r="D171" s="79" t="s">
        <v>131</v>
      </c>
      <c r="E171" s="102" t="s">
        <v>143</v>
      </c>
      <c r="F171" s="93" t="s">
        <v>144</v>
      </c>
      <c r="G171" s="93">
        <v>45352.0</v>
      </c>
      <c r="H171" s="103">
        <v>160.0</v>
      </c>
      <c r="I171" s="77" t="s">
        <v>70</v>
      </c>
      <c r="J171" s="96" t="s">
        <v>130</v>
      </c>
      <c r="K171" s="97">
        <f>IF(AND($M171=TRUE,$N171=TRUE),VLOOKUP($E171,RH!$B$47:$S$67,MONTH($G171)+6,FALSE))</f>
        <v>61.07180871</v>
      </c>
      <c r="L171" s="98">
        <f>IFERROR(IF(AND($M171=TRUE,$N171=TRUE),VLOOKUP($E171,RH!$B$47:$S$67,MONTH($G171)+6,FALSE)*$H171,0),0)</f>
        <v>9771.489394</v>
      </c>
      <c r="M171" s="99" t="b">
        <f t="shared" si="1"/>
        <v>1</v>
      </c>
      <c r="N171" s="99" t="b">
        <v>1</v>
      </c>
      <c r="O171" s="85" t="s">
        <v>91</v>
      </c>
      <c r="P171" s="68"/>
    </row>
    <row r="172" hidden="1">
      <c r="A172" s="68"/>
      <c r="B172" s="79"/>
      <c r="C172" s="102" t="s">
        <v>119</v>
      </c>
      <c r="D172" s="79" t="s">
        <v>145</v>
      </c>
      <c r="E172" s="77" t="s">
        <v>89</v>
      </c>
      <c r="F172" s="93" t="s">
        <v>121</v>
      </c>
      <c r="G172" s="93">
        <v>45383.0</v>
      </c>
      <c r="H172" s="103">
        <v>25.0</v>
      </c>
      <c r="I172" s="77" t="s">
        <v>70</v>
      </c>
      <c r="J172" s="96" t="s">
        <v>122</v>
      </c>
      <c r="K172" s="97">
        <f>IF(AND($M172=TRUE,$N172=TRUE),VLOOKUP($E172,RH!$B$47:$S$67,MONTH($G172)+6,FALSE))</f>
        <v>78.91805745</v>
      </c>
      <c r="L172" s="98">
        <f>IFERROR(IF(AND($M172=TRUE,$N172=TRUE),VLOOKUP($E172,RH!$B$47:$S$67,MONTH($G172)+6,FALSE)*$H172,0),0)</f>
        <v>1972.951436</v>
      </c>
      <c r="M172" s="99" t="b">
        <f t="shared" si="1"/>
        <v>1</v>
      </c>
      <c r="N172" s="99" t="b">
        <v>1</v>
      </c>
      <c r="O172" s="85" t="s">
        <v>91</v>
      </c>
      <c r="P172" s="68"/>
    </row>
    <row r="173" hidden="1">
      <c r="A173" s="68"/>
      <c r="B173" s="79"/>
      <c r="C173" s="102" t="s">
        <v>119</v>
      </c>
      <c r="D173" s="79" t="s">
        <v>123</v>
      </c>
      <c r="E173" s="102" t="s">
        <v>124</v>
      </c>
      <c r="F173" s="93" t="s">
        <v>125</v>
      </c>
      <c r="G173" s="94">
        <v>45383.0</v>
      </c>
      <c r="H173" s="103">
        <v>184.0</v>
      </c>
      <c r="I173" s="77" t="s">
        <v>70</v>
      </c>
      <c r="J173" s="96" t="s">
        <v>126</v>
      </c>
      <c r="K173" s="97">
        <f>IF(AND($M173=TRUE,$N173=TRUE),VLOOKUP($E173,RH!$B$47:$S$67,MONTH($G173)+6,FALSE))</f>
        <v>93.66178805</v>
      </c>
      <c r="L173" s="98">
        <f>IFERROR(IF(AND($M173=TRUE,$N173=TRUE),VLOOKUP($E173,RH!$B$47:$S$67,MONTH($G173)+6,FALSE)*$H173,0),0)</f>
        <v>17233.769</v>
      </c>
      <c r="M173" s="99" t="b">
        <f t="shared" si="1"/>
        <v>1</v>
      </c>
      <c r="N173" s="99" t="b">
        <v>1</v>
      </c>
      <c r="O173" s="85" t="s">
        <v>127</v>
      </c>
      <c r="P173" s="68"/>
    </row>
    <row r="174" hidden="1">
      <c r="A174" s="68"/>
      <c r="B174" s="79"/>
      <c r="C174" s="102" t="s">
        <v>119</v>
      </c>
      <c r="D174" s="79" t="s">
        <v>131</v>
      </c>
      <c r="E174" s="77" t="s">
        <v>132</v>
      </c>
      <c r="F174" s="93" t="s">
        <v>133</v>
      </c>
      <c r="G174" s="94">
        <v>45383.0</v>
      </c>
      <c r="H174" s="103">
        <v>196.0</v>
      </c>
      <c r="I174" s="77" t="s">
        <v>70</v>
      </c>
      <c r="J174" s="96" t="s">
        <v>126</v>
      </c>
      <c r="K174" s="97">
        <f>IF(AND($M174=TRUE,$N174=TRUE),VLOOKUP($E174,RH!$B$47:$S$67,MONTH($G174)+6,FALSE))</f>
        <v>112.8528222</v>
      </c>
      <c r="L174" s="98">
        <f>IFERROR(IF(AND($M174=TRUE,$N174=TRUE),VLOOKUP($E174,RH!$B$47:$S$67,MONTH($G174)+6,FALSE)*$H174,0),0)</f>
        <v>22119.15314</v>
      </c>
      <c r="M174" s="99" t="b">
        <f t="shared" si="1"/>
        <v>1</v>
      </c>
      <c r="N174" s="99" t="b">
        <v>1</v>
      </c>
      <c r="O174" s="85" t="s">
        <v>127</v>
      </c>
      <c r="P174" s="68"/>
    </row>
    <row r="175" hidden="1">
      <c r="A175" s="68"/>
      <c r="B175" s="79"/>
      <c r="C175" s="77" t="s">
        <v>119</v>
      </c>
      <c r="D175" s="77" t="s">
        <v>134</v>
      </c>
      <c r="E175" s="77" t="s">
        <v>135</v>
      </c>
      <c r="F175" s="107" t="s">
        <v>136</v>
      </c>
      <c r="G175" s="94">
        <v>45383.0</v>
      </c>
      <c r="H175" s="95">
        <v>180.0</v>
      </c>
      <c r="I175" s="77" t="s">
        <v>70</v>
      </c>
      <c r="J175" s="96" t="s">
        <v>137</v>
      </c>
      <c r="K175" s="97">
        <f>IF(AND($M175=TRUE,$N175=TRUE),VLOOKUP($E175,RH!$B$47:$S$67,MONTH($G175)+6,FALSE))</f>
        <v>106.0544901</v>
      </c>
      <c r="L175" s="98">
        <f>IFERROR(IF(AND($M175=TRUE,$N175=TRUE),VLOOKUP($E175,RH!$B$47:$S$67,MONTH($G175)+6,FALSE)*$H175,0),0)</f>
        <v>19089.80822</v>
      </c>
      <c r="M175" s="99" t="b">
        <f t="shared" si="1"/>
        <v>1</v>
      </c>
      <c r="N175" s="99" t="b">
        <v>1</v>
      </c>
      <c r="O175" s="85" t="s">
        <v>127</v>
      </c>
      <c r="P175" s="68"/>
    </row>
    <row r="176" hidden="1">
      <c r="A176" s="68"/>
      <c r="B176" s="79"/>
      <c r="C176" s="77" t="s">
        <v>119</v>
      </c>
      <c r="D176" s="77" t="s">
        <v>134</v>
      </c>
      <c r="E176" s="77" t="s">
        <v>138</v>
      </c>
      <c r="F176" s="107" t="s">
        <v>139</v>
      </c>
      <c r="G176" s="94">
        <v>45383.0</v>
      </c>
      <c r="H176" s="95">
        <v>193.0</v>
      </c>
      <c r="I176" s="77" t="s">
        <v>69</v>
      </c>
      <c r="J176" s="96" t="s">
        <v>96</v>
      </c>
      <c r="K176" s="97">
        <f>IF(AND($M176=TRUE,$N176=TRUE),VLOOKUP($E176,RH!$B$47:$S$67,MONTH($G176)+6,FALSE))</f>
        <v>120.0869524</v>
      </c>
      <c r="L176" s="98">
        <f>IFERROR(IF(AND($M176=TRUE,$N176=TRUE),VLOOKUP($E176,RH!$B$47:$S$67,MONTH($G176)+6,FALSE)*$H176,0),0)</f>
        <v>23176.78181</v>
      </c>
      <c r="M176" s="99" t="b">
        <f t="shared" si="1"/>
        <v>1</v>
      </c>
      <c r="N176" s="99" t="b">
        <v>1</v>
      </c>
      <c r="O176" s="85" t="s">
        <v>127</v>
      </c>
      <c r="P176" s="68"/>
    </row>
    <row r="177" hidden="1">
      <c r="A177" s="68"/>
      <c r="B177" s="79"/>
      <c r="C177" s="77" t="s">
        <v>119</v>
      </c>
      <c r="D177" s="77" t="s">
        <v>134</v>
      </c>
      <c r="E177" s="77" t="s">
        <v>98</v>
      </c>
      <c r="F177" s="107" t="s">
        <v>146</v>
      </c>
      <c r="G177" s="94">
        <v>45323.0</v>
      </c>
      <c r="H177" s="95">
        <v>43.0</v>
      </c>
      <c r="I177" s="77" t="s">
        <v>70</v>
      </c>
      <c r="J177" s="96" t="s">
        <v>130</v>
      </c>
      <c r="K177" s="97">
        <f>IF(AND($M177=TRUE,$N177=TRUE),VLOOKUP($E177,RH!$B$47:$S$67,MONTH($G177)+6,FALSE))</f>
        <v>13.50117979</v>
      </c>
      <c r="L177" s="98">
        <f>IFERROR(IF(AND($M177=TRUE,$N177=TRUE),VLOOKUP($E177,RH!$B$47:$S$67,MONTH($G177)+6,FALSE)*$H177,0),0)</f>
        <v>580.5507309</v>
      </c>
      <c r="M177" s="99" t="b">
        <f t="shared" si="1"/>
        <v>1</v>
      </c>
      <c r="N177" s="99" t="b">
        <v>1</v>
      </c>
      <c r="O177" s="85" t="s">
        <v>91</v>
      </c>
      <c r="P177" s="68"/>
    </row>
    <row r="178" hidden="1">
      <c r="A178" s="68"/>
      <c r="B178" s="79"/>
      <c r="C178" s="77" t="s">
        <v>119</v>
      </c>
      <c r="D178" s="77" t="s">
        <v>123</v>
      </c>
      <c r="E178" s="77" t="s">
        <v>141</v>
      </c>
      <c r="F178" s="107" t="s">
        <v>142</v>
      </c>
      <c r="G178" s="94">
        <v>45323.0</v>
      </c>
      <c r="H178" s="95">
        <v>4.0</v>
      </c>
      <c r="I178" s="77" t="s">
        <v>69</v>
      </c>
      <c r="J178" s="96" t="s">
        <v>140</v>
      </c>
      <c r="K178" s="97">
        <f>IF(AND($M178=TRUE,$N178=TRUE),VLOOKUP($E178,RH!$B$47:$S$67,MONTH($G178)+6,FALSE))</f>
        <v>136.2022004</v>
      </c>
      <c r="L178" s="98">
        <f>IFERROR(IF(AND($M178=TRUE,$N178=TRUE),VLOOKUP($E178,RH!$B$47:$S$67,MONTH($G178)+6,FALSE)*$H178,0),0)</f>
        <v>544.8088017</v>
      </c>
      <c r="M178" s="99" t="b">
        <f t="shared" si="1"/>
        <v>1</v>
      </c>
      <c r="N178" s="99" t="b">
        <v>1</v>
      </c>
      <c r="O178" s="85" t="s">
        <v>91</v>
      </c>
      <c r="P178" s="68"/>
    </row>
    <row r="179" hidden="1">
      <c r="A179" s="68"/>
      <c r="B179" s="79"/>
      <c r="C179" s="77" t="s">
        <v>119</v>
      </c>
      <c r="D179" s="77" t="s">
        <v>131</v>
      </c>
      <c r="E179" s="77" t="s">
        <v>143</v>
      </c>
      <c r="F179" s="107" t="s">
        <v>144</v>
      </c>
      <c r="G179" s="94">
        <v>45383.0</v>
      </c>
      <c r="H179" s="95">
        <v>166.0</v>
      </c>
      <c r="I179" s="77" t="s">
        <v>70</v>
      </c>
      <c r="J179" s="96" t="s">
        <v>130</v>
      </c>
      <c r="K179" s="97">
        <f>IF(AND($M179=TRUE,$N179=TRUE),VLOOKUP($E179,RH!$B$47:$S$67,MONTH($G179)+6,FALSE))</f>
        <v>58.5467803</v>
      </c>
      <c r="L179" s="98">
        <f>IFERROR(IF(AND($M179=TRUE,$N179=TRUE),VLOOKUP($E179,RH!$B$47:$S$67,MONTH($G179)+6,FALSE)*$H179,0),0)</f>
        <v>9718.76553</v>
      </c>
      <c r="M179" s="99" t="b">
        <f t="shared" si="1"/>
        <v>1</v>
      </c>
      <c r="N179" s="99" t="b">
        <v>1</v>
      </c>
      <c r="O179" s="85" t="s">
        <v>91</v>
      </c>
      <c r="P179" s="68"/>
    </row>
    <row r="180" hidden="1">
      <c r="A180" s="68"/>
      <c r="B180" s="79"/>
      <c r="C180" s="77" t="s">
        <v>119</v>
      </c>
      <c r="D180" s="77" t="s">
        <v>145</v>
      </c>
      <c r="E180" s="77" t="s">
        <v>89</v>
      </c>
      <c r="F180" s="107" t="s">
        <v>121</v>
      </c>
      <c r="G180" s="94">
        <v>45413.0</v>
      </c>
      <c r="H180" s="95">
        <v>9.0</v>
      </c>
      <c r="I180" s="77" t="s">
        <v>70</v>
      </c>
      <c r="J180" s="96" t="s">
        <v>122</v>
      </c>
      <c r="K180" s="97">
        <f>IF(AND($M180=TRUE,$N180=TRUE),VLOOKUP($E180,RH!$B$47:$S$67,MONTH($G180)+6,FALSE))</f>
        <v>78.87048779</v>
      </c>
      <c r="L180" s="98">
        <f>IFERROR(IF(AND($M180=TRUE,$N180=TRUE),VLOOKUP($E180,RH!$B$47:$S$67,MONTH($G180)+6,FALSE)*$H180,0),0)</f>
        <v>709.8343902</v>
      </c>
      <c r="M180" s="99" t="b">
        <f t="shared" si="1"/>
        <v>1</v>
      </c>
      <c r="N180" s="99" t="b">
        <v>1</v>
      </c>
      <c r="O180" s="85" t="s">
        <v>91</v>
      </c>
      <c r="P180" s="68"/>
    </row>
    <row r="181" hidden="1">
      <c r="A181" s="68"/>
      <c r="B181" s="79"/>
      <c r="C181" s="77" t="s">
        <v>119</v>
      </c>
      <c r="D181" s="77" t="s">
        <v>123</v>
      </c>
      <c r="E181" s="77" t="s">
        <v>124</v>
      </c>
      <c r="F181" s="107" t="s">
        <v>125</v>
      </c>
      <c r="G181" s="94">
        <v>45413.0</v>
      </c>
      <c r="H181" s="95">
        <v>216.0</v>
      </c>
      <c r="I181" s="77" t="s">
        <v>70</v>
      </c>
      <c r="J181" s="96" t="s">
        <v>126</v>
      </c>
      <c r="K181" s="97">
        <f>IF(AND($M181=TRUE,$N181=TRUE),VLOOKUP($E181,RH!$B$47:$S$67,MONTH($G181)+6,FALSE))</f>
        <v>93.60533128</v>
      </c>
      <c r="L181" s="98">
        <f>IFERROR(IF(AND($M181=TRUE,$N181=TRUE),VLOOKUP($E181,RH!$B$47:$S$67,MONTH($G181)+6,FALSE)*$H181,0),0)</f>
        <v>20218.75156</v>
      </c>
      <c r="M181" s="99" t="b">
        <f t="shared" si="1"/>
        <v>1</v>
      </c>
      <c r="N181" s="99" t="b">
        <v>1</v>
      </c>
      <c r="O181" s="85" t="s">
        <v>127</v>
      </c>
      <c r="P181" s="68"/>
    </row>
    <row r="182" hidden="1">
      <c r="A182" s="68"/>
      <c r="B182" s="79"/>
      <c r="C182" s="77" t="s">
        <v>119</v>
      </c>
      <c r="D182" s="77" t="s">
        <v>131</v>
      </c>
      <c r="E182" s="77" t="s">
        <v>132</v>
      </c>
      <c r="F182" s="107" t="s">
        <v>133</v>
      </c>
      <c r="G182" s="94">
        <v>45413.0</v>
      </c>
      <c r="H182" s="95">
        <v>205.0</v>
      </c>
      <c r="I182" s="77" t="s">
        <v>70</v>
      </c>
      <c r="J182" s="96" t="s">
        <v>126</v>
      </c>
      <c r="K182" s="97">
        <f>IF(AND($M182=TRUE,$N182=TRUE),VLOOKUP($E182,RH!$B$47:$S$67,MONTH($G182)+6,FALSE))</f>
        <v>112.7847975</v>
      </c>
      <c r="L182" s="98">
        <f>IFERROR(IF(AND($M182=TRUE,$N182=TRUE),VLOOKUP($E182,RH!$B$47:$S$67,MONTH($G182)+6,FALSE)*$H182,0),0)</f>
        <v>23120.8835</v>
      </c>
      <c r="M182" s="99" t="b">
        <f t="shared" si="1"/>
        <v>1</v>
      </c>
      <c r="N182" s="99" t="b">
        <v>1</v>
      </c>
      <c r="O182" s="85" t="s">
        <v>127</v>
      </c>
      <c r="P182" s="68"/>
    </row>
    <row r="183" hidden="1">
      <c r="A183" s="68"/>
      <c r="B183" s="79"/>
      <c r="C183" s="77" t="s">
        <v>119</v>
      </c>
      <c r="D183" s="77" t="s">
        <v>134</v>
      </c>
      <c r="E183" s="77" t="s">
        <v>135</v>
      </c>
      <c r="F183" s="107" t="s">
        <v>136</v>
      </c>
      <c r="G183" s="94">
        <v>45413.0</v>
      </c>
      <c r="H183" s="95">
        <v>204.0</v>
      </c>
      <c r="I183" s="77" t="s">
        <v>70</v>
      </c>
      <c r="J183" s="96" t="s">
        <v>137</v>
      </c>
      <c r="K183" s="97">
        <f>IF(AND($M183=TRUE,$N183=TRUE),VLOOKUP($E183,RH!$B$47:$S$67,MONTH($G183)+6,FALSE))</f>
        <v>105.9905634</v>
      </c>
      <c r="L183" s="98">
        <f>IFERROR(IF(AND($M183=TRUE,$N183=TRUE),VLOOKUP($E183,RH!$B$47:$S$67,MONTH($G183)+6,FALSE)*$H183,0),0)</f>
        <v>21622.07493</v>
      </c>
      <c r="M183" s="99" t="b">
        <f t="shared" si="1"/>
        <v>1</v>
      </c>
      <c r="N183" s="99" t="b">
        <v>1</v>
      </c>
      <c r="O183" s="85" t="s">
        <v>127</v>
      </c>
      <c r="P183" s="68"/>
    </row>
    <row r="184" hidden="1">
      <c r="A184" s="68"/>
      <c r="B184" s="79"/>
      <c r="C184" s="77" t="s">
        <v>119</v>
      </c>
      <c r="D184" s="77" t="s">
        <v>123</v>
      </c>
      <c r="E184" s="77" t="s">
        <v>138</v>
      </c>
      <c r="F184" s="107" t="s">
        <v>139</v>
      </c>
      <c r="G184" s="94">
        <v>45413.0</v>
      </c>
      <c r="H184" s="95">
        <v>133.0</v>
      </c>
      <c r="I184" s="77" t="s">
        <v>70</v>
      </c>
      <c r="J184" s="96" t="s">
        <v>137</v>
      </c>
      <c r="K184" s="97">
        <f>IF(AND($M184=TRUE,$N184=TRUE),VLOOKUP($E184,RH!$B$47:$S$67,MONTH($G184)+6,FALSE))</f>
        <v>120.0145673</v>
      </c>
      <c r="L184" s="98">
        <f>IFERROR(IF(AND($M184=TRUE,$N184=TRUE),VLOOKUP($E184,RH!$B$47:$S$67,MONTH($G184)+6,FALSE)*$H184,0),0)</f>
        <v>15961.93745</v>
      </c>
      <c r="M184" s="99" t="b">
        <f t="shared" si="1"/>
        <v>1</v>
      </c>
      <c r="N184" s="99" t="b">
        <v>1</v>
      </c>
      <c r="O184" s="85" t="s">
        <v>127</v>
      </c>
      <c r="P184" s="68"/>
    </row>
    <row r="185" hidden="1">
      <c r="A185" s="68"/>
      <c r="B185" s="79"/>
      <c r="C185" s="77" t="s">
        <v>119</v>
      </c>
      <c r="D185" s="77" t="s">
        <v>134</v>
      </c>
      <c r="E185" s="77" t="s">
        <v>98</v>
      </c>
      <c r="F185" s="107" t="s">
        <v>146</v>
      </c>
      <c r="G185" s="94">
        <v>45413.0</v>
      </c>
      <c r="H185" s="95">
        <v>9.0</v>
      </c>
      <c r="I185" s="77" t="s">
        <v>70</v>
      </c>
      <c r="J185" s="96" t="s">
        <v>130</v>
      </c>
      <c r="K185" s="97">
        <f>IF(AND($M185=TRUE,$N185=TRUE),VLOOKUP($E185,RH!$B$47:$S$67,MONTH($G185)+6,FALSE))</f>
        <v>13.57016477</v>
      </c>
      <c r="L185" s="98">
        <f>IFERROR(IF(AND($M185=TRUE,$N185=TRUE),VLOOKUP($E185,RH!$B$47:$S$67,MONTH($G185)+6,FALSE)*$H185,0),0)</f>
        <v>122.131483</v>
      </c>
      <c r="M185" s="99" t="b">
        <f t="shared" si="1"/>
        <v>1</v>
      </c>
      <c r="N185" s="99" t="b">
        <v>1</v>
      </c>
      <c r="O185" s="85" t="s">
        <v>91</v>
      </c>
      <c r="P185" s="68"/>
    </row>
    <row r="186" hidden="1">
      <c r="A186" s="68"/>
      <c r="B186" s="79"/>
      <c r="C186" s="77" t="s">
        <v>119</v>
      </c>
      <c r="D186" s="77" t="s">
        <v>134</v>
      </c>
      <c r="E186" s="77" t="s">
        <v>95</v>
      </c>
      <c r="F186" s="107" t="s">
        <v>129</v>
      </c>
      <c r="G186" s="94">
        <v>45323.0</v>
      </c>
      <c r="H186" s="95">
        <v>16.0</v>
      </c>
      <c r="I186" s="77" t="s">
        <v>70</v>
      </c>
      <c r="J186" s="96" t="s">
        <v>130</v>
      </c>
      <c r="K186" s="97">
        <f>IF(AND($M186=TRUE,$N186=TRUE),VLOOKUP($E186,RH!$B$47:$S$67,MONTH($G186)+6,FALSE))</f>
        <v>12.24733888</v>
      </c>
      <c r="L186" s="98">
        <f>IFERROR(IF(AND($M186=TRUE,$N186=TRUE),VLOOKUP($E186,RH!$B$47:$S$67,MONTH($G186)+6,FALSE)*$H186,0),0)</f>
        <v>195.9574221</v>
      </c>
      <c r="M186" s="99" t="b">
        <f t="shared" si="1"/>
        <v>1</v>
      </c>
      <c r="N186" s="99" t="b">
        <v>1</v>
      </c>
      <c r="O186" s="85" t="s">
        <v>91</v>
      </c>
      <c r="P186" s="68"/>
    </row>
    <row r="187" hidden="1">
      <c r="A187" s="68"/>
      <c r="B187" s="79"/>
      <c r="C187" s="77" t="s">
        <v>119</v>
      </c>
      <c r="D187" s="77" t="s">
        <v>134</v>
      </c>
      <c r="E187" s="77" t="s">
        <v>143</v>
      </c>
      <c r="F187" s="107" t="s">
        <v>144</v>
      </c>
      <c r="G187" s="94">
        <v>45413.0</v>
      </c>
      <c r="H187" s="95">
        <v>183.0</v>
      </c>
      <c r="I187" s="77" t="s">
        <v>70</v>
      </c>
      <c r="J187" s="96" t="s">
        <v>130</v>
      </c>
      <c r="K187" s="97">
        <f>IF(AND($M187=TRUE,$N187=TRUE),VLOOKUP($E187,RH!$B$47:$S$67,MONTH($G187)+6,FALSE))</f>
        <v>58.5114899</v>
      </c>
      <c r="L187" s="98">
        <f>IFERROR(IF(AND($M187=TRUE,$N187=TRUE),VLOOKUP($E187,RH!$B$47:$S$67,MONTH($G187)+6,FALSE)*$H187,0),0)</f>
        <v>10707.60265</v>
      </c>
      <c r="M187" s="99" t="b">
        <f t="shared" si="1"/>
        <v>1</v>
      </c>
      <c r="N187" s="99" t="b">
        <v>1</v>
      </c>
      <c r="O187" s="85" t="s">
        <v>91</v>
      </c>
      <c r="P187" s="68"/>
    </row>
    <row r="188" hidden="1">
      <c r="A188" s="68"/>
      <c r="B188" s="79"/>
      <c r="C188" s="77" t="s">
        <v>119</v>
      </c>
      <c r="D188" s="77" t="s">
        <v>145</v>
      </c>
      <c r="E188" s="77" t="s">
        <v>89</v>
      </c>
      <c r="F188" s="107" t="s">
        <v>121</v>
      </c>
      <c r="G188" s="94">
        <v>45444.0</v>
      </c>
      <c r="H188" s="95">
        <v>13.0</v>
      </c>
      <c r="I188" s="77" t="s">
        <v>70</v>
      </c>
      <c r="J188" s="96" t="s">
        <v>122</v>
      </c>
      <c r="K188" s="97">
        <f>IF(AND($M188=TRUE,$N188=TRUE),VLOOKUP($E188,RH!$B$47:$S$67,MONTH($G188)+6,FALSE))</f>
        <v>82.57854239</v>
      </c>
      <c r="L188" s="98">
        <f>IFERROR(IF(AND($M188=TRUE,$N188=TRUE),VLOOKUP($E188,RH!$B$47:$S$67,MONTH($G188)+6,FALSE)*$H188,0),0)</f>
        <v>1073.521051</v>
      </c>
      <c r="M188" s="99" t="b">
        <f t="shared" si="1"/>
        <v>1</v>
      </c>
      <c r="N188" s="99" t="b">
        <v>1</v>
      </c>
      <c r="O188" s="85" t="s">
        <v>91</v>
      </c>
      <c r="P188" s="68"/>
    </row>
    <row r="189" hidden="1">
      <c r="A189" s="68"/>
      <c r="B189" s="79"/>
      <c r="C189" s="77" t="s">
        <v>119</v>
      </c>
      <c r="D189" s="77" t="s">
        <v>123</v>
      </c>
      <c r="E189" s="77" t="s">
        <v>124</v>
      </c>
      <c r="F189" s="107" t="s">
        <v>125</v>
      </c>
      <c r="G189" s="94">
        <v>45444.0</v>
      </c>
      <c r="H189" s="95">
        <v>161.0</v>
      </c>
      <c r="I189" s="77" t="s">
        <v>70</v>
      </c>
      <c r="J189" s="96" t="s">
        <v>126</v>
      </c>
      <c r="K189" s="97">
        <f>IF(AND($M189=TRUE,$N189=TRUE),VLOOKUP($E189,RH!$B$47:$S$67,MONTH($G189)+6,FALSE))</f>
        <v>98.00613681</v>
      </c>
      <c r="L189" s="98">
        <f>IFERROR(IF(AND($M189=TRUE,$N189=TRUE),VLOOKUP($E189,RH!$B$47:$S$67,MONTH($G189)+6,FALSE)*$H189,0),0)</f>
        <v>15778.98803</v>
      </c>
      <c r="M189" s="99" t="b">
        <f t="shared" si="1"/>
        <v>1</v>
      </c>
      <c r="N189" s="99" t="b">
        <v>1</v>
      </c>
      <c r="O189" s="85" t="s">
        <v>127</v>
      </c>
      <c r="P189" s="68"/>
    </row>
    <row r="190" hidden="1">
      <c r="A190" s="68"/>
      <c r="B190" s="79"/>
      <c r="C190" s="77" t="s">
        <v>119</v>
      </c>
      <c r="D190" s="77" t="s">
        <v>131</v>
      </c>
      <c r="E190" s="77" t="s">
        <v>132</v>
      </c>
      <c r="F190" s="107" t="s">
        <v>133</v>
      </c>
      <c r="G190" s="94">
        <v>45444.0</v>
      </c>
      <c r="H190" s="95">
        <v>166.0</v>
      </c>
      <c r="I190" s="77" t="s">
        <v>70</v>
      </c>
      <c r="J190" s="96" t="s">
        <v>126</v>
      </c>
      <c r="K190" s="97">
        <f>IF(AND($M190=TRUE,$N190=TRUE),VLOOKUP($E190,RH!$B$47:$S$67,MONTH($G190)+6,FALSE))</f>
        <v>118.0873156</v>
      </c>
      <c r="L190" s="98">
        <f>IFERROR(IF(AND($M190=TRUE,$N190=TRUE),VLOOKUP($E190,RH!$B$47:$S$67,MONTH($G190)+6,FALSE)*$H190,0),0)</f>
        <v>19602.49439</v>
      </c>
      <c r="M190" s="99" t="b">
        <f t="shared" si="1"/>
        <v>1</v>
      </c>
      <c r="N190" s="99" t="b">
        <v>1</v>
      </c>
      <c r="O190" s="85" t="s">
        <v>127</v>
      </c>
      <c r="P190" s="68"/>
    </row>
    <row r="191" hidden="1">
      <c r="A191" s="68"/>
      <c r="B191" s="79"/>
      <c r="C191" s="77" t="s">
        <v>119</v>
      </c>
      <c r="D191" s="77" t="s">
        <v>134</v>
      </c>
      <c r="E191" s="77" t="s">
        <v>135</v>
      </c>
      <c r="F191" s="107" t="s">
        <v>136</v>
      </c>
      <c r="G191" s="94">
        <v>45444.0</v>
      </c>
      <c r="H191" s="95">
        <v>132.0</v>
      </c>
      <c r="I191" s="77" t="s">
        <v>70</v>
      </c>
      <c r="J191" s="96" t="s">
        <v>137</v>
      </c>
      <c r="K191" s="97">
        <f>IF(AND($M191=TRUE,$N191=TRUE),VLOOKUP($E191,RH!$B$47:$S$67,MONTH($G191)+6,FALSE))</f>
        <v>110.9736541</v>
      </c>
      <c r="L191" s="98">
        <f>IFERROR(IF(AND($M191=TRUE,$N191=TRUE),VLOOKUP($E191,RH!$B$47:$S$67,MONTH($G191)+6,FALSE)*$H191,0),0)</f>
        <v>14648.52234</v>
      </c>
      <c r="M191" s="99" t="b">
        <f t="shared" si="1"/>
        <v>1</v>
      </c>
      <c r="N191" s="99" t="b">
        <v>1</v>
      </c>
      <c r="O191" s="85" t="s">
        <v>127</v>
      </c>
      <c r="P191" s="68"/>
    </row>
    <row r="192" hidden="1">
      <c r="A192" s="68"/>
      <c r="B192" s="79"/>
      <c r="C192" s="77" t="s">
        <v>119</v>
      </c>
      <c r="D192" s="77" t="s">
        <v>123</v>
      </c>
      <c r="E192" s="77" t="s">
        <v>138</v>
      </c>
      <c r="F192" s="107" t="s">
        <v>139</v>
      </c>
      <c r="G192" s="94">
        <v>45444.0</v>
      </c>
      <c r="H192" s="95">
        <v>138.0</v>
      </c>
      <c r="I192" s="77" t="s">
        <v>70</v>
      </c>
      <c r="J192" s="96" t="s">
        <v>137</v>
      </c>
      <c r="K192" s="97">
        <f>IF(AND($M192=TRUE,$N192=TRUE),VLOOKUP($E192,RH!$B$47:$S$67,MONTH($G192)+6,FALSE))</f>
        <v>125.6569892</v>
      </c>
      <c r="L192" s="98">
        <f>IFERROR(IF(AND($M192=TRUE,$N192=TRUE),VLOOKUP($E192,RH!$B$47:$S$67,MONTH($G192)+6,FALSE)*$H192,0),0)</f>
        <v>17340.6645</v>
      </c>
      <c r="M192" s="99" t="b">
        <f t="shared" si="1"/>
        <v>1</v>
      </c>
      <c r="N192" s="99" t="b">
        <v>1</v>
      </c>
      <c r="O192" s="85" t="s">
        <v>127</v>
      </c>
      <c r="P192" s="68"/>
    </row>
    <row r="193" hidden="1">
      <c r="A193" s="68"/>
      <c r="B193" s="79"/>
      <c r="C193" s="77" t="s">
        <v>119</v>
      </c>
      <c r="D193" s="77" t="s">
        <v>131</v>
      </c>
      <c r="E193" s="77" t="s">
        <v>98</v>
      </c>
      <c r="F193" s="107" t="s">
        <v>146</v>
      </c>
      <c r="G193" s="94">
        <v>45444.0</v>
      </c>
      <c r="H193" s="95">
        <v>43.0</v>
      </c>
      <c r="I193" s="77" t="s">
        <v>70</v>
      </c>
      <c r="J193" s="96" t="s">
        <v>130</v>
      </c>
      <c r="K193" s="97">
        <f>IF(AND($M193=TRUE,$N193=TRUE),VLOOKUP($E193,RH!$B$47:$S$67,MONTH($G193)+6,FALSE))</f>
        <v>14.20815895</v>
      </c>
      <c r="L193" s="98">
        <f>IFERROR(IF(AND($M193=TRUE,$N193=TRUE),VLOOKUP($E193,RH!$B$47:$S$67,MONTH($G193)+6,FALSE)*$H193,0),0)</f>
        <v>610.9508348</v>
      </c>
      <c r="M193" s="99" t="b">
        <f t="shared" si="1"/>
        <v>1</v>
      </c>
      <c r="N193" s="99" t="b">
        <v>1</v>
      </c>
      <c r="O193" s="85" t="s">
        <v>91</v>
      </c>
      <c r="P193" s="68"/>
    </row>
    <row r="194" hidden="1">
      <c r="A194" s="68"/>
      <c r="B194" s="79"/>
      <c r="C194" s="77" t="s">
        <v>119</v>
      </c>
      <c r="D194" s="77" t="s">
        <v>131</v>
      </c>
      <c r="E194" s="77" t="s">
        <v>95</v>
      </c>
      <c r="F194" s="107" t="s">
        <v>129</v>
      </c>
      <c r="G194" s="94">
        <v>45444.0</v>
      </c>
      <c r="H194" s="95">
        <v>62.0</v>
      </c>
      <c r="I194" s="77" t="s">
        <v>70</v>
      </c>
      <c r="J194" s="96" t="s">
        <v>130</v>
      </c>
      <c r="K194" s="97">
        <f>IF(AND($M194=TRUE,$N194=TRUE),VLOOKUP($E194,RH!$B$47:$S$67,MONTH($G194)+6,FALSE))</f>
        <v>12.8886616</v>
      </c>
      <c r="L194" s="98">
        <f>IFERROR(IF(AND($M194=TRUE,$N194=TRUE),VLOOKUP($E194,RH!$B$47:$S$67,MONTH($G194)+6,FALSE)*$H194,0),0)</f>
        <v>799.0970192</v>
      </c>
      <c r="M194" s="99" t="b">
        <f t="shared" si="1"/>
        <v>1</v>
      </c>
      <c r="N194" s="99" t="b">
        <v>1</v>
      </c>
      <c r="O194" s="85" t="s">
        <v>91</v>
      </c>
      <c r="P194" s="68"/>
    </row>
    <row r="195" hidden="1">
      <c r="A195" s="68"/>
      <c r="B195" s="79"/>
      <c r="C195" s="77" t="s">
        <v>119</v>
      </c>
      <c r="D195" s="77" t="s">
        <v>123</v>
      </c>
      <c r="E195" s="77" t="s">
        <v>143</v>
      </c>
      <c r="F195" s="107" t="s">
        <v>144</v>
      </c>
      <c r="G195" s="94">
        <v>45444.0</v>
      </c>
      <c r="H195" s="95">
        <v>185.0</v>
      </c>
      <c r="I195" s="77" t="s">
        <v>70</v>
      </c>
      <c r="J195" s="96" t="s">
        <v>130</v>
      </c>
      <c r="K195" s="97">
        <f>IF(AND($M195=TRUE,$N195=TRUE),VLOOKUP($E195,RH!$B$47:$S$67,MONTH($G195)+6,FALSE))</f>
        <v>61.26237689</v>
      </c>
      <c r="L195" s="98">
        <f>IFERROR(IF(AND($M195=TRUE,$N195=TRUE),VLOOKUP($E195,RH!$B$47:$S$67,MONTH($G195)+6,FALSE)*$H195,0),0)</f>
        <v>11333.53973</v>
      </c>
      <c r="M195" s="99" t="b">
        <f t="shared" si="1"/>
        <v>1</v>
      </c>
      <c r="N195" s="99" t="b">
        <v>1</v>
      </c>
      <c r="O195" s="85" t="s">
        <v>91</v>
      </c>
      <c r="P195" s="68"/>
    </row>
    <row r="196" hidden="1">
      <c r="A196" s="68"/>
      <c r="B196" s="79"/>
      <c r="C196" s="77" t="s">
        <v>119</v>
      </c>
      <c r="D196" s="77" t="s">
        <v>123</v>
      </c>
      <c r="E196" s="77" t="s">
        <v>89</v>
      </c>
      <c r="F196" s="107" t="s">
        <v>121</v>
      </c>
      <c r="G196" s="94">
        <v>45474.0</v>
      </c>
      <c r="H196" s="95">
        <v>2.0</v>
      </c>
      <c r="I196" s="77" t="s">
        <v>70</v>
      </c>
      <c r="J196" s="96" t="s">
        <v>122</v>
      </c>
      <c r="K196" s="97">
        <f>IF(AND($M196=TRUE,$N196=TRUE),VLOOKUP($E196,RH!$B$47:$S$67,MONTH($G196)+6,FALSE))</f>
        <v>72.27278349</v>
      </c>
      <c r="L196" s="98">
        <f>IFERROR(IF(AND($M196=TRUE,$N196=TRUE),VLOOKUP($E196,RH!$B$47:$S$67,MONTH($G196)+6,FALSE)*$H196,0),0)</f>
        <v>144.545567</v>
      </c>
      <c r="M196" s="99" t="b">
        <f t="shared" si="1"/>
        <v>1</v>
      </c>
      <c r="N196" s="99" t="b">
        <v>1</v>
      </c>
      <c r="O196" s="85" t="s">
        <v>91</v>
      </c>
      <c r="P196" s="68"/>
    </row>
    <row r="197" hidden="1">
      <c r="A197" s="68"/>
      <c r="B197" s="79"/>
      <c r="C197" s="77" t="s">
        <v>119</v>
      </c>
      <c r="D197" s="77" t="s">
        <v>123</v>
      </c>
      <c r="E197" s="77" t="s">
        <v>124</v>
      </c>
      <c r="F197" s="93" t="s">
        <v>125</v>
      </c>
      <c r="G197" s="94">
        <v>45474.0</v>
      </c>
      <c r="H197" s="95">
        <v>231.0</v>
      </c>
      <c r="I197" s="77" t="s">
        <v>70</v>
      </c>
      <c r="J197" s="96" t="s">
        <v>126</v>
      </c>
      <c r="K197" s="97">
        <f>IF(AND($M197=TRUE,$N197=TRUE),VLOOKUP($E197,RH!$B$47:$S$67,MONTH($G197)+6,FALSE))</f>
        <v>91.27336288</v>
      </c>
      <c r="L197" s="98">
        <f>IFERROR(IF(AND($M197=TRUE,$N197=TRUE),VLOOKUP($E197,RH!$B$47:$S$67,MONTH($G197)+6,FALSE)*$H197,0),0)</f>
        <v>21084.14683</v>
      </c>
      <c r="M197" s="99" t="b">
        <f t="shared" si="1"/>
        <v>1</v>
      </c>
      <c r="N197" s="99" t="b">
        <v>1</v>
      </c>
      <c r="O197" s="85" t="s">
        <v>127</v>
      </c>
      <c r="P197" s="68"/>
    </row>
    <row r="198" hidden="1">
      <c r="A198" s="68"/>
      <c r="B198" s="79"/>
      <c r="C198" s="77" t="s">
        <v>119</v>
      </c>
      <c r="D198" s="77" t="s">
        <v>131</v>
      </c>
      <c r="E198" s="77" t="s">
        <v>132</v>
      </c>
      <c r="F198" s="93" t="s">
        <v>133</v>
      </c>
      <c r="G198" s="94">
        <v>45474.0</v>
      </c>
      <c r="H198" s="95">
        <v>113.0</v>
      </c>
      <c r="I198" s="77" t="s">
        <v>70</v>
      </c>
      <c r="J198" s="96" t="s">
        <v>126</v>
      </c>
      <c r="K198" s="97">
        <f>IF(AND($M198=TRUE,$N198=TRUE),VLOOKUP($E198,RH!$B$47:$S$67,MONTH($G198)+6,FALSE))</f>
        <v>103.3500804</v>
      </c>
      <c r="L198" s="98">
        <f>IFERROR(IF(AND($M198=TRUE,$N198=TRUE),VLOOKUP($E198,RH!$B$47:$S$67,MONTH($G198)+6,FALSE)*$H198,0),0)</f>
        <v>11678.55908</v>
      </c>
      <c r="M198" s="99" t="b">
        <f t="shared" si="1"/>
        <v>1</v>
      </c>
      <c r="N198" s="99" t="b">
        <v>1</v>
      </c>
      <c r="O198" s="85" t="s">
        <v>127</v>
      </c>
      <c r="P198" s="68"/>
    </row>
    <row r="199" hidden="1">
      <c r="A199" s="68"/>
      <c r="B199" s="79"/>
      <c r="C199" s="77" t="s">
        <v>119</v>
      </c>
      <c r="D199" s="77" t="s">
        <v>147</v>
      </c>
      <c r="E199" s="77" t="s">
        <v>135</v>
      </c>
      <c r="F199" s="93" t="s">
        <v>136</v>
      </c>
      <c r="G199" s="94">
        <v>45474.0</v>
      </c>
      <c r="H199" s="95">
        <v>128.0</v>
      </c>
      <c r="I199" s="77" t="s">
        <v>70</v>
      </c>
      <c r="J199" s="96" t="s">
        <v>137</v>
      </c>
      <c r="K199" s="97">
        <f>IF(AND($M199=TRUE,$N199=TRUE),VLOOKUP($E199,RH!$B$47:$S$67,MONTH($G199)+6,FALSE))</f>
        <v>97.12420009</v>
      </c>
      <c r="L199" s="98">
        <f>IFERROR(IF(AND($M199=TRUE,$N199=TRUE),VLOOKUP($E199,RH!$B$47:$S$67,MONTH($G199)+6,FALSE)*$H199,0),0)</f>
        <v>12431.89761</v>
      </c>
      <c r="M199" s="99" t="b">
        <f t="shared" si="1"/>
        <v>1</v>
      </c>
      <c r="N199" s="99" t="b">
        <v>1</v>
      </c>
      <c r="O199" s="85" t="s">
        <v>127</v>
      </c>
      <c r="P199" s="68"/>
    </row>
    <row r="200" hidden="1">
      <c r="A200" s="68"/>
      <c r="B200" s="79"/>
      <c r="C200" s="77" t="s">
        <v>119</v>
      </c>
      <c r="D200" s="77" t="s">
        <v>123</v>
      </c>
      <c r="E200" s="77" t="s">
        <v>138</v>
      </c>
      <c r="F200" s="93" t="s">
        <v>139</v>
      </c>
      <c r="G200" s="94">
        <v>45474.0</v>
      </c>
      <c r="H200" s="95">
        <v>223.0</v>
      </c>
      <c r="I200" s="77" t="s">
        <v>70</v>
      </c>
      <c r="J200" s="96" t="s">
        <v>137</v>
      </c>
      <c r="K200" s="97">
        <f>IF(AND($M200=TRUE,$N200=TRUE),VLOOKUP($E200,RH!$B$47:$S$67,MONTH($G200)+6,FALSE))</f>
        <v>109.9750626</v>
      </c>
      <c r="L200" s="98">
        <f>IFERROR(IF(AND($M200=TRUE,$N200=TRUE),VLOOKUP($E200,RH!$B$47:$S$67,MONTH($G200)+6,FALSE)*$H200,0),0)</f>
        <v>24524.43897</v>
      </c>
      <c r="M200" s="99" t="b">
        <f t="shared" si="1"/>
        <v>1</v>
      </c>
      <c r="N200" s="99" t="b">
        <v>1</v>
      </c>
      <c r="O200" s="85" t="s">
        <v>127</v>
      </c>
      <c r="P200" s="68"/>
    </row>
    <row r="201" hidden="1">
      <c r="A201" s="68"/>
      <c r="B201" s="79"/>
      <c r="C201" s="77" t="s">
        <v>119</v>
      </c>
      <c r="D201" s="77" t="s">
        <v>131</v>
      </c>
      <c r="E201" s="77" t="s">
        <v>98</v>
      </c>
      <c r="F201" s="93" t="s">
        <v>146</v>
      </c>
      <c r="G201" s="94">
        <v>45474.0</v>
      </c>
      <c r="H201" s="95">
        <v>15.0</v>
      </c>
      <c r="I201" s="77" t="s">
        <v>70</v>
      </c>
      <c r="J201" s="96" t="s">
        <v>130</v>
      </c>
      <c r="K201" s="97">
        <f>IF(AND($M201=TRUE,$N201=TRUE),VLOOKUP($E201,RH!$B$47:$S$67,MONTH($G201)+6,FALSE))</f>
        <v>12.43498814</v>
      </c>
      <c r="L201" s="98">
        <f>IFERROR(IF(AND($M201=TRUE,$N201=TRUE),VLOOKUP($E201,RH!$B$47:$S$67,MONTH($G201)+6,FALSE)*$H201,0),0)</f>
        <v>186.5248221</v>
      </c>
      <c r="M201" s="99" t="b">
        <f t="shared" si="1"/>
        <v>1</v>
      </c>
      <c r="N201" s="99" t="b">
        <v>1</v>
      </c>
      <c r="O201" s="85" t="s">
        <v>91</v>
      </c>
      <c r="P201" s="68"/>
    </row>
    <row r="202" hidden="1">
      <c r="A202" s="68"/>
      <c r="B202" s="79"/>
      <c r="C202" s="77" t="s">
        <v>119</v>
      </c>
      <c r="D202" s="77" t="s">
        <v>131</v>
      </c>
      <c r="E202" s="77" t="s">
        <v>95</v>
      </c>
      <c r="F202" s="93" t="s">
        <v>129</v>
      </c>
      <c r="G202" s="94">
        <v>45474.0</v>
      </c>
      <c r="H202" s="95">
        <v>35.0</v>
      </c>
      <c r="I202" s="77" t="s">
        <v>70</v>
      </c>
      <c r="J202" s="96" t="s">
        <v>130</v>
      </c>
      <c r="K202" s="97">
        <f>IF(AND($M202=TRUE,$N202=TRUE),VLOOKUP($E202,RH!$B$47:$S$67,MONTH($G202)+6,FALSE))</f>
        <v>11.28016337</v>
      </c>
      <c r="L202" s="98">
        <f>IFERROR(IF(AND($M202=TRUE,$N202=TRUE),VLOOKUP($E202,RH!$B$47:$S$67,MONTH($G202)+6,FALSE)*$H202,0),0)</f>
        <v>394.8057181</v>
      </c>
      <c r="M202" s="99" t="b">
        <f t="shared" si="1"/>
        <v>1</v>
      </c>
      <c r="N202" s="99" t="b">
        <v>1</v>
      </c>
      <c r="O202" s="85" t="s">
        <v>91</v>
      </c>
      <c r="P202" s="68"/>
    </row>
    <row r="203" hidden="1">
      <c r="A203" s="68"/>
      <c r="B203" s="79"/>
      <c r="C203" s="77" t="s">
        <v>119</v>
      </c>
      <c r="D203" s="77" t="s">
        <v>123</v>
      </c>
      <c r="E203" s="77" t="s">
        <v>143</v>
      </c>
      <c r="F203" s="93" t="s">
        <v>144</v>
      </c>
      <c r="G203" s="94">
        <v>45474.0</v>
      </c>
      <c r="H203" s="95">
        <v>179.0</v>
      </c>
      <c r="I203" s="77" t="s">
        <v>70</v>
      </c>
      <c r="J203" s="96" t="s">
        <v>130</v>
      </c>
      <c r="K203" s="97">
        <f>IF(AND($M203=TRUE,$N203=TRUE),VLOOKUP($E203,RH!$B$47:$S$67,MONTH($G203)+6,FALSE))</f>
        <v>53.6168643</v>
      </c>
      <c r="L203" s="98">
        <f>IFERROR(IF(AND($M203=TRUE,$N203=TRUE),VLOOKUP($E203,RH!$B$47:$S$67,MONTH($G203)+6,FALSE)*$H203,0),0)</f>
        <v>9597.418709</v>
      </c>
      <c r="M203" s="99" t="b">
        <f t="shared" si="1"/>
        <v>1</v>
      </c>
      <c r="N203" s="99" t="b">
        <v>1</v>
      </c>
      <c r="O203" s="85" t="s">
        <v>91</v>
      </c>
      <c r="P203" s="68"/>
    </row>
    <row r="204" hidden="1">
      <c r="A204" s="68"/>
      <c r="B204" s="79"/>
      <c r="C204" s="77" t="s">
        <v>119</v>
      </c>
      <c r="D204" s="77" t="s">
        <v>147</v>
      </c>
      <c r="E204" s="77" t="s">
        <v>148</v>
      </c>
      <c r="F204" s="93" t="s">
        <v>149</v>
      </c>
      <c r="G204" s="94">
        <v>45505.0</v>
      </c>
      <c r="H204" s="95">
        <v>1.0</v>
      </c>
      <c r="I204" s="77" t="s">
        <v>72</v>
      </c>
      <c r="J204" s="96" t="s">
        <v>150</v>
      </c>
      <c r="K204" s="97" t="b">
        <f>IF(AND($M204=TRUE,$N204=TRUE),VLOOKUP($E204,RH!$B$47:$S$67,MONTH($G204)+6,FALSE))</f>
        <v>0</v>
      </c>
      <c r="L204" s="98">
        <f>IFERROR(IF(AND($M204=TRUE,$N204=TRUE),VLOOKUP($E204,RH!$B$47:$S$67,MONTH($G204)+6,FALSE)*$H204,0),0)</f>
        <v>0</v>
      </c>
      <c r="M204" s="99" t="b">
        <f t="shared" si="1"/>
        <v>0</v>
      </c>
      <c r="N204" s="99" t="b">
        <v>1</v>
      </c>
      <c r="O204" s="85" t="s">
        <v>91</v>
      </c>
      <c r="P204" s="68"/>
    </row>
    <row r="205" hidden="1">
      <c r="A205" s="68"/>
      <c r="B205" s="79"/>
      <c r="C205" s="77" t="s">
        <v>119</v>
      </c>
      <c r="D205" s="77" t="s">
        <v>151</v>
      </c>
      <c r="E205" s="77" t="s">
        <v>124</v>
      </c>
      <c r="F205" s="93" t="s">
        <v>125</v>
      </c>
      <c r="G205" s="94">
        <v>45505.0</v>
      </c>
      <c r="H205" s="95">
        <v>221.0</v>
      </c>
      <c r="I205" s="77" t="s">
        <v>70</v>
      </c>
      <c r="J205" s="96" t="s">
        <v>126</v>
      </c>
      <c r="K205" s="97">
        <f>IF(AND($M205=TRUE,$N205=TRUE),VLOOKUP($E205,RH!$B$47:$S$67,MONTH($G205)+6,FALSE))</f>
        <v>95.47949715</v>
      </c>
      <c r="L205" s="98">
        <f>IFERROR(IF(AND($M205=TRUE,$N205=TRUE),VLOOKUP($E205,RH!$B$47:$S$67,MONTH($G205)+6,FALSE)*$H205,0),0)</f>
        <v>21100.96887</v>
      </c>
      <c r="M205" s="99" t="b">
        <f t="shared" si="1"/>
        <v>1</v>
      </c>
      <c r="N205" s="99" t="b">
        <v>1</v>
      </c>
      <c r="O205" s="85" t="s">
        <v>127</v>
      </c>
      <c r="P205" s="68"/>
    </row>
    <row r="206" hidden="1">
      <c r="A206" s="68"/>
      <c r="B206" s="79"/>
      <c r="C206" s="77" t="s">
        <v>119</v>
      </c>
      <c r="D206" s="77" t="s">
        <v>131</v>
      </c>
      <c r="E206" s="77" t="s">
        <v>132</v>
      </c>
      <c r="F206" s="93" t="s">
        <v>133</v>
      </c>
      <c r="G206" s="94">
        <v>45505.0</v>
      </c>
      <c r="H206" s="95">
        <v>179.0</v>
      </c>
      <c r="I206" s="77" t="s">
        <v>70</v>
      </c>
      <c r="J206" s="96" t="s">
        <v>126</v>
      </c>
      <c r="K206" s="97">
        <f>IF(AND($M206=TRUE,$N206=TRUE),VLOOKUP($E206,RH!$B$47:$S$67,MONTH($G206)+6,FALSE))</f>
        <v>108.1127439</v>
      </c>
      <c r="L206" s="98">
        <f>IFERROR(IF(AND($M206=TRUE,$N206=TRUE),VLOOKUP($E206,RH!$B$47:$S$67,MONTH($G206)+6,FALSE)*$H206,0),0)</f>
        <v>19352.18116</v>
      </c>
      <c r="M206" s="99" t="b">
        <f t="shared" si="1"/>
        <v>1</v>
      </c>
      <c r="N206" s="99" t="b">
        <v>1</v>
      </c>
      <c r="O206" s="85" t="s">
        <v>127</v>
      </c>
      <c r="P206" s="68"/>
    </row>
    <row r="207" hidden="1">
      <c r="A207" s="68"/>
      <c r="B207" s="79"/>
      <c r="C207" s="77" t="s">
        <v>119</v>
      </c>
      <c r="D207" s="77" t="s">
        <v>147</v>
      </c>
      <c r="E207" s="77" t="s">
        <v>135</v>
      </c>
      <c r="F207" s="93" t="s">
        <v>136</v>
      </c>
      <c r="G207" s="94">
        <v>45505.0</v>
      </c>
      <c r="H207" s="95">
        <v>167.0</v>
      </c>
      <c r="I207" s="77" t="s">
        <v>70</v>
      </c>
      <c r="J207" s="96" t="s">
        <v>137</v>
      </c>
      <c r="K207" s="97">
        <f>IF(AND($M207=TRUE,$N207=TRUE),VLOOKUP($E207,RH!$B$47:$S$67,MONTH($G207)+6,FALSE))</f>
        <v>101.5999575</v>
      </c>
      <c r="L207" s="98">
        <f>IFERROR(IF(AND($M207=TRUE,$N207=TRUE),VLOOKUP($E207,RH!$B$47:$S$67,MONTH($G207)+6,FALSE)*$H207,0),0)</f>
        <v>16967.19289</v>
      </c>
      <c r="M207" s="99" t="b">
        <f t="shared" si="1"/>
        <v>1</v>
      </c>
      <c r="N207" s="99" t="b">
        <v>1</v>
      </c>
      <c r="O207" s="85" t="s">
        <v>127</v>
      </c>
      <c r="P207" s="68"/>
    </row>
    <row r="208" hidden="1">
      <c r="A208" s="68"/>
      <c r="B208" s="79"/>
      <c r="C208" s="77" t="s">
        <v>119</v>
      </c>
      <c r="D208" s="77" t="s">
        <v>123</v>
      </c>
      <c r="E208" s="77" t="s">
        <v>138</v>
      </c>
      <c r="F208" s="93" t="s">
        <v>139</v>
      </c>
      <c r="G208" s="94">
        <v>45505.0</v>
      </c>
      <c r="H208" s="95">
        <v>204.0</v>
      </c>
      <c r="I208" s="77" t="s">
        <v>70</v>
      </c>
      <c r="J208" s="96" t="s">
        <v>137</v>
      </c>
      <c r="K208" s="97">
        <f>IF(AND($M208=TRUE,$N208=TRUE),VLOOKUP($E208,RH!$B$47:$S$67,MONTH($G208)+6,FALSE))</f>
        <v>115.043024</v>
      </c>
      <c r="L208" s="98">
        <f>IFERROR(IF(AND($M208=TRUE,$N208=TRUE),VLOOKUP($E208,RH!$B$47:$S$67,MONTH($G208)+6,FALSE)*$H208,0),0)</f>
        <v>23468.7769</v>
      </c>
      <c r="M208" s="99" t="b">
        <f t="shared" si="1"/>
        <v>1</v>
      </c>
      <c r="N208" s="99" t="b">
        <v>1</v>
      </c>
      <c r="O208" s="85" t="s">
        <v>127</v>
      </c>
      <c r="P208" s="68"/>
    </row>
    <row r="209" hidden="1">
      <c r="A209" s="68"/>
      <c r="B209" s="79"/>
      <c r="C209" s="77" t="s">
        <v>119</v>
      </c>
      <c r="D209" s="77" t="s">
        <v>131</v>
      </c>
      <c r="E209" s="77" t="s">
        <v>98</v>
      </c>
      <c r="F209" s="93" t="s">
        <v>146</v>
      </c>
      <c r="G209" s="94">
        <v>45505.0</v>
      </c>
      <c r="H209" s="95">
        <v>53.0</v>
      </c>
      <c r="I209" s="77" t="s">
        <v>70</v>
      </c>
      <c r="J209" s="96" t="s">
        <v>130</v>
      </c>
      <c r="K209" s="97">
        <f>IF(AND($M209=TRUE,$N209=TRUE),VLOOKUP($E209,RH!$B$47:$S$67,MONTH($G209)+6,FALSE))</f>
        <v>13.00802751</v>
      </c>
      <c r="L209" s="98">
        <f>IFERROR(IF(AND($M209=TRUE,$N209=TRUE),VLOOKUP($E209,RH!$B$47:$S$67,MONTH($G209)+6,FALSE)*$H209,0),0)</f>
        <v>689.4254578</v>
      </c>
      <c r="M209" s="99" t="b">
        <f t="shared" si="1"/>
        <v>1</v>
      </c>
      <c r="N209" s="99" t="b">
        <v>1</v>
      </c>
      <c r="O209" s="85" t="s">
        <v>91</v>
      </c>
      <c r="P209" s="68"/>
    </row>
    <row r="210" hidden="1">
      <c r="A210" s="68"/>
      <c r="B210" s="79"/>
      <c r="C210" s="77" t="s">
        <v>119</v>
      </c>
      <c r="D210" s="77" t="s">
        <v>131</v>
      </c>
      <c r="E210" s="77" t="s">
        <v>95</v>
      </c>
      <c r="F210" s="93" t="s">
        <v>129</v>
      </c>
      <c r="G210" s="94">
        <v>45505.0</v>
      </c>
      <c r="H210" s="95">
        <v>69.0</v>
      </c>
      <c r="I210" s="77" t="s">
        <v>70</v>
      </c>
      <c r="J210" s="96" t="s">
        <v>130</v>
      </c>
      <c r="K210" s="97">
        <f>IF(AND($M210=TRUE,$N210=TRUE),VLOOKUP($E210,RH!$B$47:$S$67,MONTH($G210)+6,FALSE))</f>
        <v>13.00802751</v>
      </c>
      <c r="L210" s="98">
        <f>IFERROR(IF(AND($M210=TRUE,$N210=TRUE),VLOOKUP($E210,RH!$B$47:$S$67,MONTH($G210)+6,FALSE)*$H210,0),0)</f>
        <v>897.5538979</v>
      </c>
      <c r="M210" s="99" t="b">
        <f t="shared" si="1"/>
        <v>1</v>
      </c>
      <c r="N210" s="99" t="b">
        <v>1</v>
      </c>
      <c r="O210" s="85" t="s">
        <v>91</v>
      </c>
      <c r="P210" s="68"/>
    </row>
    <row r="211" hidden="1">
      <c r="A211" s="68"/>
      <c r="B211" s="79"/>
      <c r="C211" s="77" t="s">
        <v>119</v>
      </c>
      <c r="D211" s="77" t="s">
        <v>123</v>
      </c>
      <c r="E211" s="77" t="s">
        <v>143</v>
      </c>
      <c r="F211" s="93" t="s">
        <v>144</v>
      </c>
      <c r="G211" s="94">
        <v>45505.0</v>
      </c>
      <c r="H211" s="95">
        <v>180.0</v>
      </c>
      <c r="I211" s="77" t="s">
        <v>70</v>
      </c>
      <c r="J211" s="96" t="s">
        <v>130</v>
      </c>
      <c r="K211" s="97">
        <f>IF(AND($M211=TRUE,$N211=TRUE),VLOOKUP($E211,RH!$B$47:$S$67,MONTH($G211)+6,FALSE))</f>
        <v>56.08768079</v>
      </c>
      <c r="L211" s="98">
        <f>IFERROR(IF(AND($M211=TRUE,$N211=TRUE),VLOOKUP($E211,RH!$B$47:$S$67,MONTH($G211)+6,FALSE)*$H211,0),0)</f>
        <v>10095.78254</v>
      </c>
      <c r="M211" s="99" t="b">
        <f t="shared" si="1"/>
        <v>1</v>
      </c>
      <c r="N211" s="99" t="b">
        <v>1</v>
      </c>
      <c r="O211" s="85" t="s">
        <v>91</v>
      </c>
      <c r="P211" s="68"/>
    </row>
    <row r="212" hidden="1">
      <c r="A212" s="68"/>
      <c r="B212" s="79"/>
      <c r="C212" s="77" t="s">
        <v>119</v>
      </c>
      <c r="D212" s="77" t="s">
        <v>147</v>
      </c>
      <c r="E212" s="77" t="s">
        <v>141</v>
      </c>
      <c r="F212" s="93" t="s">
        <v>142</v>
      </c>
      <c r="G212" s="94">
        <v>45292.0</v>
      </c>
      <c r="H212" s="95">
        <v>4.0</v>
      </c>
      <c r="I212" s="77" t="s">
        <v>69</v>
      </c>
      <c r="J212" s="96" t="s">
        <v>140</v>
      </c>
      <c r="K212" s="97">
        <f>IF(AND($M212=TRUE,$N212=TRUE),VLOOKUP($E212,RH!$B$47:$S$67,MONTH($G212)+6,FALSE))</f>
        <v>130.3039332</v>
      </c>
      <c r="L212" s="98">
        <f>IFERROR(IF(AND($M212=TRUE,$N212=TRUE),VLOOKUP($E212,RH!$B$47:$S$67,MONTH($G212)+6,FALSE)*$H212,0),0)</f>
        <v>521.2157329</v>
      </c>
      <c r="M212" s="99" t="b">
        <f t="shared" si="1"/>
        <v>1</v>
      </c>
      <c r="N212" s="99" t="b">
        <v>1</v>
      </c>
      <c r="O212" s="85" t="s">
        <v>91</v>
      </c>
      <c r="P212" s="68"/>
    </row>
    <row r="213" hidden="1">
      <c r="A213" s="68"/>
      <c r="B213" s="79"/>
      <c r="C213" s="77" t="s">
        <v>119</v>
      </c>
      <c r="D213" s="77" t="s">
        <v>151</v>
      </c>
      <c r="E213" s="77" t="s">
        <v>124</v>
      </c>
      <c r="F213" s="93" t="s">
        <v>125</v>
      </c>
      <c r="G213" s="94">
        <v>45536.0</v>
      </c>
      <c r="H213" s="95">
        <v>220.0</v>
      </c>
      <c r="I213" s="77" t="s">
        <v>70</v>
      </c>
      <c r="J213" s="96" t="s">
        <v>126</v>
      </c>
      <c r="K213" s="97">
        <f>IF(AND($M213=TRUE,$N213=TRUE),VLOOKUP($E213,RH!$B$47:$S$67,MONTH($G213)+6,FALSE))</f>
        <v>99.60560955</v>
      </c>
      <c r="L213" s="98">
        <f>IFERROR(IF(AND($M213=TRUE,$N213=TRUE),VLOOKUP($E213,RH!$B$47:$S$67,MONTH($G213)+6,FALSE)*$H213,0),0)</f>
        <v>21913.2341</v>
      </c>
      <c r="M213" s="99" t="b">
        <f t="shared" si="1"/>
        <v>1</v>
      </c>
      <c r="N213" s="99" t="b">
        <v>1</v>
      </c>
      <c r="O213" s="85" t="s">
        <v>127</v>
      </c>
      <c r="P213" s="68"/>
    </row>
    <row r="214" hidden="1">
      <c r="A214" s="68"/>
      <c r="B214" s="79"/>
      <c r="C214" s="77" t="s">
        <v>119</v>
      </c>
      <c r="D214" s="77" t="s">
        <v>131</v>
      </c>
      <c r="E214" s="77" t="s">
        <v>132</v>
      </c>
      <c r="F214" s="93" t="s">
        <v>133</v>
      </c>
      <c r="G214" s="94">
        <v>45536.0</v>
      </c>
      <c r="H214" s="95">
        <v>228.0</v>
      </c>
      <c r="I214" s="77" t="s">
        <v>70</v>
      </c>
      <c r="J214" s="96" t="s">
        <v>126</v>
      </c>
      <c r="K214" s="97">
        <f>IF(AND($M214=TRUE,$N214=TRUE),VLOOKUP($E214,RH!$B$47:$S$67,MONTH($G214)+6,FALSE))</f>
        <v>112.7847975</v>
      </c>
      <c r="L214" s="98">
        <f>IFERROR(IF(AND($M214=TRUE,$N214=TRUE),VLOOKUP($E214,RH!$B$47:$S$67,MONTH($G214)+6,FALSE)*$H214,0),0)</f>
        <v>25714.93384</v>
      </c>
      <c r="M214" s="99" t="b">
        <f t="shared" si="1"/>
        <v>1</v>
      </c>
      <c r="N214" s="99" t="b">
        <v>1</v>
      </c>
      <c r="O214" s="85" t="s">
        <v>127</v>
      </c>
      <c r="P214" s="68"/>
    </row>
    <row r="215" hidden="1">
      <c r="A215" s="68"/>
      <c r="B215" s="79"/>
      <c r="C215" s="77" t="s">
        <v>119</v>
      </c>
      <c r="D215" s="77" t="s">
        <v>147</v>
      </c>
      <c r="E215" s="77" t="s">
        <v>135</v>
      </c>
      <c r="F215" s="93" t="s">
        <v>136</v>
      </c>
      <c r="G215" s="94">
        <v>45536.0</v>
      </c>
      <c r="H215" s="95">
        <v>185.0</v>
      </c>
      <c r="I215" s="77" t="s">
        <v>70</v>
      </c>
      <c r="J215" s="96" t="s">
        <v>137</v>
      </c>
      <c r="K215" s="97">
        <f>IF(AND($M215=TRUE,$N215=TRUE),VLOOKUP($E215,RH!$B$47:$S$67,MONTH($G215)+6,FALSE))</f>
        <v>105.9905634</v>
      </c>
      <c r="L215" s="98">
        <f>IFERROR(IF(AND($M215=TRUE,$N215=TRUE),VLOOKUP($E215,RH!$B$47:$S$67,MONTH($G215)+6,FALSE)*$H215,0),0)</f>
        <v>19608.25422</v>
      </c>
      <c r="M215" s="99" t="b">
        <f t="shared" si="1"/>
        <v>1</v>
      </c>
      <c r="N215" s="99" t="b">
        <v>1</v>
      </c>
      <c r="O215" s="85" t="s">
        <v>127</v>
      </c>
      <c r="P215" s="68"/>
    </row>
    <row r="216" hidden="1">
      <c r="A216" s="68"/>
      <c r="B216" s="79"/>
      <c r="C216" s="77" t="s">
        <v>119</v>
      </c>
      <c r="D216" s="77" t="s">
        <v>123</v>
      </c>
      <c r="E216" s="77" t="s">
        <v>138</v>
      </c>
      <c r="F216" s="93" t="s">
        <v>139</v>
      </c>
      <c r="G216" s="94">
        <v>45536.0</v>
      </c>
      <c r="H216" s="95">
        <v>198.0</v>
      </c>
      <c r="I216" s="77" t="s">
        <v>70</v>
      </c>
      <c r="J216" s="96" t="s">
        <v>137</v>
      </c>
      <c r="K216" s="97">
        <f>IF(AND($M216=TRUE,$N216=TRUE),VLOOKUP($E216,RH!$B$47:$S$67,MONTH($G216)+6,FALSE))</f>
        <v>120.0145673</v>
      </c>
      <c r="L216" s="98">
        <f>IFERROR(IF(AND($M216=TRUE,$N216=TRUE),VLOOKUP($E216,RH!$B$47:$S$67,MONTH($G216)+6,FALSE)*$H216,0),0)</f>
        <v>23762.88432</v>
      </c>
      <c r="M216" s="99" t="b">
        <f t="shared" si="1"/>
        <v>1</v>
      </c>
      <c r="N216" s="99" t="b">
        <v>1</v>
      </c>
      <c r="O216" s="85" t="s">
        <v>127</v>
      </c>
      <c r="P216" s="68"/>
    </row>
    <row r="217" hidden="1">
      <c r="A217" s="68"/>
      <c r="B217" s="79"/>
      <c r="C217" s="77" t="s">
        <v>119</v>
      </c>
      <c r="D217" s="77" t="s">
        <v>131</v>
      </c>
      <c r="E217" s="77" t="s">
        <v>98</v>
      </c>
      <c r="F217" s="93" t="s">
        <v>146</v>
      </c>
      <c r="G217" s="94">
        <v>45536.0</v>
      </c>
      <c r="H217" s="95">
        <v>47.0</v>
      </c>
      <c r="I217" s="77" t="s">
        <v>70</v>
      </c>
      <c r="J217" s="96" t="s">
        <v>130</v>
      </c>
      <c r="K217" s="97">
        <f>IF(AND($M217=TRUE,$N217=TRUE),VLOOKUP($E217,RH!$B$47:$S$67,MONTH($G217)+6,FALSE))</f>
        <v>13.57016477</v>
      </c>
      <c r="L217" s="98">
        <f>IFERROR(IF(AND($M217=TRUE,$N217=TRUE),VLOOKUP($E217,RH!$B$47:$S$67,MONTH($G217)+6,FALSE)*$H217,0),0)</f>
        <v>637.7977443</v>
      </c>
      <c r="M217" s="99" t="b">
        <f t="shared" si="1"/>
        <v>1</v>
      </c>
      <c r="N217" s="99" t="b">
        <v>1</v>
      </c>
      <c r="O217" s="85" t="s">
        <v>91</v>
      </c>
      <c r="P217" s="68"/>
    </row>
    <row r="218" hidden="1">
      <c r="A218" s="68"/>
      <c r="B218" s="79"/>
      <c r="C218" s="77" t="s">
        <v>119</v>
      </c>
      <c r="D218" s="77" t="s">
        <v>131</v>
      </c>
      <c r="E218" s="77" t="s">
        <v>95</v>
      </c>
      <c r="F218" s="93" t="s">
        <v>129</v>
      </c>
      <c r="G218" s="94">
        <v>45536.0</v>
      </c>
      <c r="H218" s="95">
        <v>22.0</v>
      </c>
      <c r="I218" s="77" t="s">
        <v>70</v>
      </c>
      <c r="J218" s="96" t="s">
        <v>130</v>
      </c>
      <c r="K218" s="97">
        <f>IF(AND($M218=TRUE,$N218=TRUE),VLOOKUP($E218,RH!$B$47:$S$67,MONTH($G218)+6,FALSE))</f>
        <v>13.57016477</v>
      </c>
      <c r="L218" s="98">
        <f>IFERROR(IF(AND($M218=TRUE,$N218=TRUE),VLOOKUP($E218,RH!$B$47:$S$67,MONTH($G218)+6,FALSE)*$H218,0),0)</f>
        <v>298.543625</v>
      </c>
      <c r="M218" s="99" t="b">
        <f t="shared" si="1"/>
        <v>1</v>
      </c>
      <c r="N218" s="99" t="b">
        <v>1</v>
      </c>
      <c r="O218" s="85" t="s">
        <v>91</v>
      </c>
      <c r="P218" s="68"/>
    </row>
    <row r="219" hidden="1">
      <c r="A219" s="68"/>
      <c r="B219" s="79"/>
      <c r="C219" s="77" t="s">
        <v>119</v>
      </c>
      <c r="D219" s="77" t="s">
        <v>123</v>
      </c>
      <c r="E219" s="77" t="s">
        <v>143</v>
      </c>
      <c r="F219" s="93" t="s">
        <v>144</v>
      </c>
      <c r="G219" s="94">
        <v>45536.0</v>
      </c>
      <c r="H219" s="95">
        <v>188.0</v>
      </c>
      <c r="I219" s="77" t="s">
        <v>70</v>
      </c>
      <c r="J219" s="96" t="s">
        <v>130</v>
      </c>
      <c r="K219" s="97">
        <f>IF(AND($M219=TRUE,$N219=TRUE),VLOOKUP($E219,RH!$B$47:$S$67,MONTH($G219)+6,FALSE))</f>
        <v>58.5114899</v>
      </c>
      <c r="L219" s="98">
        <f>IFERROR(IF(AND($M219=TRUE,$N219=TRUE),VLOOKUP($E219,RH!$B$47:$S$67,MONTH($G219)+6,FALSE)*$H219,0),0)</f>
        <v>11000.1601</v>
      </c>
      <c r="M219" s="99" t="b">
        <f t="shared" si="1"/>
        <v>1</v>
      </c>
      <c r="N219" s="99" t="b">
        <v>1</v>
      </c>
      <c r="O219" s="85" t="s">
        <v>91</v>
      </c>
      <c r="P219" s="68"/>
    </row>
    <row r="220" hidden="1">
      <c r="A220" s="68"/>
      <c r="B220" s="79"/>
      <c r="C220" s="77" t="s">
        <v>119</v>
      </c>
      <c r="D220" s="77" t="s">
        <v>151</v>
      </c>
      <c r="E220" s="77" t="s">
        <v>124</v>
      </c>
      <c r="F220" s="93" t="s">
        <v>125</v>
      </c>
      <c r="G220" s="94">
        <v>45566.0</v>
      </c>
      <c r="H220" s="95">
        <v>181.0</v>
      </c>
      <c r="I220" s="77" t="s">
        <v>70</v>
      </c>
      <c r="J220" s="96" t="s">
        <v>126</v>
      </c>
      <c r="K220" s="97">
        <f>IF(AND($M220=TRUE,$N220=TRUE),VLOOKUP($E220,RH!$B$47:$S$67,MONTH($G220)+6,FALSE))</f>
        <v>94.80774092</v>
      </c>
      <c r="L220" s="98">
        <f>IFERROR(IF(AND($M220=TRUE,$N220=TRUE),VLOOKUP($E220,RH!$B$47:$S$67,MONTH($G220)+6,FALSE)*$H220,0),0)</f>
        <v>17160.20111</v>
      </c>
      <c r="M220" s="99" t="b">
        <f t="shared" si="1"/>
        <v>1</v>
      </c>
      <c r="N220" s="99" t="b">
        <v>1</v>
      </c>
      <c r="O220" s="85" t="s">
        <v>127</v>
      </c>
      <c r="P220" s="68"/>
    </row>
    <row r="221" hidden="1">
      <c r="A221" s="68"/>
      <c r="B221" s="79"/>
      <c r="C221" s="77" t="s">
        <v>119</v>
      </c>
      <c r="D221" s="77" t="s">
        <v>131</v>
      </c>
      <c r="E221" s="77" t="s">
        <v>132</v>
      </c>
      <c r="F221" s="93" t="s">
        <v>133</v>
      </c>
      <c r="G221" s="94">
        <v>45566.0</v>
      </c>
      <c r="H221" s="95">
        <v>138.0</v>
      </c>
      <c r="I221" s="77" t="s">
        <v>70</v>
      </c>
      <c r="J221" s="96" t="s">
        <v>126</v>
      </c>
      <c r="K221" s="97">
        <f>IF(AND($M221=TRUE,$N221=TRUE),VLOOKUP($E221,RH!$B$47:$S$67,MONTH($G221)+6,FALSE))</f>
        <v>107.3521051</v>
      </c>
      <c r="L221" s="98">
        <f>IFERROR(IF(AND($M221=TRUE,$N221=TRUE),VLOOKUP($E221,RH!$B$47:$S$67,MONTH($G221)+6,FALSE)*$H221,0),0)</f>
        <v>14814.59051</v>
      </c>
      <c r="M221" s="99" t="b">
        <f t="shared" si="1"/>
        <v>1</v>
      </c>
      <c r="N221" s="99" t="b">
        <v>1</v>
      </c>
      <c r="O221" s="85" t="s">
        <v>127</v>
      </c>
      <c r="P221" s="68"/>
    </row>
    <row r="222" hidden="1">
      <c r="A222" s="68"/>
      <c r="B222" s="79"/>
      <c r="C222" s="77" t="s">
        <v>119</v>
      </c>
      <c r="D222" s="77" t="s">
        <v>147</v>
      </c>
      <c r="E222" s="77" t="s">
        <v>135</v>
      </c>
      <c r="F222" s="93" t="s">
        <v>136</v>
      </c>
      <c r="G222" s="94">
        <v>45566.0</v>
      </c>
      <c r="H222" s="95">
        <v>214.0</v>
      </c>
      <c r="I222" s="77" t="s">
        <v>70</v>
      </c>
      <c r="J222" s="96" t="s">
        <v>137</v>
      </c>
      <c r="K222" s="97">
        <f>IF(AND($M222=TRUE,$N222=TRUE),VLOOKUP($E222,RH!$B$47:$S$67,MONTH($G222)+6,FALSE))</f>
        <v>100.8851401</v>
      </c>
      <c r="L222" s="98">
        <f>IFERROR(IF(AND($M222=TRUE,$N222=TRUE),VLOOKUP($E222,RH!$B$47:$S$67,MONTH($G222)+6,FALSE)*$H222,0),0)</f>
        <v>21589.41998</v>
      </c>
      <c r="M222" s="99" t="b">
        <f t="shared" si="1"/>
        <v>1</v>
      </c>
      <c r="N222" s="99" t="b">
        <v>1</v>
      </c>
      <c r="O222" s="85" t="s">
        <v>127</v>
      </c>
      <c r="P222" s="68"/>
    </row>
    <row r="223" hidden="1">
      <c r="A223" s="68"/>
      <c r="B223" s="79"/>
      <c r="C223" s="77" t="s">
        <v>119</v>
      </c>
      <c r="D223" s="77" t="s">
        <v>123</v>
      </c>
      <c r="E223" s="77" t="s">
        <v>138</v>
      </c>
      <c r="F223" s="93" t="s">
        <v>139</v>
      </c>
      <c r="G223" s="94">
        <v>45566.0</v>
      </c>
      <c r="H223" s="95">
        <v>274.0</v>
      </c>
      <c r="I223" s="77" t="s">
        <v>70</v>
      </c>
      <c r="J223" s="96" t="s">
        <v>137</v>
      </c>
      <c r="K223" s="97">
        <f>IF(AND($M223=TRUE,$N223=TRUE),VLOOKUP($E223,RH!$B$47:$S$67,MONTH($G223)+6,FALSE))</f>
        <v>114.2336265</v>
      </c>
      <c r="L223" s="98">
        <f>IFERROR(IF(AND($M223=TRUE,$N223=TRUE),VLOOKUP($E223,RH!$B$47:$S$67,MONTH($G223)+6,FALSE)*$H223,0),0)</f>
        <v>31300.01366</v>
      </c>
      <c r="M223" s="99" t="b">
        <f t="shared" si="1"/>
        <v>1</v>
      </c>
      <c r="N223" s="99" t="b">
        <v>1</v>
      </c>
      <c r="O223" s="85" t="s">
        <v>127</v>
      </c>
      <c r="P223" s="68"/>
    </row>
    <row r="224" hidden="1">
      <c r="A224" s="68"/>
      <c r="B224" s="79"/>
      <c r="C224" s="77" t="s">
        <v>119</v>
      </c>
      <c r="D224" s="77" t="s">
        <v>131</v>
      </c>
      <c r="E224" s="77" t="s">
        <v>98</v>
      </c>
      <c r="F224" s="93" t="s">
        <v>146</v>
      </c>
      <c r="G224" s="94">
        <v>45566.0</v>
      </c>
      <c r="H224" s="95">
        <v>52.0</v>
      </c>
      <c r="I224" s="77" t="s">
        <v>70</v>
      </c>
      <c r="J224" s="96" t="s">
        <v>130</v>
      </c>
      <c r="K224" s="97">
        <f>IF(AND($M224=TRUE,$N224=TRUE),VLOOKUP($E224,RH!$B$47:$S$67,MONTH($G224)+6,FALSE))</f>
        <v>12.91650814</v>
      </c>
      <c r="L224" s="98">
        <f>IFERROR(IF(AND($M224=TRUE,$N224=TRUE),VLOOKUP($E224,RH!$B$47:$S$67,MONTH($G224)+6,FALSE)*$H224,0),0)</f>
        <v>671.658423</v>
      </c>
      <c r="M224" s="99" t="b">
        <f t="shared" si="1"/>
        <v>1</v>
      </c>
      <c r="N224" s="99" t="b">
        <v>1</v>
      </c>
      <c r="O224" s="85" t="s">
        <v>91</v>
      </c>
      <c r="P224" s="68"/>
    </row>
    <row r="225" hidden="1">
      <c r="A225" s="68"/>
      <c r="B225" s="79"/>
      <c r="C225" s="77" t="s">
        <v>119</v>
      </c>
      <c r="D225" s="77" t="s">
        <v>131</v>
      </c>
      <c r="E225" s="77" t="s">
        <v>95</v>
      </c>
      <c r="F225" s="93" t="s">
        <v>129</v>
      </c>
      <c r="G225" s="94">
        <v>45566.0</v>
      </c>
      <c r="H225" s="95">
        <v>24.0</v>
      </c>
      <c r="I225" s="77" t="s">
        <v>70</v>
      </c>
      <c r="J225" s="96" t="s">
        <v>130</v>
      </c>
      <c r="K225" s="97">
        <f>IF(AND($M225=TRUE,$N225=TRUE),VLOOKUP($E225,RH!$B$47:$S$67,MONTH($G225)+6,FALSE))</f>
        <v>12.91650814</v>
      </c>
      <c r="L225" s="98">
        <f>IFERROR(IF(AND($M225=TRUE,$N225=TRUE),VLOOKUP($E225,RH!$B$47:$S$67,MONTH($G225)+6,FALSE)*$H225,0),0)</f>
        <v>309.9961952</v>
      </c>
      <c r="M225" s="99" t="b">
        <f t="shared" si="1"/>
        <v>1</v>
      </c>
      <c r="N225" s="99" t="b">
        <v>1</v>
      </c>
      <c r="O225" s="85" t="s">
        <v>91</v>
      </c>
      <c r="P225" s="68"/>
    </row>
    <row r="226" hidden="1">
      <c r="A226" s="68"/>
      <c r="B226" s="79"/>
      <c r="C226" s="77" t="s">
        <v>119</v>
      </c>
      <c r="D226" s="77" t="s">
        <v>123</v>
      </c>
      <c r="E226" s="77" t="s">
        <v>143</v>
      </c>
      <c r="F226" s="93" t="s">
        <v>144</v>
      </c>
      <c r="G226" s="94">
        <v>45566.0</v>
      </c>
      <c r="H226" s="95">
        <v>197.0</v>
      </c>
      <c r="I226" s="77" t="s">
        <v>70</v>
      </c>
      <c r="J226" s="96" t="s">
        <v>130</v>
      </c>
      <c r="K226" s="97">
        <f>IF(AND($M226=TRUE,$N226=TRUE),VLOOKUP($E226,RH!$B$47:$S$67,MONTH($G226)+6,FALSE))</f>
        <v>55.6930699</v>
      </c>
      <c r="L226" s="98">
        <f>IFERROR(IF(AND($M226=TRUE,$N226=TRUE),VLOOKUP($E226,RH!$B$47:$S$67,MONTH($G226)+6,FALSE)*$H226,0),0)</f>
        <v>10971.53477</v>
      </c>
      <c r="M226" s="99" t="b">
        <f t="shared" si="1"/>
        <v>1</v>
      </c>
      <c r="N226" s="99" t="b">
        <v>1</v>
      </c>
      <c r="O226" s="85" t="s">
        <v>91</v>
      </c>
      <c r="P226" s="68"/>
    </row>
    <row r="227" hidden="1">
      <c r="A227" s="68"/>
      <c r="B227" s="79"/>
      <c r="C227" s="77" t="s">
        <v>119</v>
      </c>
      <c r="D227" s="77" t="s">
        <v>147</v>
      </c>
      <c r="E227" s="77" t="s">
        <v>148</v>
      </c>
      <c r="F227" s="93" t="s">
        <v>149</v>
      </c>
      <c r="G227" s="94">
        <v>45597.0</v>
      </c>
      <c r="H227" s="95">
        <v>222.0</v>
      </c>
      <c r="I227" s="77" t="s">
        <v>72</v>
      </c>
      <c r="J227" s="96" t="s">
        <v>150</v>
      </c>
      <c r="K227" s="97" t="b">
        <f>IF(AND($M227=TRUE,$N227=TRUE),VLOOKUP($E227,RH!$B$47:$S$67,MONTH($G227)+6,FALSE))</f>
        <v>0</v>
      </c>
      <c r="L227" s="98">
        <f>IFERROR(IF(AND($M227=TRUE,$N227=TRUE),VLOOKUP($E227,RH!$B$47:$S$67,MONTH($G227)+6,FALSE)*$H227,0),0)</f>
        <v>0</v>
      </c>
      <c r="M227" s="99" t="b">
        <f t="shared" si="1"/>
        <v>0</v>
      </c>
      <c r="N227" s="99" t="b">
        <v>1</v>
      </c>
      <c r="O227" s="85" t="s">
        <v>91</v>
      </c>
      <c r="P227" s="68"/>
    </row>
    <row r="228" hidden="1">
      <c r="A228" s="68"/>
      <c r="B228" s="79"/>
      <c r="C228" s="77" t="s">
        <v>119</v>
      </c>
      <c r="D228" s="77" t="s">
        <v>151</v>
      </c>
      <c r="E228" s="77" t="s">
        <v>124</v>
      </c>
      <c r="F228" s="93" t="s">
        <v>125</v>
      </c>
      <c r="G228" s="94">
        <v>45597.0</v>
      </c>
      <c r="H228" s="95">
        <v>214.0</v>
      </c>
      <c r="I228" s="77" t="s">
        <v>70</v>
      </c>
      <c r="J228" s="96" t="s">
        <v>126</v>
      </c>
      <c r="K228" s="97">
        <f>IF(AND($M228=TRUE,$N228=TRUE),VLOOKUP($E228,RH!$B$47:$S$67,MONTH($G228)+6,FALSE))</f>
        <v>115.905324</v>
      </c>
      <c r="L228" s="98">
        <f>IFERROR(IF(AND($M228=TRUE,$N228=TRUE),VLOOKUP($E228,RH!$B$47:$S$67,MONTH($G228)+6,FALSE)*$H228,0),0)</f>
        <v>24803.73935</v>
      </c>
      <c r="M228" s="99" t="b">
        <f t="shared" si="1"/>
        <v>1</v>
      </c>
      <c r="N228" s="99" t="b">
        <v>1</v>
      </c>
      <c r="O228" s="85" t="s">
        <v>127</v>
      </c>
      <c r="P228" s="68"/>
    </row>
    <row r="229" hidden="1">
      <c r="A229" s="68"/>
      <c r="B229" s="79"/>
      <c r="C229" s="77" t="s">
        <v>119</v>
      </c>
      <c r="D229" s="77" t="s">
        <v>131</v>
      </c>
      <c r="E229" s="77" t="s">
        <v>132</v>
      </c>
      <c r="F229" s="93" t="s">
        <v>133</v>
      </c>
      <c r="G229" s="94">
        <v>45597.0</v>
      </c>
      <c r="H229" s="95">
        <v>201.0</v>
      </c>
      <c r="I229" s="77" t="s">
        <v>70</v>
      </c>
      <c r="J229" s="96" t="s">
        <v>126</v>
      </c>
      <c r="K229" s="97">
        <f>IF(AND($M229=TRUE,$N229=TRUE),VLOOKUP($E229,RH!$B$47:$S$67,MONTH($G229)+6,FALSE))</f>
        <v>131.2412575</v>
      </c>
      <c r="L229" s="98">
        <f>IFERROR(IF(AND($M229=TRUE,$N229=TRUE),VLOOKUP($E229,RH!$B$47:$S$67,MONTH($G229)+6,FALSE)*$H229,0),0)</f>
        <v>26379.49276</v>
      </c>
      <c r="M229" s="99" t="b">
        <f t="shared" si="1"/>
        <v>1</v>
      </c>
      <c r="N229" s="99" t="b">
        <v>1</v>
      </c>
      <c r="O229" s="85" t="s">
        <v>127</v>
      </c>
      <c r="P229" s="68"/>
    </row>
    <row r="230" hidden="1">
      <c r="A230" s="68"/>
      <c r="B230" s="79"/>
      <c r="C230" s="77" t="s">
        <v>119</v>
      </c>
      <c r="D230" s="77" t="s">
        <v>147</v>
      </c>
      <c r="E230" s="77" t="s">
        <v>135</v>
      </c>
      <c r="F230" s="93" t="s">
        <v>136</v>
      </c>
      <c r="G230" s="94">
        <v>45597.0</v>
      </c>
      <c r="H230" s="95">
        <v>116.0</v>
      </c>
      <c r="I230" s="77" t="s">
        <v>70</v>
      </c>
      <c r="J230" s="96" t="s">
        <v>137</v>
      </c>
      <c r="K230" s="97">
        <f>IF(AND($M230=TRUE,$N230=TRUE),VLOOKUP($E230,RH!$B$47:$S$67,MONTH($G230)+6,FALSE))</f>
        <v>123.3351886</v>
      </c>
      <c r="L230" s="98">
        <f>IFERROR(IF(AND($M230=TRUE,$N230=TRUE),VLOOKUP($E230,RH!$B$47:$S$67,MONTH($G230)+6,FALSE)*$H230,0),0)</f>
        <v>14306.88188</v>
      </c>
      <c r="M230" s="99" t="b">
        <f t="shared" si="1"/>
        <v>1</v>
      </c>
      <c r="N230" s="99" t="b">
        <v>1</v>
      </c>
      <c r="O230" s="85" t="s">
        <v>127</v>
      </c>
      <c r="P230" s="68"/>
    </row>
    <row r="231" hidden="1">
      <c r="A231" s="68"/>
      <c r="B231" s="79"/>
      <c r="C231" s="77" t="s">
        <v>119</v>
      </c>
      <c r="D231" s="77" t="s">
        <v>123</v>
      </c>
      <c r="E231" s="77" t="s">
        <v>138</v>
      </c>
      <c r="F231" s="93" t="s">
        <v>139</v>
      </c>
      <c r="G231" s="94">
        <v>45597.0</v>
      </c>
      <c r="H231" s="95">
        <v>18.0</v>
      </c>
      <c r="I231" s="77" t="s">
        <v>70</v>
      </c>
      <c r="J231" s="96" t="s">
        <v>137</v>
      </c>
      <c r="K231" s="97">
        <f>IF(AND($M231=TRUE,$N231=TRUE),VLOOKUP($E231,RH!$B$47:$S$67,MONTH($G231)+6,FALSE))</f>
        <v>139.6540907</v>
      </c>
      <c r="L231" s="98">
        <f>IFERROR(IF(AND($M231=TRUE,$N231=TRUE),VLOOKUP($E231,RH!$B$47:$S$67,MONTH($G231)+6,FALSE)*$H231,0),0)</f>
        <v>2513.773633</v>
      </c>
      <c r="M231" s="99" t="b">
        <f t="shared" si="1"/>
        <v>1</v>
      </c>
      <c r="N231" s="99" t="b">
        <v>1</v>
      </c>
      <c r="O231" s="85" t="s">
        <v>127</v>
      </c>
      <c r="P231" s="68"/>
    </row>
    <row r="232" hidden="1">
      <c r="A232" s="68"/>
      <c r="B232" s="79"/>
      <c r="C232" s="77" t="s">
        <v>119</v>
      </c>
      <c r="D232" s="77" t="s">
        <v>131</v>
      </c>
      <c r="E232" s="77" t="s">
        <v>98</v>
      </c>
      <c r="F232" s="93" t="s">
        <v>146</v>
      </c>
      <c r="G232" s="94">
        <v>45597.0</v>
      </c>
      <c r="H232" s="95">
        <v>3.0</v>
      </c>
      <c r="I232" s="77" t="s">
        <v>70</v>
      </c>
      <c r="J232" s="96" t="s">
        <v>130</v>
      </c>
      <c r="K232" s="97">
        <f>IF(AND($M232=TRUE,$N232=TRUE),VLOOKUP($E232,RH!$B$47:$S$67,MONTH($G232)+6,FALSE))</f>
        <v>15.79342094</v>
      </c>
      <c r="L232" s="98">
        <f>IFERROR(IF(AND($M232=TRUE,$N232=TRUE),VLOOKUP($E232,RH!$B$47:$S$67,MONTH($G232)+6,FALSE)*$H232,0),0)</f>
        <v>47.38026281</v>
      </c>
      <c r="M232" s="99" t="b">
        <f t="shared" si="1"/>
        <v>1</v>
      </c>
      <c r="N232" s="99" t="b">
        <v>1</v>
      </c>
      <c r="O232" s="85" t="s">
        <v>91</v>
      </c>
      <c r="P232" s="68"/>
    </row>
    <row r="233" hidden="1">
      <c r="A233" s="68"/>
      <c r="B233" s="79"/>
      <c r="C233" s="77" t="s">
        <v>119</v>
      </c>
      <c r="D233" s="77" t="s">
        <v>131</v>
      </c>
      <c r="E233" s="77" t="s">
        <v>95</v>
      </c>
      <c r="F233" s="93" t="s">
        <v>129</v>
      </c>
      <c r="G233" s="94">
        <v>45597.0</v>
      </c>
      <c r="H233" s="95">
        <v>152.0</v>
      </c>
      <c r="I233" s="77" t="s">
        <v>70</v>
      </c>
      <c r="J233" s="96" t="s">
        <v>130</v>
      </c>
      <c r="K233" s="97">
        <f>IF(AND($M233=TRUE,$N233=TRUE),VLOOKUP($E233,RH!$B$47:$S$67,MONTH($G233)+6,FALSE))</f>
        <v>15.79342094</v>
      </c>
      <c r="L233" s="98">
        <f>IFERROR(IF(AND($M233=TRUE,$N233=TRUE),VLOOKUP($E233,RH!$B$47:$S$67,MONTH($G233)+6,FALSE)*$H233,0),0)</f>
        <v>2400.599982</v>
      </c>
      <c r="M233" s="99" t="b">
        <f t="shared" si="1"/>
        <v>1</v>
      </c>
      <c r="N233" s="99" t="b">
        <v>1</v>
      </c>
      <c r="O233" s="85" t="s">
        <v>91</v>
      </c>
      <c r="P233" s="68"/>
    </row>
    <row r="234" hidden="1">
      <c r="A234" s="68"/>
      <c r="B234" s="79"/>
      <c r="C234" s="77" t="s">
        <v>119</v>
      </c>
      <c r="D234" s="77" t="s">
        <v>123</v>
      </c>
      <c r="E234" s="77" t="s">
        <v>143</v>
      </c>
      <c r="F234" s="93" t="s">
        <v>144</v>
      </c>
      <c r="G234" s="94">
        <v>45597.0</v>
      </c>
      <c r="H234" s="95">
        <v>1.0</v>
      </c>
      <c r="I234" s="77" t="s">
        <v>70</v>
      </c>
      <c r="J234" s="96" t="s">
        <v>130</v>
      </c>
      <c r="K234" s="97">
        <f>IF(AND($M234=TRUE,$N234=TRUE),VLOOKUP($E234,RH!$B$47:$S$67,MONTH($G234)+6,FALSE))</f>
        <v>68.08645632</v>
      </c>
      <c r="L234" s="98">
        <f>IFERROR(IF(AND($M234=TRUE,$N234=TRUE),VLOOKUP($E234,RH!$B$47:$S$67,MONTH($G234)+6,FALSE)*$H234,0),0)</f>
        <v>68.08645632</v>
      </c>
      <c r="M234" s="99" t="b">
        <f t="shared" si="1"/>
        <v>1</v>
      </c>
      <c r="N234" s="99" t="b">
        <v>1</v>
      </c>
      <c r="O234" s="85" t="s">
        <v>91</v>
      </c>
      <c r="P234" s="68"/>
    </row>
    <row r="235" hidden="1">
      <c r="A235" s="68"/>
      <c r="B235" s="79"/>
      <c r="C235" s="77" t="s">
        <v>119</v>
      </c>
      <c r="D235" s="77" t="s">
        <v>147</v>
      </c>
      <c r="E235" s="77" t="s">
        <v>148</v>
      </c>
      <c r="F235" s="93" t="s">
        <v>149</v>
      </c>
      <c r="G235" s="94">
        <v>45627.0</v>
      </c>
      <c r="H235" s="95">
        <v>53.0</v>
      </c>
      <c r="I235" s="77" t="s">
        <v>72</v>
      </c>
      <c r="J235" s="96" t="s">
        <v>150</v>
      </c>
      <c r="K235" s="97" t="b">
        <f>IF(AND($M235=TRUE,$N235=TRUE),VLOOKUP($E235,RH!$B$47:$S$67,MONTH($G235)+6,FALSE))</f>
        <v>0</v>
      </c>
      <c r="L235" s="98">
        <f>IFERROR(IF(AND($M235=TRUE,$N235=TRUE),VLOOKUP($E235,RH!$B$47:$S$67,MONTH($G235)+6,FALSE)*$H235,0),0)</f>
        <v>0</v>
      </c>
      <c r="M235" s="99" t="b">
        <f t="shared" si="1"/>
        <v>0</v>
      </c>
      <c r="N235" s="99" t="b">
        <v>1</v>
      </c>
      <c r="O235" s="85" t="s">
        <v>91</v>
      </c>
      <c r="P235" s="68"/>
    </row>
    <row r="236" hidden="1">
      <c r="A236" s="68"/>
      <c r="B236" s="79"/>
      <c r="C236" s="77" t="s">
        <v>119</v>
      </c>
      <c r="D236" s="77" t="s">
        <v>151</v>
      </c>
      <c r="E236" s="77" t="s">
        <v>124</v>
      </c>
      <c r="F236" s="93" t="s">
        <v>125</v>
      </c>
      <c r="G236" s="94">
        <v>45627.0</v>
      </c>
      <c r="H236" s="95">
        <v>175.0</v>
      </c>
      <c r="I236" s="77" t="s">
        <v>70</v>
      </c>
      <c r="J236" s="96" t="s">
        <v>126</v>
      </c>
      <c r="K236" s="97">
        <f>IF(AND($M236=TRUE,$N236=TRUE),VLOOKUP($E236,RH!$B$47:$S$67,MONTH($G236)+6,FALSE))</f>
        <v>104.5772596</v>
      </c>
      <c r="L236" s="98">
        <f>IFERROR(IF(AND($M236=TRUE,$N236=TRUE),VLOOKUP($E236,RH!$B$47:$S$67,MONTH($G236)+6,FALSE)*$H236,0),0)</f>
        <v>18301.02042</v>
      </c>
      <c r="M236" s="99" t="b">
        <f t="shared" si="1"/>
        <v>1</v>
      </c>
      <c r="N236" s="99" t="b">
        <v>1</v>
      </c>
      <c r="O236" s="85" t="s">
        <v>127</v>
      </c>
      <c r="P236" s="68"/>
    </row>
    <row r="237" hidden="1">
      <c r="A237" s="68"/>
      <c r="B237" s="79"/>
      <c r="C237" s="77" t="s">
        <v>119</v>
      </c>
      <c r="D237" s="77" t="s">
        <v>131</v>
      </c>
      <c r="E237" s="77" t="s">
        <v>132</v>
      </c>
      <c r="F237" s="93" t="s">
        <v>133</v>
      </c>
      <c r="G237" s="94">
        <v>45627.0</v>
      </c>
      <c r="H237" s="95">
        <v>97.0</v>
      </c>
      <c r="I237" s="77" t="s">
        <v>70</v>
      </c>
      <c r="J237" s="96" t="s">
        <v>126</v>
      </c>
      <c r="K237" s="97">
        <f>IF(AND($M237=TRUE,$N237=TRUE),VLOOKUP($E237,RH!$B$47:$S$67,MONTH($G237)+6,FALSE))</f>
        <v>118.414328</v>
      </c>
      <c r="L237" s="98">
        <f>IFERROR(IF(AND($M237=TRUE,$N237=TRUE),VLOOKUP($E237,RH!$B$47:$S$67,MONTH($G237)+6,FALSE)*$H237,0),0)</f>
        <v>11486.18981</v>
      </c>
      <c r="M237" s="99" t="b">
        <f t="shared" si="1"/>
        <v>1</v>
      </c>
      <c r="N237" s="99" t="b">
        <v>1</v>
      </c>
      <c r="O237" s="85" t="s">
        <v>127</v>
      </c>
      <c r="P237" s="68"/>
    </row>
    <row r="238" hidden="1">
      <c r="A238" s="68"/>
      <c r="B238" s="79"/>
      <c r="C238" s="77" t="s">
        <v>119</v>
      </c>
      <c r="D238" s="77" t="s">
        <v>147</v>
      </c>
      <c r="E238" s="77" t="s">
        <v>135</v>
      </c>
      <c r="F238" s="93" t="s">
        <v>136</v>
      </c>
      <c r="G238" s="94">
        <v>45627.0</v>
      </c>
      <c r="H238" s="95">
        <v>103.0</v>
      </c>
      <c r="I238" s="77" t="s">
        <v>70</v>
      </c>
      <c r="J238" s="96" t="s">
        <v>137</v>
      </c>
      <c r="K238" s="97">
        <f>IF(AND($M238=TRUE,$N238=TRUE),VLOOKUP($E238,RH!$B$47:$S$67,MONTH($G238)+6,FALSE))</f>
        <v>111.2809626</v>
      </c>
      <c r="L238" s="98">
        <f>IFERROR(IF(AND($M238=TRUE,$N238=TRUE),VLOOKUP($E238,RH!$B$47:$S$67,MONTH($G238)+6,FALSE)*$H238,0),0)</f>
        <v>11461.93915</v>
      </c>
      <c r="M238" s="99" t="b">
        <f t="shared" si="1"/>
        <v>1</v>
      </c>
      <c r="N238" s="99" t="b">
        <v>1</v>
      </c>
      <c r="O238" s="85" t="s">
        <v>127</v>
      </c>
      <c r="P238" s="68"/>
    </row>
    <row r="239" hidden="1">
      <c r="A239" s="68"/>
      <c r="B239" s="79"/>
      <c r="C239" s="77" t="s">
        <v>119</v>
      </c>
      <c r="D239" s="77" t="s">
        <v>123</v>
      </c>
      <c r="E239" s="77" t="s">
        <v>138</v>
      </c>
      <c r="F239" s="93" t="s">
        <v>139</v>
      </c>
      <c r="G239" s="94">
        <v>45627.0</v>
      </c>
      <c r="H239" s="95">
        <v>6.0</v>
      </c>
      <c r="I239" s="77" t="s">
        <v>70</v>
      </c>
      <c r="J239" s="96" t="s">
        <v>137</v>
      </c>
      <c r="K239" s="97">
        <f>IF(AND($M239=TRUE,$N239=TRUE),VLOOKUP($E239,RH!$B$47:$S$67,MONTH($G239)+6,FALSE))</f>
        <v>126.0049287</v>
      </c>
      <c r="L239" s="98">
        <f>IFERROR(IF(AND($M239=TRUE,$N239=TRUE),VLOOKUP($E239,RH!$B$47:$S$67,MONTH($G239)+6,FALSE)*$H239,0),0)</f>
        <v>756.0295722</v>
      </c>
      <c r="M239" s="99" t="b">
        <f t="shared" si="1"/>
        <v>1</v>
      </c>
      <c r="N239" s="99" t="b">
        <v>1</v>
      </c>
      <c r="O239" s="85" t="s">
        <v>127</v>
      </c>
      <c r="P239" s="68"/>
    </row>
    <row r="240" hidden="1">
      <c r="A240" s="68"/>
      <c r="B240" s="79"/>
      <c r="C240" s="77" t="s">
        <v>119</v>
      </c>
      <c r="D240" s="77" t="s">
        <v>131</v>
      </c>
      <c r="E240" s="77" t="s">
        <v>98</v>
      </c>
      <c r="F240" s="93" t="s">
        <v>146</v>
      </c>
      <c r="G240" s="94">
        <v>45627.0</v>
      </c>
      <c r="H240" s="95">
        <v>14.0</v>
      </c>
      <c r="I240" s="77" t="s">
        <v>70</v>
      </c>
      <c r="J240" s="96" t="s">
        <v>130</v>
      </c>
      <c r="K240" s="97">
        <f>IF(AND($M240=TRUE,$N240=TRUE),VLOOKUP($E240,RH!$B$47:$S$67,MONTH($G240)+6,FALSE))</f>
        <v>14.24984309</v>
      </c>
      <c r="L240" s="98">
        <f>IFERROR(IF(AND($M240=TRUE,$N240=TRUE),VLOOKUP($E240,RH!$B$47:$S$67,MONTH($G240)+6,FALSE)*$H240,0),0)</f>
        <v>199.4978032</v>
      </c>
      <c r="M240" s="99" t="b">
        <f t="shared" si="1"/>
        <v>1</v>
      </c>
      <c r="N240" s="99" t="b">
        <v>1</v>
      </c>
      <c r="O240" s="85" t="s">
        <v>91</v>
      </c>
      <c r="P240" s="68"/>
    </row>
    <row r="241" hidden="1">
      <c r="A241" s="68"/>
      <c r="B241" s="79"/>
      <c r="C241" s="77" t="s">
        <v>119</v>
      </c>
      <c r="D241" s="77" t="s">
        <v>131</v>
      </c>
      <c r="E241" s="77" t="s">
        <v>95</v>
      </c>
      <c r="F241" s="93" t="s">
        <v>129</v>
      </c>
      <c r="G241" s="94">
        <v>45627.0</v>
      </c>
      <c r="H241" s="95">
        <v>154.0</v>
      </c>
      <c r="I241" s="77" t="s">
        <v>70</v>
      </c>
      <c r="J241" s="96" t="s">
        <v>130</v>
      </c>
      <c r="K241" s="97">
        <f>IF(AND($M241=TRUE,$N241=TRUE),VLOOKUP($E241,RH!$B$47:$S$67,MONTH($G241)+6,FALSE))</f>
        <v>14.24984309</v>
      </c>
      <c r="L241" s="98">
        <f>IFERROR(IF(AND($M241=TRUE,$N241=TRUE),VLOOKUP($E241,RH!$B$47:$S$67,MONTH($G241)+6,FALSE)*$H241,0),0)</f>
        <v>2194.475836</v>
      </c>
      <c r="M241" s="99" t="b">
        <f t="shared" si="1"/>
        <v>1</v>
      </c>
      <c r="N241" s="99" t="b">
        <v>1</v>
      </c>
      <c r="O241" s="85" t="s">
        <v>91</v>
      </c>
      <c r="P241" s="68"/>
    </row>
    <row r="242" hidden="1">
      <c r="A242" s="68"/>
      <c r="B242" s="79"/>
      <c r="C242" s="77"/>
      <c r="D242" s="77"/>
      <c r="E242" s="77"/>
      <c r="F242" s="93"/>
      <c r="G242" s="94"/>
      <c r="H242" s="95"/>
      <c r="I242" s="77"/>
      <c r="J242" s="96"/>
      <c r="K242" s="97" t="b">
        <f>IF(AND($M242=TRUE,$N242=TRUE),VLOOKUP($E242,RH!$B$47:$S$67,MONTH($G242)+6,FALSE))</f>
        <v>0</v>
      </c>
      <c r="L242" s="98">
        <f>IFERROR(IF(AND($M242=TRUE,$N242=TRUE),VLOOKUP($E242,RH!$B$47:$S$67,MONTH($G242)+6,FALSE)*$H242,0),0)</f>
        <v>0</v>
      </c>
      <c r="M242" s="99" t="b">
        <f t="shared" si="1"/>
        <v>0</v>
      </c>
      <c r="N242" s="99"/>
      <c r="O242" s="85"/>
      <c r="P242" s="68"/>
    </row>
    <row r="243" hidden="1">
      <c r="A243" s="68"/>
      <c r="B243" s="79"/>
      <c r="C243" s="77" t="s">
        <v>53</v>
      </c>
      <c r="D243" s="77" t="s">
        <v>152</v>
      </c>
      <c r="E243" s="77" t="s">
        <v>153</v>
      </c>
      <c r="F243" s="93"/>
      <c r="G243" s="94">
        <v>45314.0</v>
      </c>
      <c r="H243" s="95">
        <v>16.0</v>
      </c>
      <c r="I243" s="77" t="s">
        <v>70</v>
      </c>
      <c r="J243" s="96" t="s">
        <v>154</v>
      </c>
      <c r="K243" s="97" t="b">
        <f>IF(AND($M243=TRUE,$N243=TRUE),VLOOKUP($E243,RH!$B$47:$S$67,MONTH($G243)+6,FALSE))</f>
        <v>0</v>
      </c>
      <c r="L243" s="98">
        <f>IFERROR(IF(AND($M243=TRUE,$N243=TRUE),VLOOKUP($E243,RH!$B$47:$S$67,MONTH($G243)+6,FALSE)*$H243,0),0)</f>
        <v>0</v>
      </c>
      <c r="M243" s="99" t="b">
        <f t="shared" si="1"/>
        <v>1</v>
      </c>
      <c r="N243" s="99" t="b">
        <v>0</v>
      </c>
      <c r="O243" s="85" t="s">
        <v>91</v>
      </c>
      <c r="P243" s="68"/>
    </row>
    <row r="244" hidden="1">
      <c r="A244" s="68"/>
      <c r="B244" s="79"/>
      <c r="C244" s="77" t="s">
        <v>53</v>
      </c>
      <c r="D244" s="77" t="s">
        <v>155</v>
      </c>
      <c r="E244" s="77" t="s">
        <v>153</v>
      </c>
      <c r="F244" s="93"/>
      <c r="G244" s="94">
        <v>45338.0</v>
      </c>
      <c r="H244" s="95">
        <v>8.0</v>
      </c>
      <c r="I244" s="77" t="s">
        <v>70</v>
      </c>
      <c r="J244" s="96" t="s">
        <v>156</v>
      </c>
      <c r="K244" s="97" t="b">
        <f>IF(AND($M244=TRUE,$N244=TRUE),VLOOKUP($E244,RH!$B$47:$S$67,MONTH($G244)+6,FALSE))</f>
        <v>0</v>
      </c>
      <c r="L244" s="98">
        <f>IFERROR(IF(AND($M244=TRUE,$N244=TRUE),VLOOKUP($E244,RH!$B$47:$S$67,MONTH($G244)+6,FALSE)*$H244,0),0)</f>
        <v>0</v>
      </c>
      <c r="M244" s="99" t="b">
        <f t="shared" si="1"/>
        <v>1</v>
      </c>
      <c r="N244" s="99" t="b">
        <v>0</v>
      </c>
      <c r="O244" s="85" t="s">
        <v>91</v>
      </c>
      <c r="P244" s="68"/>
    </row>
    <row r="245" hidden="1">
      <c r="A245" s="68"/>
      <c r="B245" s="79"/>
      <c r="C245" s="77" t="s">
        <v>53</v>
      </c>
      <c r="D245" s="77" t="s">
        <v>157</v>
      </c>
      <c r="E245" s="77" t="s">
        <v>153</v>
      </c>
      <c r="F245" s="93"/>
      <c r="G245" s="94">
        <v>45343.0</v>
      </c>
      <c r="H245" s="95">
        <v>40.0</v>
      </c>
      <c r="I245" s="77" t="s">
        <v>70</v>
      </c>
      <c r="J245" s="96" t="s">
        <v>158</v>
      </c>
      <c r="K245" s="97" t="b">
        <f>IF(AND($M245=TRUE,$N245=TRUE),VLOOKUP($E245,RH!$B$47:$S$67,MONTH($G245)+6,FALSE))</f>
        <v>0</v>
      </c>
      <c r="L245" s="98">
        <f>IFERROR(IF(AND($M245=TRUE,$N245=TRUE),VLOOKUP($E245,RH!$B$47:$S$67,MONTH($G245)+6,FALSE)*$H245,0),0)</f>
        <v>0</v>
      </c>
      <c r="M245" s="99" t="b">
        <f t="shared" si="1"/>
        <v>1</v>
      </c>
      <c r="N245" s="99" t="b">
        <v>0</v>
      </c>
      <c r="O245" s="85" t="s">
        <v>91</v>
      </c>
      <c r="P245" s="68"/>
    </row>
    <row r="246" hidden="1">
      <c r="A246" s="68"/>
      <c r="B246" s="79"/>
      <c r="C246" s="77" t="s">
        <v>53</v>
      </c>
      <c r="D246" s="77" t="s">
        <v>159</v>
      </c>
      <c r="E246" s="77" t="s">
        <v>153</v>
      </c>
      <c r="F246" s="93"/>
      <c r="G246" s="94">
        <v>45436.0</v>
      </c>
      <c r="H246" s="95">
        <v>40.0</v>
      </c>
      <c r="I246" s="77" t="s">
        <v>70</v>
      </c>
      <c r="J246" s="96" t="s">
        <v>160</v>
      </c>
      <c r="K246" s="97" t="b">
        <f>IF(AND($M246=TRUE,$N246=TRUE),VLOOKUP($E246,RH!$B$47:$S$67,MONTH($G246)+6,FALSE))</f>
        <v>0</v>
      </c>
      <c r="L246" s="98">
        <f>IFERROR(IF(AND($M246=TRUE,$N246=TRUE),VLOOKUP($E246,RH!$B$47:$S$67,MONTH($G246)+6,FALSE)*$H246,0),0)</f>
        <v>0</v>
      </c>
      <c r="M246" s="99" t="b">
        <f t="shared" si="1"/>
        <v>1</v>
      </c>
      <c r="N246" s="99" t="b">
        <v>0</v>
      </c>
      <c r="O246" s="85" t="s">
        <v>91</v>
      </c>
      <c r="P246" s="68"/>
    </row>
    <row r="247" hidden="1">
      <c r="A247" s="68"/>
      <c r="B247" s="79"/>
      <c r="C247" s="77" t="s">
        <v>53</v>
      </c>
      <c r="D247" s="77" t="s">
        <v>161</v>
      </c>
      <c r="E247" s="77" t="s">
        <v>153</v>
      </c>
      <c r="F247" s="93"/>
      <c r="G247" s="94">
        <v>45468.0</v>
      </c>
      <c r="H247" s="95">
        <v>40.0</v>
      </c>
      <c r="I247" s="77" t="s">
        <v>70</v>
      </c>
      <c r="J247" s="96" t="s">
        <v>162</v>
      </c>
      <c r="K247" s="97" t="b">
        <f>IF(AND($M247=TRUE,$N247=TRUE),VLOOKUP($E247,RH!$B$47:$S$67,MONTH($G247)+6,FALSE))</f>
        <v>0</v>
      </c>
      <c r="L247" s="98">
        <f>IFERROR(IF(AND($M247=TRUE,$N247=TRUE),VLOOKUP($E247,RH!$B$47:$S$67,MONTH($G247)+6,FALSE)*$H247,0),0)</f>
        <v>0</v>
      </c>
      <c r="M247" s="99" t="b">
        <f t="shared" si="1"/>
        <v>1</v>
      </c>
      <c r="N247" s="99" t="b">
        <v>0</v>
      </c>
      <c r="O247" s="85" t="s">
        <v>91</v>
      </c>
      <c r="P247" s="68"/>
    </row>
    <row r="248" hidden="1">
      <c r="A248" s="68"/>
      <c r="B248" s="79"/>
      <c r="C248" s="77" t="s">
        <v>53</v>
      </c>
      <c r="D248" s="77" t="s">
        <v>163</v>
      </c>
      <c r="E248" s="77" t="s">
        <v>153</v>
      </c>
      <c r="F248" s="93"/>
      <c r="G248" s="94">
        <v>45558.0</v>
      </c>
      <c r="H248" s="95">
        <v>40.0</v>
      </c>
      <c r="I248" s="77" t="s">
        <v>70</v>
      </c>
      <c r="J248" s="96" t="s">
        <v>164</v>
      </c>
      <c r="K248" s="97" t="b">
        <f>IF(AND($M248=TRUE,$N248=TRUE),VLOOKUP($E248,RH!$B$47:$S$67,MONTH($G248)+6,FALSE))</f>
        <v>0</v>
      </c>
      <c r="L248" s="98">
        <f>IFERROR(IF(AND($M248=TRUE,$N248=TRUE),VLOOKUP($E248,RH!$B$47:$S$67,MONTH($G248)+6,FALSE)*$H248,0),0)</f>
        <v>0</v>
      </c>
      <c r="M248" s="99" t="b">
        <f t="shared" si="1"/>
        <v>1</v>
      </c>
      <c r="N248" s="99" t="b">
        <v>0</v>
      </c>
      <c r="O248" s="85" t="s">
        <v>91</v>
      </c>
      <c r="P248" s="68"/>
    </row>
    <row r="249" hidden="1">
      <c r="A249" s="68"/>
      <c r="B249" s="79"/>
      <c r="C249" s="77" t="s">
        <v>54</v>
      </c>
      <c r="D249" s="77" t="s">
        <v>165</v>
      </c>
      <c r="E249" s="77" t="s">
        <v>153</v>
      </c>
      <c r="F249" s="93"/>
      <c r="G249" s="94">
        <v>45321.0</v>
      </c>
      <c r="H249" s="95">
        <v>8.0</v>
      </c>
      <c r="I249" s="77" t="s">
        <v>70</v>
      </c>
      <c r="J249" s="96" t="s">
        <v>166</v>
      </c>
      <c r="K249" s="97">
        <f>IF(AND($M249=TRUE,$N249=TRUE),VLOOKUP($E249,RH!$B$47:$S$67,MONTH($G249)+6,FALSE))</f>
        <v>52.76254341</v>
      </c>
      <c r="L249" s="98">
        <f>IFERROR(IF(AND($M249=TRUE,$N249=TRUE),VLOOKUP($E249,RH!$B$47:$S$67,MONTH($G249)+6,FALSE)*$H249,0),0)</f>
        <v>422.1003472</v>
      </c>
      <c r="M249" s="99" t="b">
        <f t="shared" si="1"/>
        <v>1</v>
      </c>
      <c r="N249" s="99" t="b">
        <v>1</v>
      </c>
      <c r="O249" s="85" t="s">
        <v>91</v>
      </c>
      <c r="P249" s="68"/>
    </row>
    <row r="250" hidden="1">
      <c r="A250" s="68"/>
      <c r="B250" s="79"/>
      <c r="C250" s="77"/>
      <c r="D250" s="77" t="s">
        <v>165</v>
      </c>
      <c r="E250" s="77" t="s">
        <v>167</v>
      </c>
      <c r="F250" s="93"/>
      <c r="G250" s="94">
        <v>45321.0</v>
      </c>
      <c r="H250" s="95">
        <v>8.0</v>
      </c>
      <c r="I250" s="77" t="s">
        <v>70</v>
      </c>
      <c r="J250" s="96" t="s">
        <v>166</v>
      </c>
      <c r="K250" s="97" t="b">
        <f>IF(AND($M250=TRUE,$N250=TRUE),VLOOKUP($E250,RH!$B$47:$S$67,MONTH($G250)+6,FALSE))</f>
        <v>0</v>
      </c>
      <c r="L250" s="98">
        <f>IFERROR(IF(AND($M250=TRUE,$N250=TRUE),VLOOKUP($E250,RH!$B$47:$S$67,MONTH($G250)+6,FALSE)*$H250,0),0)</f>
        <v>0</v>
      </c>
      <c r="M250" s="99" t="b">
        <f t="shared" si="1"/>
        <v>1</v>
      </c>
      <c r="N250" s="99"/>
      <c r="O250" s="85" t="s">
        <v>91</v>
      </c>
      <c r="P250" s="68"/>
    </row>
    <row r="251" hidden="1">
      <c r="A251" s="68"/>
      <c r="B251" s="79"/>
      <c r="C251" s="77" t="s">
        <v>54</v>
      </c>
      <c r="D251" s="77" t="s">
        <v>165</v>
      </c>
      <c r="E251" s="77" t="s">
        <v>153</v>
      </c>
      <c r="F251" s="93"/>
      <c r="G251" s="94">
        <v>45334.0</v>
      </c>
      <c r="H251" s="95">
        <v>8.0</v>
      </c>
      <c r="I251" s="77" t="s">
        <v>70</v>
      </c>
      <c r="J251" s="96" t="s">
        <v>168</v>
      </c>
      <c r="K251" s="97">
        <f>IF(AND($M251=TRUE,$N251=TRUE),VLOOKUP($E251,RH!$B$47:$S$67,MONTH($G251)+6,FALSE))</f>
        <v>55.15086409</v>
      </c>
      <c r="L251" s="98">
        <f>IFERROR(IF(AND($M251=TRUE,$N251=TRUE),VLOOKUP($E251,RH!$B$47:$S$67,MONTH($G251)+6,FALSE)*$H251,0),0)</f>
        <v>441.2069127</v>
      </c>
      <c r="M251" s="99" t="b">
        <f t="shared" si="1"/>
        <v>1</v>
      </c>
      <c r="N251" s="99" t="b">
        <v>1</v>
      </c>
      <c r="O251" s="85" t="s">
        <v>91</v>
      </c>
      <c r="P251" s="68"/>
    </row>
    <row r="252" hidden="1">
      <c r="A252" s="68"/>
      <c r="B252" s="79"/>
      <c r="C252" s="77"/>
      <c r="D252" s="77" t="s">
        <v>165</v>
      </c>
      <c r="E252" s="77" t="s">
        <v>167</v>
      </c>
      <c r="F252" s="93"/>
      <c r="G252" s="94">
        <v>45334.0</v>
      </c>
      <c r="H252" s="95">
        <v>8.0</v>
      </c>
      <c r="I252" s="77" t="s">
        <v>70</v>
      </c>
      <c r="J252" s="96" t="s">
        <v>168</v>
      </c>
      <c r="K252" s="97" t="b">
        <f>IF(AND($M252=TRUE,$N252=TRUE),VLOOKUP($E252,RH!$B$47:$S$67,MONTH($G252)+6,FALSE))</f>
        <v>0</v>
      </c>
      <c r="L252" s="98">
        <f>IFERROR(IF(AND($M252=TRUE,$N252=TRUE),VLOOKUP($E252,RH!$B$47:$S$67,MONTH($G252)+6,FALSE)*$H252,0),0)</f>
        <v>0</v>
      </c>
      <c r="M252" s="99" t="b">
        <f t="shared" si="1"/>
        <v>1</v>
      </c>
      <c r="N252" s="99"/>
      <c r="O252" s="85" t="s">
        <v>91</v>
      </c>
      <c r="P252" s="68"/>
    </row>
    <row r="253" hidden="1">
      <c r="A253" s="68"/>
      <c r="B253" s="79"/>
      <c r="C253" s="77" t="s">
        <v>54</v>
      </c>
      <c r="D253" s="77" t="s">
        <v>165</v>
      </c>
      <c r="E253" s="77" t="s">
        <v>153</v>
      </c>
      <c r="F253" s="93"/>
      <c r="G253" s="94">
        <v>45379.0</v>
      </c>
      <c r="H253" s="95">
        <v>8.0</v>
      </c>
      <c r="I253" s="77" t="s">
        <v>70</v>
      </c>
      <c r="J253" s="96" t="s">
        <v>169</v>
      </c>
      <c r="K253" s="97">
        <f>IF(AND($M253=TRUE,$N253=TRUE),VLOOKUP($E253,RH!$B$47:$S$67,MONTH($G253)+6,FALSE))</f>
        <v>57.85825712</v>
      </c>
      <c r="L253" s="98">
        <f>IFERROR(IF(AND($M253=TRUE,$N253=TRUE),VLOOKUP($E253,RH!$B$47:$S$67,MONTH($G253)+6,FALSE)*$H253,0),0)</f>
        <v>462.8660569</v>
      </c>
      <c r="M253" s="99" t="b">
        <f t="shared" si="1"/>
        <v>1</v>
      </c>
      <c r="N253" s="99" t="b">
        <v>1</v>
      </c>
      <c r="O253" s="85" t="s">
        <v>91</v>
      </c>
      <c r="P253" s="68"/>
    </row>
    <row r="254" hidden="1">
      <c r="A254" s="68"/>
      <c r="B254" s="79"/>
      <c r="C254" s="77"/>
      <c r="D254" s="77" t="s">
        <v>165</v>
      </c>
      <c r="E254" s="77" t="s">
        <v>167</v>
      </c>
      <c r="F254" s="93"/>
      <c r="G254" s="94">
        <v>45379.0</v>
      </c>
      <c r="H254" s="95">
        <v>8.0</v>
      </c>
      <c r="I254" s="77" t="s">
        <v>70</v>
      </c>
      <c r="J254" s="96" t="s">
        <v>169</v>
      </c>
      <c r="K254" s="97" t="b">
        <f>IF(AND($M254=TRUE,$N254=TRUE),VLOOKUP($E254,RH!$B$47:$S$67,MONTH($G254)+6,FALSE))</f>
        <v>0</v>
      </c>
      <c r="L254" s="98">
        <f>IFERROR(IF(AND($M254=TRUE,$N254=TRUE),VLOOKUP($E254,RH!$B$47:$S$67,MONTH($G254)+6,FALSE)*$H254,0),0)</f>
        <v>0</v>
      </c>
      <c r="M254" s="99" t="b">
        <f t="shared" si="1"/>
        <v>1</v>
      </c>
      <c r="N254" s="99"/>
      <c r="O254" s="85" t="s">
        <v>91</v>
      </c>
      <c r="P254" s="68"/>
    </row>
    <row r="255" hidden="1">
      <c r="A255" s="68"/>
      <c r="B255" s="79"/>
      <c r="C255" s="77" t="s">
        <v>54</v>
      </c>
      <c r="D255" s="77" t="s">
        <v>165</v>
      </c>
      <c r="E255" s="77" t="s">
        <v>153</v>
      </c>
      <c r="F255" s="93"/>
      <c r="G255" s="94">
        <v>45391.0</v>
      </c>
      <c r="H255" s="95">
        <v>8.0</v>
      </c>
      <c r="I255" s="77" t="s">
        <v>70</v>
      </c>
      <c r="J255" s="96" t="s">
        <v>170</v>
      </c>
      <c r="K255" s="97">
        <f>IF(AND($M255=TRUE,$N255=TRUE),VLOOKUP($E255,RH!$B$47:$S$67,MONTH($G255)+6,FALSE))</f>
        <v>55.46609376</v>
      </c>
      <c r="L255" s="98">
        <f>IFERROR(IF(AND($M255=TRUE,$N255=TRUE),VLOOKUP($E255,RH!$B$47:$S$67,MONTH($G255)+6,FALSE)*$H255,0),0)</f>
        <v>443.7287501</v>
      </c>
      <c r="M255" s="99" t="b">
        <f t="shared" si="1"/>
        <v>1</v>
      </c>
      <c r="N255" s="99" t="b">
        <v>1</v>
      </c>
      <c r="O255" s="85" t="s">
        <v>91</v>
      </c>
      <c r="P255" s="68"/>
    </row>
    <row r="256" hidden="1">
      <c r="A256" s="68"/>
      <c r="B256" s="79"/>
      <c r="C256" s="77"/>
      <c r="D256" s="77" t="s">
        <v>165</v>
      </c>
      <c r="E256" s="77" t="s">
        <v>167</v>
      </c>
      <c r="F256" s="93"/>
      <c r="G256" s="94">
        <v>45391.0</v>
      </c>
      <c r="H256" s="95">
        <v>8.0</v>
      </c>
      <c r="I256" s="77" t="s">
        <v>70</v>
      </c>
      <c r="J256" s="96" t="s">
        <v>170</v>
      </c>
      <c r="K256" s="97" t="b">
        <f>IF(AND($M256=TRUE,$N256=TRUE),VLOOKUP($E256,RH!$B$47:$S$67,MONTH($G256)+6,FALSE))</f>
        <v>0</v>
      </c>
      <c r="L256" s="98">
        <f>IFERROR(IF(AND($M256=TRUE,$N256=TRUE),VLOOKUP($E256,RH!$B$47:$S$67,MONTH($G256)+6,FALSE)*$H256,0),0)</f>
        <v>0</v>
      </c>
      <c r="M256" s="99" t="b">
        <f t="shared" si="1"/>
        <v>1</v>
      </c>
      <c r="N256" s="99"/>
      <c r="O256" s="85" t="s">
        <v>91</v>
      </c>
      <c r="P256" s="68"/>
    </row>
    <row r="257" hidden="1">
      <c r="A257" s="68"/>
      <c r="B257" s="79"/>
      <c r="C257" s="77" t="s">
        <v>54</v>
      </c>
      <c r="D257" s="77" t="s">
        <v>165</v>
      </c>
      <c r="E257" s="77" t="s">
        <v>153</v>
      </c>
      <c r="F257" s="93"/>
      <c r="G257" s="94">
        <v>45394.0</v>
      </c>
      <c r="H257" s="95">
        <v>8.0</v>
      </c>
      <c r="I257" s="77" t="s">
        <v>70</v>
      </c>
      <c r="J257" s="96" t="s">
        <v>171</v>
      </c>
      <c r="K257" s="97">
        <f>IF(AND($M257=TRUE,$N257=TRUE),VLOOKUP($E257,RH!$B$47:$S$67,MONTH($G257)+6,FALSE))</f>
        <v>55.46609376</v>
      </c>
      <c r="L257" s="98">
        <f>IFERROR(IF(AND($M257=TRUE,$N257=TRUE),VLOOKUP($E257,RH!$B$47:$S$67,MONTH($G257)+6,FALSE)*$H257,0),0)</f>
        <v>443.7287501</v>
      </c>
      <c r="M257" s="99" t="b">
        <f t="shared" si="1"/>
        <v>1</v>
      </c>
      <c r="N257" s="99" t="b">
        <v>1</v>
      </c>
      <c r="O257" s="85" t="s">
        <v>91</v>
      </c>
      <c r="P257" s="68"/>
    </row>
    <row r="258" hidden="1">
      <c r="A258" s="68"/>
      <c r="B258" s="79"/>
      <c r="C258" s="77"/>
      <c r="D258" s="77" t="s">
        <v>165</v>
      </c>
      <c r="E258" s="77" t="s">
        <v>167</v>
      </c>
      <c r="F258" s="93"/>
      <c r="G258" s="94">
        <v>45394.0</v>
      </c>
      <c r="H258" s="95">
        <v>8.0</v>
      </c>
      <c r="I258" s="77" t="s">
        <v>70</v>
      </c>
      <c r="J258" s="96" t="s">
        <v>171</v>
      </c>
      <c r="K258" s="97" t="b">
        <f>IF(AND($M258=TRUE,$N258=TRUE),VLOOKUP($E258,RH!$B$47:$S$67,MONTH($G258)+6,FALSE))</f>
        <v>0</v>
      </c>
      <c r="L258" s="98">
        <f>IFERROR(IF(AND($M258=TRUE,$N258=TRUE),VLOOKUP($E258,RH!$B$47:$S$67,MONTH($G258)+6,FALSE)*$H258,0),0)</f>
        <v>0</v>
      </c>
      <c r="M258" s="99" t="b">
        <f t="shared" si="1"/>
        <v>1</v>
      </c>
      <c r="N258" s="99"/>
      <c r="O258" s="85" t="s">
        <v>91</v>
      </c>
      <c r="P258" s="68"/>
    </row>
    <row r="259" hidden="1">
      <c r="A259" s="68"/>
      <c r="B259" s="79"/>
      <c r="C259" s="77" t="s">
        <v>54</v>
      </c>
      <c r="D259" s="77" t="s">
        <v>165</v>
      </c>
      <c r="E259" s="77" t="s">
        <v>153</v>
      </c>
      <c r="F259" s="93"/>
      <c r="G259" s="94">
        <v>45411.0</v>
      </c>
      <c r="H259" s="95">
        <v>8.0</v>
      </c>
      <c r="I259" s="77" t="s">
        <v>70</v>
      </c>
      <c r="J259" s="96" t="s">
        <v>172</v>
      </c>
      <c r="K259" s="97">
        <f>IF(AND($M259=TRUE,$N259=TRUE),VLOOKUP($E259,RH!$B$47:$S$67,MONTH($G259)+6,FALSE))</f>
        <v>55.46609376</v>
      </c>
      <c r="L259" s="98">
        <f>IFERROR(IF(AND($M259=TRUE,$N259=TRUE),VLOOKUP($E259,RH!$B$47:$S$67,MONTH($G259)+6,FALSE)*$H259,0),0)</f>
        <v>443.7287501</v>
      </c>
      <c r="M259" s="99" t="b">
        <f t="shared" si="1"/>
        <v>1</v>
      </c>
      <c r="N259" s="99" t="b">
        <v>1</v>
      </c>
      <c r="O259" s="85" t="s">
        <v>91</v>
      </c>
      <c r="P259" s="68"/>
    </row>
    <row r="260" hidden="1">
      <c r="A260" s="68"/>
      <c r="B260" s="79"/>
      <c r="C260" s="77"/>
      <c r="D260" s="77" t="s">
        <v>165</v>
      </c>
      <c r="E260" s="77" t="s">
        <v>167</v>
      </c>
      <c r="F260" s="93"/>
      <c r="G260" s="94">
        <v>45411.0</v>
      </c>
      <c r="H260" s="95">
        <v>8.0</v>
      </c>
      <c r="I260" s="77" t="s">
        <v>70</v>
      </c>
      <c r="J260" s="96" t="s">
        <v>172</v>
      </c>
      <c r="K260" s="97" t="b">
        <f>IF(AND($M260=TRUE,$N260=TRUE),VLOOKUP($E260,RH!$B$47:$S$67,MONTH($G260)+6,FALSE))</f>
        <v>0</v>
      </c>
      <c r="L260" s="98">
        <f>IFERROR(IF(AND($M260=TRUE,$N260=TRUE),VLOOKUP($E260,RH!$B$47:$S$67,MONTH($G260)+6,FALSE)*$H260,0),0)</f>
        <v>0</v>
      </c>
      <c r="M260" s="99" t="b">
        <f t="shared" si="1"/>
        <v>1</v>
      </c>
      <c r="N260" s="99"/>
      <c r="O260" s="85" t="s">
        <v>91</v>
      </c>
      <c r="P260" s="68"/>
    </row>
    <row r="261" hidden="1">
      <c r="A261" s="68"/>
      <c r="B261" s="79"/>
      <c r="C261" s="77" t="s">
        <v>54</v>
      </c>
      <c r="D261" s="77" t="s">
        <v>165</v>
      </c>
      <c r="E261" s="77" t="s">
        <v>153</v>
      </c>
      <c r="F261" s="93"/>
      <c r="G261" s="94">
        <v>45447.0</v>
      </c>
      <c r="H261" s="95">
        <v>8.0</v>
      </c>
      <c r="I261" s="77" t="s">
        <v>70</v>
      </c>
      <c r="J261" s="96" t="s">
        <v>173</v>
      </c>
      <c r="K261" s="97">
        <f>IF(AND($M261=TRUE,$N261=TRUE),VLOOKUP($E261,RH!$B$47:$S$67,MONTH($G261)+6,FALSE))</f>
        <v>58.03879775</v>
      </c>
      <c r="L261" s="98">
        <f>IFERROR(IF(AND($M261=TRUE,$N261=TRUE),VLOOKUP($E261,RH!$B$47:$S$67,MONTH($G261)+6,FALSE)*$H261,0),0)</f>
        <v>464.310382</v>
      </c>
      <c r="M261" s="99" t="b">
        <f t="shared" si="1"/>
        <v>1</v>
      </c>
      <c r="N261" s="99" t="b">
        <v>1</v>
      </c>
      <c r="O261" s="85" t="s">
        <v>91</v>
      </c>
      <c r="P261" s="68"/>
    </row>
    <row r="262" hidden="1">
      <c r="A262" s="68"/>
      <c r="B262" s="79"/>
      <c r="C262" s="77" t="s">
        <v>54</v>
      </c>
      <c r="D262" s="77" t="s">
        <v>165</v>
      </c>
      <c r="E262" s="77" t="s">
        <v>153</v>
      </c>
      <c r="F262" s="93"/>
      <c r="G262" s="94">
        <v>45447.0</v>
      </c>
      <c r="H262" s="95">
        <v>8.0</v>
      </c>
      <c r="I262" s="77" t="s">
        <v>69</v>
      </c>
      <c r="J262" s="96" t="s">
        <v>173</v>
      </c>
      <c r="K262" s="97">
        <f>IF(AND($M262=TRUE,$N262=TRUE),VLOOKUP($E262,RH!$B$47:$S$67,MONTH($G262)+6,FALSE))</f>
        <v>58.03879775</v>
      </c>
      <c r="L262" s="98">
        <f>IFERROR(IF(AND($M262=TRUE,$N262=TRUE),VLOOKUP($E262,RH!$B$47:$S$67,MONTH($G262)+6,FALSE)*$H262,0),0)</f>
        <v>464.310382</v>
      </c>
      <c r="M262" s="99" t="b">
        <f t="shared" si="1"/>
        <v>1</v>
      </c>
      <c r="N262" s="99" t="b">
        <v>1</v>
      </c>
      <c r="O262" s="85" t="s">
        <v>91</v>
      </c>
      <c r="P262" s="68"/>
    </row>
    <row r="263" hidden="1">
      <c r="A263" s="68"/>
      <c r="B263" s="79"/>
      <c r="C263" s="77" t="s">
        <v>54</v>
      </c>
      <c r="D263" s="79" t="s">
        <v>165</v>
      </c>
      <c r="E263" s="77" t="s">
        <v>167</v>
      </c>
      <c r="F263" s="93"/>
      <c r="G263" s="93">
        <v>45447.0</v>
      </c>
      <c r="H263" s="95">
        <v>8.0</v>
      </c>
      <c r="I263" s="77" t="s">
        <v>69</v>
      </c>
      <c r="J263" s="100" t="s">
        <v>173</v>
      </c>
      <c r="K263" s="97">
        <f>IF(AND($M263=TRUE,$N263=TRUE),VLOOKUP($E263,RH!$B$47:$S$67,MONTH($G263)+6,FALSE))</f>
        <v>35.34367898</v>
      </c>
      <c r="L263" s="98">
        <f>IFERROR(IF(AND($M263=TRUE,$N263=TRUE),VLOOKUP($E263,RH!$B$47:$S$67,MONTH($G263)+6,FALSE)*$H263,0),0)</f>
        <v>282.7494318</v>
      </c>
      <c r="M263" s="99" t="b">
        <f t="shared" si="1"/>
        <v>1</v>
      </c>
      <c r="N263" s="99" t="b">
        <v>1</v>
      </c>
      <c r="O263" s="85" t="s">
        <v>91</v>
      </c>
      <c r="P263" s="68"/>
    </row>
    <row r="264" hidden="1">
      <c r="A264" s="68"/>
      <c r="B264" s="79"/>
      <c r="C264" s="77" t="s">
        <v>54</v>
      </c>
      <c r="D264" s="79" t="s">
        <v>165</v>
      </c>
      <c r="E264" s="77" t="s">
        <v>153</v>
      </c>
      <c r="F264" s="93"/>
      <c r="G264" s="93">
        <v>45489.0</v>
      </c>
      <c r="H264" s="95">
        <v>8.0</v>
      </c>
      <c r="I264" s="77" t="s">
        <v>69</v>
      </c>
      <c r="J264" s="100" t="s">
        <v>174</v>
      </c>
      <c r="K264" s="97">
        <f>IF(AND($M264=TRUE,$N264=TRUE),VLOOKUP($E264,RH!$B$47:$S$67,MONTH($G264)+6,FALSE))</f>
        <v>50.79558614</v>
      </c>
      <c r="L264" s="98">
        <f>IFERROR(IF(AND($M264=TRUE,$N264=TRUE),VLOOKUP($E264,RH!$B$47:$S$67,MONTH($G264)+6,FALSE)*$H264,0),0)</f>
        <v>406.3646891</v>
      </c>
      <c r="M264" s="99" t="b">
        <f t="shared" si="1"/>
        <v>1</v>
      </c>
      <c r="N264" s="99" t="b">
        <v>1</v>
      </c>
      <c r="O264" s="85" t="s">
        <v>91</v>
      </c>
      <c r="P264" s="68"/>
    </row>
    <row r="265" hidden="1">
      <c r="A265" s="68"/>
      <c r="B265" s="79"/>
      <c r="C265" s="77" t="s">
        <v>54</v>
      </c>
      <c r="D265" s="79" t="s">
        <v>165</v>
      </c>
      <c r="E265" s="77" t="s">
        <v>167</v>
      </c>
      <c r="F265" s="93"/>
      <c r="G265" s="93">
        <v>45489.0</v>
      </c>
      <c r="H265" s="95">
        <v>8.0</v>
      </c>
      <c r="I265" s="77" t="s">
        <v>69</v>
      </c>
      <c r="J265" s="100" t="s">
        <v>174</v>
      </c>
      <c r="K265" s="97">
        <f>IF(AND($M265=TRUE,$N265=TRUE),VLOOKUP($E265,RH!$B$47:$S$67,MONTH($G265)+6,FALSE))</f>
        <v>30.93280632</v>
      </c>
      <c r="L265" s="98">
        <f>IFERROR(IF(AND($M265=TRUE,$N265=TRUE),VLOOKUP($E265,RH!$B$47:$S$67,MONTH($G265)+6,FALSE)*$H265,0),0)</f>
        <v>247.4624506</v>
      </c>
      <c r="M265" s="99" t="b">
        <f t="shared" si="1"/>
        <v>1</v>
      </c>
      <c r="N265" s="99" t="b">
        <v>1</v>
      </c>
      <c r="O265" s="85" t="s">
        <v>91</v>
      </c>
      <c r="P265" s="68"/>
    </row>
    <row r="266" hidden="1">
      <c r="A266" s="68"/>
      <c r="B266" s="79"/>
      <c r="C266" s="77"/>
      <c r="D266" s="79"/>
      <c r="E266" s="77"/>
      <c r="F266" s="93"/>
      <c r="G266" s="93"/>
      <c r="H266" s="95"/>
      <c r="I266" s="77"/>
      <c r="J266" s="100"/>
      <c r="K266" s="97" t="b">
        <f>IF(AND($M266=TRUE,$N266=TRUE),VLOOKUP($E266,RH!$B$47:$S$67,MONTH($G266)+6,FALSE))</f>
        <v>0</v>
      </c>
      <c r="L266" s="98">
        <f>IFERROR(IF(AND($M266=TRUE,$N266=TRUE),VLOOKUP($E266,RH!$B$47:$S$67,MONTH($G266)+6,FALSE)*$H266,0),0)</f>
        <v>0</v>
      </c>
      <c r="M266" s="99" t="b">
        <f t="shared" si="1"/>
        <v>0</v>
      </c>
      <c r="N266" s="99"/>
      <c r="O266" s="85"/>
      <c r="P266" s="68"/>
    </row>
    <row r="267" hidden="1">
      <c r="A267" s="68"/>
      <c r="B267" s="79"/>
      <c r="C267" s="77" t="s">
        <v>54</v>
      </c>
      <c r="D267" s="79" t="s">
        <v>165</v>
      </c>
      <c r="E267" s="77" t="s">
        <v>153</v>
      </c>
      <c r="F267" s="107"/>
      <c r="G267" s="93">
        <v>45558.0</v>
      </c>
      <c r="H267" s="95">
        <v>8.0</v>
      </c>
      <c r="I267" s="77" t="s">
        <v>69</v>
      </c>
      <c r="J267" s="100" t="s">
        <v>175</v>
      </c>
      <c r="K267" s="97">
        <f>IF(AND($M267=TRUE,$N267=TRUE),VLOOKUP($E267,RH!$B$47:$S$67,MONTH($G267)+6,FALSE))</f>
        <v>55.43266031</v>
      </c>
      <c r="L267" s="98">
        <f>IFERROR(IF(AND($M267=TRUE,$N267=TRUE),VLOOKUP($E267,RH!$B$47:$S$67,MONTH($G267)+6,FALSE)*$H267,0),0)</f>
        <v>443.4612825</v>
      </c>
      <c r="M267" s="99" t="b">
        <f t="shared" si="1"/>
        <v>1</v>
      </c>
      <c r="N267" s="99" t="b">
        <v>1</v>
      </c>
      <c r="O267" s="85" t="s">
        <v>91</v>
      </c>
      <c r="P267" s="68"/>
    </row>
    <row r="268" hidden="1">
      <c r="A268" s="68"/>
      <c r="B268" s="79"/>
      <c r="C268" s="77" t="s">
        <v>54</v>
      </c>
      <c r="D268" s="79" t="s">
        <v>165</v>
      </c>
      <c r="E268" s="77" t="s">
        <v>167</v>
      </c>
      <c r="F268" s="107"/>
      <c r="G268" s="93">
        <v>45558.0</v>
      </c>
      <c r="H268" s="95">
        <v>8.0</v>
      </c>
      <c r="I268" s="77" t="s">
        <v>69</v>
      </c>
      <c r="J268" s="100" t="s">
        <v>175</v>
      </c>
      <c r="K268" s="97">
        <f>IF(AND($M268=TRUE,$N268=TRUE),VLOOKUP($E268,RH!$B$47:$S$67,MONTH($G268)+6,FALSE))</f>
        <v>33.75662879</v>
      </c>
      <c r="L268" s="98">
        <f>IFERROR(IF(AND($M268=TRUE,$N268=TRUE),VLOOKUP($E268,RH!$B$47:$S$67,MONTH($G268)+6,FALSE)*$H268,0),0)</f>
        <v>270.0530303</v>
      </c>
      <c r="M268" s="99" t="b">
        <f t="shared" si="1"/>
        <v>1</v>
      </c>
      <c r="N268" s="99" t="b">
        <v>1</v>
      </c>
      <c r="O268" s="85" t="s">
        <v>91</v>
      </c>
      <c r="P268" s="68"/>
    </row>
    <row r="269" hidden="1">
      <c r="A269" s="68"/>
      <c r="B269" s="79"/>
      <c r="C269" s="77"/>
      <c r="D269" s="79"/>
      <c r="E269" s="77"/>
      <c r="F269" s="93"/>
      <c r="G269" s="93"/>
      <c r="H269" s="95"/>
      <c r="I269" s="77"/>
      <c r="J269" s="100"/>
      <c r="K269" s="97" t="b">
        <f>IF(AND($M269=TRUE,$N269=TRUE),VLOOKUP($E269,RH!$B$47:$S$67,MONTH($G269)+6,FALSE))</f>
        <v>0</v>
      </c>
      <c r="L269" s="98">
        <f>IFERROR(IF(AND($M269=TRUE,$N269=TRUE),VLOOKUP($E269,RH!$B$47:$S$67,MONTH($G269)+6,FALSE)*$H269,0),0)</f>
        <v>0</v>
      </c>
      <c r="M269" s="99" t="b">
        <f t="shared" si="1"/>
        <v>0</v>
      </c>
      <c r="N269" s="99"/>
      <c r="O269" s="85"/>
      <c r="P269" s="68"/>
    </row>
    <row r="270" hidden="1">
      <c r="A270" s="68"/>
      <c r="B270" s="79"/>
      <c r="C270" s="77"/>
      <c r="D270" s="79"/>
      <c r="E270" s="77"/>
      <c r="F270" s="93"/>
      <c r="G270" s="93"/>
      <c r="H270" s="95"/>
      <c r="I270" s="77"/>
      <c r="J270" s="100"/>
      <c r="K270" s="97" t="b">
        <f>IF(AND($M270=TRUE,$N270=TRUE),VLOOKUP($E270,RH!$B$47:$S$67,MONTH($G270)+6,FALSE))</f>
        <v>0</v>
      </c>
      <c r="L270" s="98">
        <f>IFERROR(IF(AND($M270=TRUE,$N270=TRUE),VLOOKUP($E270,RH!$B$47:$S$67,MONTH($G270)+6,FALSE)*$H270,0),0)</f>
        <v>0</v>
      </c>
      <c r="M270" s="99" t="b">
        <f t="shared" si="1"/>
        <v>0</v>
      </c>
      <c r="N270" s="99"/>
      <c r="O270" s="85"/>
      <c r="P270" s="68"/>
    </row>
    <row r="271" hidden="1">
      <c r="A271" s="68"/>
      <c r="B271" s="79"/>
      <c r="C271" s="77"/>
      <c r="D271" s="79"/>
      <c r="E271" s="79"/>
      <c r="F271" s="93"/>
      <c r="G271" s="93"/>
      <c r="H271" s="103"/>
      <c r="I271" s="79"/>
      <c r="J271" s="100"/>
      <c r="K271" s="97" t="b">
        <f>IF(AND($M271=TRUE,$N271=TRUE),VLOOKUP($E271,RH!$B$47:$S$67,MONTH($G271)+6,FALSE))</f>
        <v>0</v>
      </c>
      <c r="L271" s="98">
        <f>IFERROR(IF(AND($M271=TRUE,$N271=TRUE),VLOOKUP($E271,RH!$B$47:$S$67,MONTH($G271)+6,FALSE)*$H271,0),0)</f>
        <v>0</v>
      </c>
      <c r="M271" s="99" t="b">
        <f t="shared" si="1"/>
        <v>0</v>
      </c>
      <c r="N271" s="99"/>
      <c r="O271" s="85"/>
      <c r="P271" s="68"/>
    </row>
    <row r="272" hidden="1">
      <c r="A272" s="68"/>
      <c r="B272" s="79"/>
      <c r="C272" s="77"/>
      <c r="D272" s="79"/>
      <c r="E272" s="79"/>
      <c r="F272" s="93"/>
      <c r="G272" s="93"/>
      <c r="H272" s="103"/>
      <c r="I272" s="79"/>
      <c r="J272" s="100"/>
      <c r="K272" s="97" t="b">
        <f>IF(AND($M272=TRUE,$N272=TRUE),VLOOKUP($E272,RH!$B$47:$S$67,MONTH($G272)+6,FALSE))</f>
        <v>0</v>
      </c>
      <c r="L272" s="98">
        <f>IFERROR(IF(AND($M272=TRUE,$N272=TRUE),VLOOKUP($E272,RH!$B$47:$S$67,MONTH($G272)+6,FALSE)*$H272,0),0)</f>
        <v>0</v>
      </c>
      <c r="M272" s="99" t="b">
        <f t="shared" si="1"/>
        <v>0</v>
      </c>
      <c r="N272" s="99"/>
      <c r="O272" s="85"/>
      <c r="P272" s="68"/>
    </row>
    <row r="273" hidden="1">
      <c r="A273" s="68"/>
      <c r="B273" s="79"/>
      <c r="C273" s="77"/>
      <c r="D273" s="79"/>
      <c r="E273" s="79"/>
      <c r="F273" s="93"/>
      <c r="G273" s="93"/>
      <c r="H273" s="103"/>
      <c r="I273" s="79"/>
      <c r="J273" s="100"/>
      <c r="K273" s="97" t="b">
        <f>IF(AND($M273=TRUE,$N273=TRUE),VLOOKUP($E273,RH!$B$47:$S$67,MONTH($G273)+6,FALSE))</f>
        <v>0</v>
      </c>
      <c r="L273" s="98">
        <f>IFERROR(IF(AND($M273=TRUE,$N273=TRUE),VLOOKUP($E273,RH!$B$47:$S$67,MONTH($G273)+6,FALSE)*$H273,0),0)</f>
        <v>0</v>
      </c>
      <c r="M273" s="99" t="b">
        <f t="shared" si="1"/>
        <v>0</v>
      </c>
      <c r="N273" s="99"/>
      <c r="O273" s="85"/>
      <c r="P273" s="68"/>
    </row>
    <row r="274" hidden="1">
      <c r="A274" s="68"/>
      <c r="B274" s="79"/>
      <c r="C274" s="77"/>
      <c r="D274" s="79"/>
      <c r="E274" s="79"/>
      <c r="F274" s="93"/>
      <c r="G274" s="93"/>
      <c r="H274" s="103"/>
      <c r="I274" s="79"/>
      <c r="J274" s="100"/>
      <c r="K274" s="97" t="b">
        <f>IF(AND($M274=TRUE,$N274=TRUE),VLOOKUP($E274,RH!$B$47:$S$67,MONTH($G274)+6,FALSE))</f>
        <v>0</v>
      </c>
      <c r="L274" s="98">
        <f>IFERROR(IF(AND($M274=TRUE,$N274=TRUE),VLOOKUP($E274,RH!$B$47:$S$67,MONTH($G274)+6,FALSE)*$H274,0),0)</f>
        <v>0</v>
      </c>
      <c r="M274" s="99" t="b">
        <f t="shared" si="1"/>
        <v>0</v>
      </c>
      <c r="N274" s="99"/>
      <c r="O274" s="85"/>
      <c r="P274" s="68"/>
    </row>
    <row r="275" hidden="1">
      <c r="A275" s="68"/>
      <c r="B275" s="79"/>
      <c r="C275" s="77"/>
      <c r="D275" s="79"/>
      <c r="E275" s="79"/>
      <c r="F275" s="93"/>
      <c r="G275" s="93"/>
      <c r="H275" s="103"/>
      <c r="I275" s="79"/>
      <c r="J275" s="100"/>
      <c r="K275" s="97" t="b">
        <f>IF(AND($M275=TRUE,$N275=TRUE),VLOOKUP($E275,RH!$B$47:$S$67,MONTH($G275)+6,FALSE))</f>
        <v>0</v>
      </c>
      <c r="L275" s="98">
        <f>IFERROR(IF(AND($M275=TRUE,$N275=TRUE),VLOOKUP($E275,RH!$B$47:$S$67,MONTH($G275)+6,FALSE)*$H275,0),0)</f>
        <v>0</v>
      </c>
      <c r="M275" s="99" t="b">
        <f t="shared" si="1"/>
        <v>0</v>
      </c>
      <c r="N275" s="99"/>
      <c r="O275" s="85"/>
      <c r="P275" s="68"/>
    </row>
    <row r="276" hidden="1">
      <c r="A276" s="68"/>
      <c r="B276" s="79"/>
      <c r="C276" s="77"/>
      <c r="D276" s="79"/>
      <c r="E276" s="79"/>
      <c r="F276" s="93"/>
      <c r="G276" s="93"/>
      <c r="H276" s="103"/>
      <c r="I276" s="79"/>
      <c r="J276" s="100"/>
      <c r="K276" s="97" t="b">
        <f>IF(AND($M276=TRUE,$N276=TRUE),VLOOKUP($E276,RH!$B$47:$S$67,MONTH($G276)+6,FALSE))</f>
        <v>0</v>
      </c>
      <c r="L276" s="98">
        <f>IFERROR(IF(AND($M276=TRUE,$N276=TRUE),VLOOKUP($E276,RH!$B$47:$S$67,MONTH($G276)+6,FALSE)*$H276,0),0)</f>
        <v>0</v>
      </c>
      <c r="M276" s="99" t="b">
        <f t="shared" si="1"/>
        <v>0</v>
      </c>
      <c r="N276" s="99"/>
      <c r="O276" s="85"/>
      <c r="P276" s="68"/>
    </row>
    <row r="277" hidden="1">
      <c r="A277" s="68"/>
      <c r="B277" s="79"/>
      <c r="C277" s="77"/>
      <c r="D277" s="79"/>
      <c r="E277" s="79"/>
      <c r="F277" s="93"/>
      <c r="G277" s="93"/>
      <c r="H277" s="103"/>
      <c r="I277" s="79"/>
      <c r="J277" s="100"/>
      <c r="K277" s="97" t="b">
        <f>IF(AND($M277=TRUE,$N277=TRUE),VLOOKUP($E277,RH!$B$47:$S$67,MONTH($G277)+6,FALSE))</f>
        <v>0</v>
      </c>
      <c r="L277" s="98">
        <f>IFERROR(IF(AND($M277=TRUE,$N277=TRUE),VLOOKUP($E277,RH!$B$47:$S$67,MONTH($G277)+6,FALSE)*$H277,0),0)</f>
        <v>0</v>
      </c>
      <c r="M277" s="99" t="b">
        <f t="shared" si="1"/>
        <v>0</v>
      </c>
      <c r="N277" s="99"/>
      <c r="O277" s="85"/>
      <c r="P277" s="68"/>
    </row>
    <row r="278" hidden="1">
      <c r="A278" s="68"/>
      <c r="B278" s="79"/>
      <c r="C278" s="77"/>
      <c r="D278" s="79"/>
      <c r="E278" s="79"/>
      <c r="F278" s="93"/>
      <c r="G278" s="93"/>
      <c r="H278" s="103"/>
      <c r="I278" s="79"/>
      <c r="J278" s="100"/>
      <c r="K278" s="97" t="b">
        <f>IF(AND($M278=TRUE,$N278=TRUE),VLOOKUP($E278,RH!$B$47:$S$67,MONTH($G278)+6,FALSE))</f>
        <v>0</v>
      </c>
      <c r="L278" s="98">
        <f>IFERROR(IF(AND($M278=TRUE,$N278=TRUE),VLOOKUP($E278,RH!$B$47:$S$67,MONTH($G278)+6,FALSE)*$H278,0),0)</f>
        <v>0</v>
      </c>
      <c r="M278" s="99" t="b">
        <f t="shared" si="1"/>
        <v>0</v>
      </c>
      <c r="N278" s="99"/>
      <c r="O278" s="85"/>
      <c r="P278" s="68"/>
    </row>
    <row r="279" hidden="1">
      <c r="A279" s="68"/>
      <c r="B279" s="79"/>
      <c r="C279" s="77"/>
      <c r="D279" s="79"/>
      <c r="E279" s="79"/>
      <c r="F279" s="93"/>
      <c r="G279" s="93"/>
      <c r="H279" s="103"/>
      <c r="I279" s="79"/>
      <c r="J279" s="100"/>
      <c r="K279" s="97" t="b">
        <f>IF(AND($M279=TRUE,$N279=TRUE),VLOOKUP($E279,RH!$B$47:$S$67,MONTH($G279)+6,FALSE))</f>
        <v>0</v>
      </c>
      <c r="L279" s="98">
        <f>IFERROR(IF(AND($M279=TRUE,$N279=TRUE),VLOOKUP($E279,RH!$B$47:$S$67,MONTH($G279)+6,FALSE)*$H279,0),0)</f>
        <v>0</v>
      </c>
      <c r="M279" s="99" t="b">
        <f t="shared" si="1"/>
        <v>0</v>
      </c>
      <c r="N279" s="99"/>
      <c r="O279" s="85"/>
      <c r="P279" s="68"/>
    </row>
    <row r="280" hidden="1">
      <c r="A280" s="68"/>
      <c r="B280" s="79"/>
      <c r="C280" s="77"/>
      <c r="D280" s="79"/>
      <c r="E280" s="79"/>
      <c r="F280" s="93"/>
      <c r="G280" s="93"/>
      <c r="H280" s="103"/>
      <c r="I280" s="79"/>
      <c r="J280" s="100"/>
      <c r="K280" s="97" t="b">
        <f>IF(AND($M280=TRUE,$N280=TRUE),VLOOKUP($E280,RH!$B$47:$S$67,MONTH($G280)+6,FALSE))</f>
        <v>0</v>
      </c>
      <c r="L280" s="98">
        <f>IFERROR(IF(AND($M280=TRUE,$N280=TRUE),VLOOKUP($E280,RH!$B$47:$S$67,MONTH($G280)+6,FALSE)*$H280,0),0)</f>
        <v>0</v>
      </c>
      <c r="M280" s="99" t="b">
        <f t="shared" si="1"/>
        <v>0</v>
      </c>
      <c r="N280" s="99"/>
      <c r="O280" s="85"/>
      <c r="P280" s="68"/>
    </row>
    <row r="281" hidden="1">
      <c r="A281" s="68"/>
      <c r="B281" s="79"/>
      <c r="C281" s="77"/>
      <c r="D281" s="79"/>
      <c r="E281" s="79"/>
      <c r="F281" s="93"/>
      <c r="G281" s="93"/>
      <c r="H281" s="103"/>
      <c r="I281" s="79"/>
      <c r="J281" s="100"/>
      <c r="K281" s="97" t="b">
        <f>IF(AND($M281=TRUE,$N281=TRUE),VLOOKUP($E281,RH!$B$47:$S$67,MONTH($G281)+6,FALSE))</f>
        <v>0</v>
      </c>
      <c r="L281" s="98">
        <f>IFERROR(IF(AND($M281=TRUE,$N281=TRUE),VLOOKUP($E281,RH!$B$47:$S$67,MONTH($G281)+6,FALSE)*$H281,0),0)</f>
        <v>0</v>
      </c>
      <c r="M281" s="99" t="b">
        <f t="shared" si="1"/>
        <v>0</v>
      </c>
      <c r="N281" s="99"/>
      <c r="O281" s="85"/>
      <c r="P281" s="68"/>
    </row>
    <row r="282" hidden="1">
      <c r="A282" s="68"/>
      <c r="B282" s="79"/>
      <c r="C282" s="77"/>
      <c r="D282" s="79"/>
      <c r="E282" s="79"/>
      <c r="F282" s="93"/>
      <c r="G282" s="93"/>
      <c r="H282" s="103"/>
      <c r="I282" s="79"/>
      <c r="J282" s="100"/>
      <c r="K282" s="97" t="b">
        <f>IF(AND($M282=TRUE,$N282=TRUE),VLOOKUP($E282,RH!$B$47:$S$67,MONTH($G282)+6,FALSE))</f>
        <v>0</v>
      </c>
      <c r="L282" s="98">
        <f>IFERROR(IF(AND($M282=TRUE,$N282=TRUE),VLOOKUP($E282,RH!$B$47:$S$67,MONTH($G282)+6,FALSE)*$H282,0),0)</f>
        <v>0</v>
      </c>
      <c r="M282" s="99" t="b">
        <f t="shared" si="1"/>
        <v>0</v>
      </c>
      <c r="N282" s="99"/>
      <c r="O282" s="85"/>
      <c r="P282" s="68"/>
    </row>
    <row r="283" hidden="1">
      <c r="A283" s="68"/>
      <c r="B283" s="79"/>
      <c r="C283" s="77"/>
      <c r="D283" s="79"/>
      <c r="E283" s="79"/>
      <c r="F283" s="93"/>
      <c r="G283" s="93"/>
      <c r="H283" s="103"/>
      <c r="I283" s="79"/>
      <c r="J283" s="100"/>
      <c r="K283" s="97" t="b">
        <f>IF(AND($M283=TRUE,$N283=TRUE),VLOOKUP($E283,RH!$B$47:$S$67,MONTH($G283)+6,FALSE))</f>
        <v>0</v>
      </c>
      <c r="L283" s="98">
        <f>IFERROR(IF(AND($M283=TRUE,$N283=TRUE),VLOOKUP($E283,RH!$B$47:$S$67,MONTH($G283)+6,FALSE)*$H283,0),0)</f>
        <v>0</v>
      </c>
      <c r="M283" s="99" t="b">
        <f t="shared" si="1"/>
        <v>0</v>
      </c>
      <c r="N283" s="99"/>
      <c r="O283" s="85"/>
      <c r="P283" s="68"/>
    </row>
    <row r="284" hidden="1">
      <c r="A284" s="68"/>
      <c r="B284" s="79"/>
      <c r="C284" s="77"/>
      <c r="D284" s="79"/>
      <c r="E284" s="79"/>
      <c r="F284" s="93"/>
      <c r="G284" s="93"/>
      <c r="H284" s="103"/>
      <c r="I284" s="79"/>
      <c r="J284" s="100"/>
      <c r="K284" s="97" t="b">
        <f>IF(AND($M284=TRUE,$N284=TRUE),VLOOKUP($E284,RH!$B$47:$S$67,MONTH($G284)+6,FALSE))</f>
        <v>0</v>
      </c>
      <c r="L284" s="98">
        <f>IFERROR(IF(AND($M284=TRUE,$N284=TRUE),VLOOKUP($E284,RH!$B$47:$S$67,MONTH($G284)+6,FALSE)*$H284,0),0)</f>
        <v>0</v>
      </c>
      <c r="M284" s="99" t="b">
        <f t="shared" si="1"/>
        <v>0</v>
      </c>
      <c r="N284" s="99"/>
      <c r="O284" s="85"/>
      <c r="P284" s="68"/>
    </row>
    <row r="285" hidden="1">
      <c r="A285" s="68"/>
      <c r="B285" s="79"/>
      <c r="C285" s="77"/>
      <c r="D285" s="79"/>
      <c r="E285" s="79"/>
      <c r="F285" s="93"/>
      <c r="G285" s="93"/>
      <c r="H285" s="103"/>
      <c r="I285" s="79"/>
      <c r="J285" s="100"/>
      <c r="K285" s="97" t="b">
        <f>IF(AND($M285=TRUE,$N285=TRUE),VLOOKUP($E285,RH!$B$47:$S$67,MONTH($G285)+6,FALSE))</f>
        <v>0</v>
      </c>
      <c r="L285" s="98">
        <f>IFERROR(IF(AND($M285=TRUE,$N285=TRUE),VLOOKUP($E285,RH!$B$47:$S$67,MONTH($G285)+6,FALSE)*$H285,0),0)</f>
        <v>0</v>
      </c>
      <c r="M285" s="99" t="b">
        <f t="shared" si="1"/>
        <v>0</v>
      </c>
      <c r="N285" s="99"/>
      <c r="O285" s="85"/>
      <c r="P285" s="68"/>
    </row>
    <row r="286" hidden="1">
      <c r="A286" s="68"/>
      <c r="B286" s="79"/>
      <c r="C286" s="77"/>
      <c r="D286" s="79"/>
      <c r="E286" s="79"/>
      <c r="F286" s="93"/>
      <c r="G286" s="93"/>
      <c r="H286" s="103"/>
      <c r="I286" s="79"/>
      <c r="J286" s="100"/>
      <c r="K286" s="97" t="b">
        <f>IF(AND($M286=TRUE,$N286=TRUE),VLOOKUP($E286,RH!$B$47:$S$67,MONTH($G286)+6,FALSE))</f>
        <v>0</v>
      </c>
      <c r="L286" s="98">
        <f>IFERROR(IF(AND($M286=TRUE,$N286=TRUE),VLOOKUP($E286,RH!$B$47:$S$67,MONTH($G286)+6,FALSE)*$H286,0),0)</f>
        <v>0</v>
      </c>
      <c r="M286" s="99" t="b">
        <f t="shared" si="1"/>
        <v>0</v>
      </c>
      <c r="N286" s="99"/>
      <c r="O286" s="85"/>
      <c r="P286" s="68"/>
    </row>
    <row r="287" hidden="1">
      <c r="A287" s="68"/>
      <c r="B287" s="79"/>
      <c r="C287" s="77"/>
      <c r="D287" s="79"/>
      <c r="E287" s="79"/>
      <c r="F287" s="93"/>
      <c r="G287" s="93"/>
      <c r="H287" s="103"/>
      <c r="I287" s="79"/>
      <c r="J287" s="100"/>
      <c r="K287" s="97" t="b">
        <f>IF(AND($M287=TRUE,$N287=TRUE),VLOOKUP($E287,RH!$B$47:$S$67,MONTH($G287)+6,FALSE))</f>
        <v>0</v>
      </c>
      <c r="L287" s="98">
        <f>IFERROR(IF(AND($M287=TRUE,$N287=TRUE),VLOOKUP($E287,RH!$B$47:$S$67,MONTH($G287)+6,FALSE)*$H287,0),0)</f>
        <v>0</v>
      </c>
      <c r="M287" s="99" t="b">
        <f t="shared" si="1"/>
        <v>0</v>
      </c>
      <c r="N287" s="99"/>
      <c r="O287" s="85"/>
      <c r="P287" s="68"/>
    </row>
    <row r="288" hidden="1">
      <c r="A288" s="68"/>
      <c r="B288" s="79"/>
      <c r="C288" s="77"/>
      <c r="D288" s="79"/>
      <c r="E288" s="79"/>
      <c r="F288" s="93"/>
      <c r="G288" s="93"/>
      <c r="H288" s="103"/>
      <c r="I288" s="79"/>
      <c r="J288" s="100"/>
      <c r="K288" s="97" t="b">
        <f>IF(AND($M288=TRUE,$N288=TRUE),VLOOKUP($E288,RH!$B$47:$S$67,MONTH($G288)+6,FALSE))</f>
        <v>0</v>
      </c>
      <c r="L288" s="98">
        <f>IFERROR(IF(AND($M288=TRUE,$N288=TRUE),VLOOKUP($E288,RH!$B$47:$S$67,MONTH($G288)+6,FALSE)*$H288,0),0)</f>
        <v>0</v>
      </c>
      <c r="M288" s="99" t="b">
        <f t="shared" si="1"/>
        <v>0</v>
      </c>
      <c r="N288" s="99"/>
      <c r="O288" s="85"/>
      <c r="P288" s="68"/>
    </row>
    <row r="289" hidden="1">
      <c r="A289" s="68"/>
      <c r="B289" s="79"/>
      <c r="C289" s="77"/>
      <c r="D289" s="79"/>
      <c r="E289" s="79"/>
      <c r="F289" s="93"/>
      <c r="G289" s="93"/>
      <c r="H289" s="103"/>
      <c r="I289" s="79"/>
      <c r="J289" s="100"/>
      <c r="K289" s="97" t="b">
        <f>IF(AND($M289=TRUE,$N289=TRUE),VLOOKUP($E289,RH!$B$47:$S$67,MONTH($G289)+6,FALSE))</f>
        <v>0</v>
      </c>
      <c r="L289" s="98">
        <f>IFERROR(IF(AND($M289=TRUE,$N289=TRUE),VLOOKUP($E289,RH!$B$47:$S$67,MONTH($G289)+6,FALSE)*$H289,0),0)</f>
        <v>0</v>
      </c>
      <c r="M289" s="99" t="b">
        <f t="shared" si="1"/>
        <v>0</v>
      </c>
      <c r="N289" s="99"/>
      <c r="O289" s="85"/>
      <c r="P289" s="68"/>
    </row>
    <row r="290" hidden="1">
      <c r="A290" s="68"/>
      <c r="B290" s="79"/>
      <c r="C290" s="77"/>
      <c r="D290" s="79"/>
      <c r="E290" s="79"/>
      <c r="F290" s="93"/>
      <c r="G290" s="93"/>
      <c r="H290" s="103"/>
      <c r="I290" s="79"/>
      <c r="J290" s="100"/>
      <c r="K290" s="97" t="b">
        <f>IF(AND($M290=TRUE,$N290=TRUE),VLOOKUP($E290,RH!$B$47:$S$67,MONTH($G290)+6,FALSE))</f>
        <v>0</v>
      </c>
      <c r="L290" s="98">
        <f>IFERROR(IF(AND($M290=TRUE,$N290=TRUE),VLOOKUP($E290,RH!$B$47:$S$67,MONTH($G290)+6,FALSE)*$H290,0),0)</f>
        <v>0</v>
      </c>
      <c r="M290" s="99" t="b">
        <f t="shared" si="1"/>
        <v>0</v>
      </c>
      <c r="N290" s="99"/>
      <c r="O290" s="85"/>
      <c r="P290" s="68"/>
    </row>
    <row r="291" hidden="1">
      <c r="A291" s="68"/>
      <c r="B291" s="79"/>
      <c r="C291" s="77"/>
      <c r="D291" s="79"/>
      <c r="E291" s="79"/>
      <c r="F291" s="93"/>
      <c r="G291" s="93"/>
      <c r="H291" s="103"/>
      <c r="I291" s="79"/>
      <c r="J291" s="100"/>
      <c r="K291" s="97" t="b">
        <f>IF(AND($M291=TRUE,$N291=TRUE),VLOOKUP($E291,RH!$B$47:$S$67,MONTH($G291)+6,FALSE))</f>
        <v>0</v>
      </c>
      <c r="L291" s="98">
        <f>IFERROR(IF(AND($M291=TRUE,$N291=TRUE),VLOOKUP($E291,RH!$B$47:$S$67,MONTH($G291)+6,FALSE)*$H291,0),0)</f>
        <v>0</v>
      </c>
      <c r="M291" s="99" t="b">
        <f t="shared" si="1"/>
        <v>0</v>
      </c>
      <c r="N291" s="99"/>
      <c r="O291" s="85"/>
      <c r="P291" s="68"/>
    </row>
    <row r="292" hidden="1">
      <c r="A292" s="68"/>
      <c r="B292" s="79"/>
      <c r="C292" s="77"/>
      <c r="D292" s="79"/>
      <c r="E292" s="79"/>
      <c r="F292" s="93"/>
      <c r="G292" s="93"/>
      <c r="H292" s="103"/>
      <c r="I292" s="79"/>
      <c r="J292" s="100"/>
      <c r="K292" s="97" t="b">
        <f>IF(AND($M292=TRUE,$N292=TRUE),VLOOKUP($E292,RH!$B$47:$S$67,MONTH($G292)+6,FALSE))</f>
        <v>0</v>
      </c>
      <c r="L292" s="98">
        <f>IFERROR(IF(AND($M292=TRUE,$N292=TRUE),VLOOKUP($E292,RH!$B$47:$S$67,MONTH($G292)+6,FALSE)*$H292,0),0)</f>
        <v>0</v>
      </c>
      <c r="M292" s="99" t="b">
        <f t="shared" si="1"/>
        <v>0</v>
      </c>
      <c r="N292" s="99"/>
      <c r="O292" s="85"/>
      <c r="P292" s="68"/>
    </row>
    <row r="293" hidden="1">
      <c r="A293" s="68"/>
      <c r="B293" s="79"/>
      <c r="C293" s="77"/>
      <c r="D293" s="79"/>
      <c r="E293" s="79"/>
      <c r="F293" s="93"/>
      <c r="G293" s="93"/>
      <c r="H293" s="103"/>
      <c r="I293" s="79"/>
      <c r="J293" s="100"/>
      <c r="K293" s="97" t="b">
        <f>IF(AND($M293=TRUE,$N293=TRUE),VLOOKUP($E293,RH!$B$47:$S$67,MONTH($G293)+6,FALSE))</f>
        <v>0</v>
      </c>
      <c r="L293" s="98">
        <f>IFERROR(IF(AND($M293=TRUE,$N293=TRUE),VLOOKUP($E293,RH!$B$47:$S$67,MONTH($G293)+6,FALSE)*$H293,0),0)</f>
        <v>0</v>
      </c>
      <c r="M293" s="99" t="b">
        <f t="shared" si="1"/>
        <v>0</v>
      </c>
      <c r="N293" s="99"/>
      <c r="O293" s="85"/>
      <c r="P293" s="68"/>
    </row>
    <row r="294" hidden="1">
      <c r="A294" s="68"/>
      <c r="B294" s="79"/>
      <c r="C294" s="77"/>
      <c r="D294" s="79"/>
      <c r="E294" s="79"/>
      <c r="F294" s="93"/>
      <c r="G294" s="93"/>
      <c r="H294" s="103"/>
      <c r="I294" s="79"/>
      <c r="J294" s="100"/>
      <c r="K294" s="97" t="b">
        <f>IF(AND($M294=TRUE,$N294=TRUE),VLOOKUP($E294,RH!$B$47:$S$67,MONTH($G294)+6,FALSE))</f>
        <v>0</v>
      </c>
      <c r="L294" s="98">
        <f>IFERROR(IF(AND($M294=TRUE,$N294=TRUE),VLOOKUP($E294,RH!$B$47:$S$67,MONTH($G294)+6,FALSE)*$H294,0),0)</f>
        <v>0</v>
      </c>
      <c r="M294" s="99" t="b">
        <f t="shared" si="1"/>
        <v>0</v>
      </c>
      <c r="N294" s="99"/>
      <c r="O294" s="85"/>
      <c r="P294" s="68"/>
    </row>
    <row r="295" hidden="1">
      <c r="A295" s="68"/>
      <c r="B295" s="79"/>
      <c r="C295" s="77"/>
      <c r="D295" s="79"/>
      <c r="E295" s="79"/>
      <c r="F295" s="93"/>
      <c r="G295" s="93"/>
      <c r="H295" s="103"/>
      <c r="I295" s="79"/>
      <c r="J295" s="100"/>
      <c r="K295" s="97" t="b">
        <f>IF(AND($M295=TRUE,$N295=TRUE),VLOOKUP($E295,RH!$B$47:$S$67,MONTH($G295)+6,FALSE))</f>
        <v>0</v>
      </c>
      <c r="L295" s="98">
        <f>IFERROR(IF(AND($M295=TRUE,$N295=TRUE),VLOOKUP($E295,RH!$B$47:$S$67,MONTH($G295)+6,FALSE)*$H295,0),0)</f>
        <v>0</v>
      </c>
      <c r="M295" s="99" t="b">
        <f t="shared" si="1"/>
        <v>0</v>
      </c>
      <c r="N295" s="99"/>
      <c r="O295" s="85"/>
      <c r="P295" s="68"/>
    </row>
    <row r="296" hidden="1">
      <c r="A296" s="68"/>
      <c r="B296" s="79"/>
      <c r="C296" s="77"/>
      <c r="D296" s="79"/>
      <c r="E296" s="79"/>
      <c r="F296" s="93"/>
      <c r="G296" s="93"/>
      <c r="H296" s="103"/>
      <c r="I296" s="79"/>
      <c r="J296" s="100"/>
      <c r="K296" s="97" t="b">
        <f>IF(AND($M296=TRUE,$N296=TRUE),VLOOKUP($E296,RH!$B$47:$S$67,MONTH($G296)+6,FALSE))</f>
        <v>0</v>
      </c>
      <c r="L296" s="98">
        <f>IFERROR(IF(AND($M296=TRUE,$N296=TRUE),VLOOKUP($E296,RH!$B$47:$S$67,MONTH($G296)+6,FALSE)*$H296,0),0)</f>
        <v>0</v>
      </c>
      <c r="M296" s="99" t="b">
        <f t="shared" si="1"/>
        <v>0</v>
      </c>
      <c r="N296" s="99"/>
      <c r="O296" s="85"/>
      <c r="P296" s="68"/>
    </row>
    <row r="297" hidden="1">
      <c r="A297" s="68"/>
      <c r="B297" s="79"/>
      <c r="C297" s="77"/>
      <c r="D297" s="79"/>
      <c r="E297" s="79"/>
      <c r="F297" s="93"/>
      <c r="G297" s="93"/>
      <c r="H297" s="103"/>
      <c r="I297" s="79"/>
      <c r="J297" s="100"/>
      <c r="K297" s="97" t="b">
        <f>IF(AND($M297=TRUE,$N297=TRUE),VLOOKUP($E297,RH!$B$47:$S$67,MONTH($G297)+6,FALSE))</f>
        <v>0</v>
      </c>
      <c r="L297" s="98">
        <f>IFERROR(IF(AND($M297=TRUE,$N297=TRUE),VLOOKUP($E297,RH!$B$47:$S$67,MONTH($G297)+6,FALSE)*$H297,0),0)</f>
        <v>0</v>
      </c>
      <c r="M297" s="99" t="b">
        <f t="shared" si="1"/>
        <v>0</v>
      </c>
      <c r="N297" s="99"/>
      <c r="O297" s="85"/>
      <c r="P297" s="68"/>
    </row>
    <row r="298" hidden="1">
      <c r="A298" s="68"/>
      <c r="B298" s="79"/>
      <c r="C298" s="77"/>
      <c r="D298" s="79"/>
      <c r="E298" s="79"/>
      <c r="F298" s="93"/>
      <c r="G298" s="93"/>
      <c r="H298" s="103"/>
      <c r="I298" s="79"/>
      <c r="J298" s="100"/>
      <c r="K298" s="97" t="b">
        <f>IF(AND($M298=TRUE,$N298=TRUE),VLOOKUP($E298,RH!$B$47:$S$67,MONTH($G298)+6,FALSE))</f>
        <v>0</v>
      </c>
      <c r="L298" s="98">
        <f>IFERROR(IF(AND($M298=TRUE,$N298=TRUE),VLOOKUP($E298,RH!$B$47:$S$67,MONTH($G298)+6,FALSE)*$H298,0),0)</f>
        <v>0</v>
      </c>
      <c r="M298" s="99" t="b">
        <f t="shared" si="1"/>
        <v>0</v>
      </c>
      <c r="N298" s="99"/>
      <c r="O298" s="85"/>
      <c r="P298" s="68"/>
    </row>
    <row r="299" hidden="1">
      <c r="A299" s="68"/>
      <c r="B299" s="79"/>
      <c r="C299" s="77"/>
      <c r="D299" s="79"/>
      <c r="E299" s="79"/>
      <c r="F299" s="93"/>
      <c r="G299" s="93"/>
      <c r="H299" s="103"/>
      <c r="I299" s="79"/>
      <c r="J299" s="100"/>
      <c r="K299" s="97" t="b">
        <f>IF(AND($M299=TRUE,$N299=TRUE),VLOOKUP($E299,RH!$B$47:$S$67,MONTH($G299)+6,FALSE))</f>
        <v>0</v>
      </c>
      <c r="L299" s="98">
        <f>IFERROR(IF(AND($M299=TRUE,$N299=TRUE),VLOOKUP($E299,RH!$B$47:$S$67,MONTH($G299)+6,FALSE)*$H299,0),0)</f>
        <v>0</v>
      </c>
      <c r="M299" s="99" t="b">
        <f t="shared" si="1"/>
        <v>0</v>
      </c>
      <c r="N299" s="99"/>
      <c r="O299" s="85"/>
      <c r="P299" s="68"/>
    </row>
    <row r="300" hidden="1">
      <c r="A300" s="68"/>
      <c r="B300" s="79"/>
      <c r="C300" s="77"/>
      <c r="D300" s="79"/>
      <c r="E300" s="79"/>
      <c r="F300" s="93"/>
      <c r="G300" s="93"/>
      <c r="H300" s="103"/>
      <c r="I300" s="79"/>
      <c r="J300" s="100"/>
      <c r="K300" s="97" t="b">
        <f>IF(AND($M300=TRUE,$N300=TRUE),VLOOKUP($E300,RH!$B$47:$S$67,MONTH($G300)+6,FALSE))</f>
        <v>0</v>
      </c>
      <c r="L300" s="98">
        <f>IFERROR(IF(AND($M300=TRUE,$N300=TRUE),VLOOKUP($E300,RH!$B$47:$S$67,MONTH($G300)+6,FALSE)*$H300,0),0)</f>
        <v>0</v>
      </c>
      <c r="M300" s="99" t="b">
        <f t="shared" si="1"/>
        <v>0</v>
      </c>
      <c r="N300" s="99"/>
      <c r="O300" s="85"/>
      <c r="P300" s="68"/>
    </row>
    <row r="301" hidden="1">
      <c r="A301" s="68"/>
      <c r="B301" s="79"/>
      <c r="C301" s="77"/>
      <c r="D301" s="79"/>
      <c r="E301" s="79"/>
      <c r="F301" s="93"/>
      <c r="G301" s="93"/>
      <c r="H301" s="103"/>
      <c r="I301" s="79"/>
      <c r="J301" s="100"/>
      <c r="K301" s="97" t="b">
        <f>IF(AND($M301=TRUE,$N301=TRUE),VLOOKUP($E301,RH!$B$47:$S$67,MONTH($G301)+6,FALSE))</f>
        <v>0</v>
      </c>
      <c r="L301" s="98">
        <f>IFERROR(IF(AND($M301=TRUE,$N301=TRUE),VLOOKUP($E301,RH!$B$47:$S$67,MONTH($G301)+6,FALSE)*$H301,0),0)</f>
        <v>0</v>
      </c>
      <c r="M301" s="99" t="b">
        <f t="shared" si="1"/>
        <v>0</v>
      </c>
      <c r="N301" s="99"/>
      <c r="O301" s="85"/>
      <c r="P301" s="68"/>
    </row>
    <row r="302" hidden="1">
      <c r="A302" s="68"/>
      <c r="B302" s="79"/>
      <c r="C302" s="77"/>
      <c r="D302" s="79"/>
      <c r="E302" s="79"/>
      <c r="F302" s="93"/>
      <c r="G302" s="93"/>
      <c r="H302" s="103"/>
      <c r="I302" s="79"/>
      <c r="J302" s="100"/>
      <c r="K302" s="97" t="b">
        <f>IF(AND($M302=TRUE,$N302=TRUE),VLOOKUP($E302,RH!$B$47:$S$67,MONTH($G302)+6,FALSE))</f>
        <v>0</v>
      </c>
      <c r="L302" s="98">
        <f>IFERROR(IF(AND($M302=TRUE,$N302=TRUE),VLOOKUP($E302,RH!$B$47:$S$67,MONTH($G302)+6,FALSE)*$H302,0),0)</f>
        <v>0</v>
      </c>
      <c r="M302" s="99" t="b">
        <f t="shared" si="1"/>
        <v>0</v>
      </c>
      <c r="N302" s="99"/>
      <c r="O302" s="85"/>
      <c r="P302" s="68"/>
    </row>
    <row r="303" hidden="1">
      <c r="A303" s="68"/>
      <c r="B303" s="79"/>
      <c r="C303" s="77"/>
      <c r="D303" s="79"/>
      <c r="E303" s="79"/>
      <c r="F303" s="93"/>
      <c r="G303" s="93"/>
      <c r="H303" s="103"/>
      <c r="I303" s="79"/>
      <c r="J303" s="100"/>
      <c r="K303" s="97" t="b">
        <f>IF(AND($M303=TRUE,$N303=TRUE),VLOOKUP($E303,RH!$B$47:$S$67,MONTH($G303)+6,FALSE))</f>
        <v>0</v>
      </c>
      <c r="L303" s="98">
        <f>IFERROR(IF(AND($M303=TRUE,$N303=TRUE),VLOOKUP($E303,RH!$B$47:$S$67,MONTH($G303)+6,FALSE)*$H303,0),0)</f>
        <v>0</v>
      </c>
      <c r="M303" s="99" t="b">
        <f t="shared" si="1"/>
        <v>0</v>
      </c>
      <c r="N303" s="99"/>
      <c r="O303" s="85"/>
      <c r="P303" s="68"/>
    </row>
    <row r="304" hidden="1">
      <c r="A304" s="68"/>
      <c r="B304" s="79"/>
      <c r="C304" s="77"/>
      <c r="D304" s="79"/>
      <c r="E304" s="79"/>
      <c r="F304" s="93"/>
      <c r="G304" s="93"/>
      <c r="H304" s="103"/>
      <c r="I304" s="79"/>
      <c r="J304" s="100"/>
      <c r="K304" s="97" t="b">
        <f>IF(AND($M304=TRUE,$N304=TRUE),VLOOKUP($E304,RH!$B$47:$S$67,MONTH($G304)+6,FALSE))</f>
        <v>0</v>
      </c>
      <c r="L304" s="98">
        <f>IFERROR(IF(AND($M304=TRUE,$N304=TRUE),VLOOKUP($E304,RH!$B$47:$S$67,MONTH($G304)+6,FALSE)*$H304,0),0)</f>
        <v>0</v>
      </c>
      <c r="M304" s="99" t="b">
        <f t="shared" si="1"/>
        <v>0</v>
      </c>
      <c r="N304" s="99"/>
      <c r="O304" s="85"/>
      <c r="P304" s="68"/>
    </row>
    <row r="305" hidden="1">
      <c r="A305" s="68"/>
      <c r="B305" s="79"/>
      <c r="C305" s="77"/>
      <c r="D305" s="79"/>
      <c r="E305" s="79"/>
      <c r="F305" s="93"/>
      <c r="G305" s="93"/>
      <c r="H305" s="103"/>
      <c r="I305" s="79"/>
      <c r="J305" s="100"/>
      <c r="K305" s="97" t="b">
        <f>IF(AND($M305=TRUE,$N305=TRUE),VLOOKUP($E305,RH!$B$47:$S$67,MONTH($G305)+6,FALSE))</f>
        <v>0</v>
      </c>
      <c r="L305" s="98">
        <f>IFERROR(IF(AND($M305=TRUE,$N305=TRUE),VLOOKUP($E305,RH!$B$47:$S$67,MONTH($G305)+6,FALSE)*$H305,0),0)</f>
        <v>0</v>
      </c>
      <c r="M305" s="99" t="b">
        <f t="shared" si="1"/>
        <v>0</v>
      </c>
      <c r="N305" s="99"/>
      <c r="O305" s="85"/>
      <c r="P305" s="68"/>
    </row>
    <row r="306" hidden="1">
      <c r="A306" s="68"/>
      <c r="B306" s="79"/>
      <c r="C306" s="77"/>
      <c r="D306" s="79"/>
      <c r="E306" s="79"/>
      <c r="F306" s="93"/>
      <c r="G306" s="93"/>
      <c r="H306" s="103"/>
      <c r="I306" s="79"/>
      <c r="J306" s="100"/>
      <c r="K306" s="97" t="b">
        <f>IF(AND($M306=TRUE,$N306=TRUE),VLOOKUP($E306,RH!$B$47:$S$67,MONTH($G306)+6,FALSE))</f>
        <v>0</v>
      </c>
      <c r="L306" s="98">
        <f>IFERROR(IF(AND($M306=TRUE,$N306=TRUE),VLOOKUP($E306,RH!$B$47:$S$67,MONTH($G306)+6,FALSE)*$H306,0),0)</f>
        <v>0</v>
      </c>
      <c r="M306" s="99" t="b">
        <f t="shared" si="1"/>
        <v>0</v>
      </c>
      <c r="N306" s="99"/>
      <c r="O306" s="85"/>
      <c r="P306" s="68"/>
    </row>
    <row r="307" hidden="1">
      <c r="A307" s="68"/>
      <c r="B307" s="79"/>
      <c r="C307" s="77"/>
      <c r="D307" s="79"/>
      <c r="E307" s="79"/>
      <c r="F307" s="93"/>
      <c r="G307" s="93"/>
      <c r="H307" s="103"/>
      <c r="I307" s="79"/>
      <c r="J307" s="100"/>
      <c r="K307" s="97" t="b">
        <f>IF(AND($M307=TRUE,$N307=TRUE),VLOOKUP($E307,RH!$B$47:$S$67,MONTH($G307)+6,FALSE))</f>
        <v>0</v>
      </c>
      <c r="L307" s="98">
        <f>IFERROR(IF(AND($M307=TRUE,$N307=TRUE),VLOOKUP($E307,RH!$B$47:$S$67,MONTH($G307)+6,FALSE)*$H307,0),0)</f>
        <v>0</v>
      </c>
      <c r="M307" s="99" t="b">
        <f t="shared" si="1"/>
        <v>0</v>
      </c>
      <c r="N307" s="99"/>
      <c r="O307" s="85"/>
      <c r="P307" s="68"/>
    </row>
    <row r="308" hidden="1">
      <c r="A308" s="68"/>
      <c r="B308" s="79"/>
      <c r="C308" s="77"/>
      <c r="D308" s="79"/>
      <c r="E308" s="79"/>
      <c r="F308" s="93"/>
      <c r="G308" s="93"/>
      <c r="H308" s="103"/>
      <c r="I308" s="79"/>
      <c r="J308" s="100"/>
      <c r="K308" s="97" t="b">
        <f>IF(AND($M308=TRUE,$N308=TRUE),VLOOKUP($E308,RH!$B$47:$S$67,MONTH($G308)+6,FALSE))</f>
        <v>0</v>
      </c>
      <c r="L308" s="98">
        <f>IFERROR(IF(AND($M308=TRUE,$N308=TRUE),VLOOKUP($E308,RH!$B$47:$S$67,MONTH($G308)+6,FALSE)*$H308,0),0)</f>
        <v>0</v>
      </c>
      <c r="M308" s="99" t="b">
        <f t="shared" si="1"/>
        <v>0</v>
      </c>
      <c r="N308" s="99"/>
      <c r="O308" s="85"/>
      <c r="P308" s="68"/>
    </row>
    <row r="309" hidden="1">
      <c r="A309" s="68"/>
      <c r="B309" s="79"/>
      <c r="C309" s="77"/>
      <c r="D309" s="79"/>
      <c r="E309" s="79"/>
      <c r="F309" s="93"/>
      <c r="G309" s="93"/>
      <c r="H309" s="103"/>
      <c r="I309" s="79"/>
      <c r="J309" s="100"/>
      <c r="K309" s="97" t="b">
        <f>IF(AND($M309=TRUE,$N309=TRUE),VLOOKUP($E309,RH!$B$47:$S$67,MONTH($G309)+6,FALSE))</f>
        <v>0</v>
      </c>
      <c r="L309" s="98">
        <f>IFERROR(IF(AND($M309=TRUE,$N309=TRUE),VLOOKUP($E309,RH!$B$47:$S$67,MONTH($G309)+6,FALSE)*$H309,0),0)</f>
        <v>0</v>
      </c>
      <c r="M309" s="99" t="b">
        <f t="shared" si="1"/>
        <v>0</v>
      </c>
      <c r="N309" s="99"/>
      <c r="O309" s="85"/>
      <c r="P309" s="68"/>
    </row>
    <row r="310" hidden="1">
      <c r="A310" s="68"/>
      <c r="B310" s="79"/>
      <c r="C310" s="77"/>
      <c r="D310" s="79"/>
      <c r="E310" s="79"/>
      <c r="F310" s="93"/>
      <c r="G310" s="93"/>
      <c r="H310" s="103"/>
      <c r="I310" s="79"/>
      <c r="J310" s="100"/>
      <c r="K310" s="97" t="b">
        <f>IF(AND($M310=TRUE,$N310=TRUE),VLOOKUP($E310,RH!$B$47:$S$67,MONTH($G310)+6,FALSE))</f>
        <v>0</v>
      </c>
      <c r="L310" s="98">
        <f>IFERROR(IF(AND($M310=TRUE,$N310=TRUE),VLOOKUP($E310,RH!$B$47:$S$67,MONTH($G310)+6,FALSE)*$H310,0),0)</f>
        <v>0</v>
      </c>
      <c r="M310" s="99" t="b">
        <f t="shared" si="1"/>
        <v>0</v>
      </c>
      <c r="N310" s="99"/>
      <c r="O310" s="85"/>
      <c r="P310" s="68"/>
    </row>
    <row r="311" hidden="1">
      <c r="A311" s="68"/>
      <c r="B311" s="79"/>
      <c r="C311" s="77"/>
      <c r="D311" s="79"/>
      <c r="E311" s="79"/>
      <c r="F311" s="93"/>
      <c r="G311" s="93"/>
      <c r="H311" s="103"/>
      <c r="I311" s="79"/>
      <c r="J311" s="100"/>
      <c r="K311" s="97" t="b">
        <f>IF(AND($M311=TRUE,$N311=TRUE),VLOOKUP($E311,RH!$B$47:$S$67,MONTH($G311)+6,FALSE))</f>
        <v>0</v>
      </c>
      <c r="L311" s="98">
        <f>IFERROR(IF(AND($M311=TRUE,$N311=TRUE),VLOOKUP($E311,RH!$B$47:$S$67,MONTH($G311)+6,FALSE)*$H311,0),0)</f>
        <v>0</v>
      </c>
      <c r="M311" s="99" t="b">
        <f t="shared" si="1"/>
        <v>0</v>
      </c>
      <c r="N311" s="99"/>
      <c r="O311" s="85"/>
      <c r="P311" s="68"/>
    </row>
    <row r="312" hidden="1">
      <c r="A312" s="68"/>
      <c r="B312" s="79"/>
      <c r="C312" s="77"/>
      <c r="D312" s="79"/>
      <c r="E312" s="79"/>
      <c r="F312" s="93"/>
      <c r="G312" s="93"/>
      <c r="H312" s="103"/>
      <c r="I312" s="79"/>
      <c r="J312" s="100"/>
      <c r="K312" s="97" t="b">
        <f>IF(AND($M312=TRUE,$N312=TRUE),VLOOKUP($E312,RH!$B$47:$S$67,MONTH($G312)+6,FALSE))</f>
        <v>0</v>
      </c>
      <c r="L312" s="98">
        <f>IFERROR(IF(AND($M312=TRUE,$N312=TRUE),VLOOKUP($E312,RH!$B$47:$S$67,MONTH($G312)+6,FALSE)*$H312,0),0)</f>
        <v>0</v>
      </c>
      <c r="M312" s="99" t="b">
        <f t="shared" si="1"/>
        <v>0</v>
      </c>
      <c r="N312" s="99"/>
      <c r="O312" s="85"/>
      <c r="P312" s="68"/>
    </row>
    <row r="313" hidden="1">
      <c r="A313" s="68"/>
      <c r="B313" s="79"/>
      <c r="C313" s="77"/>
      <c r="D313" s="79"/>
      <c r="E313" s="79"/>
      <c r="F313" s="93"/>
      <c r="G313" s="93"/>
      <c r="H313" s="103"/>
      <c r="I313" s="79"/>
      <c r="J313" s="100"/>
      <c r="K313" s="97" t="b">
        <f>IF(AND($M313=TRUE,$N313=TRUE),VLOOKUP($E313,RH!$B$47:$S$67,MONTH($G313)+6,FALSE))</f>
        <v>0</v>
      </c>
      <c r="L313" s="98">
        <f>IFERROR(IF(AND($M313=TRUE,$N313=TRUE),VLOOKUP($E313,RH!$B$47:$S$67,MONTH($G313)+6,FALSE)*$H313,0),0)</f>
        <v>0</v>
      </c>
      <c r="M313" s="99" t="b">
        <f t="shared" si="1"/>
        <v>0</v>
      </c>
      <c r="N313" s="99"/>
      <c r="O313" s="85"/>
      <c r="P313" s="68"/>
    </row>
    <row r="314" hidden="1">
      <c r="A314" s="68"/>
      <c r="B314" s="79"/>
      <c r="C314" s="77"/>
      <c r="D314" s="79"/>
      <c r="E314" s="79"/>
      <c r="F314" s="93"/>
      <c r="G314" s="93"/>
      <c r="H314" s="103"/>
      <c r="I314" s="79"/>
      <c r="J314" s="100"/>
      <c r="K314" s="97" t="b">
        <f>IF(AND($M314=TRUE,$N314=TRUE),VLOOKUP($E314,RH!$B$47:$S$67,MONTH($G314)+6,FALSE))</f>
        <v>0</v>
      </c>
      <c r="L314" s="98">
        <f>IFERROR(IF(AND($M314=TRUE,$N314=TRUE),VLOOKUP($E314,RH!$B$47:$S$67,MONTH($G314)+6,FALSE)*$H314,0),0)</f>
        <v>0</v>
      </c>
      <c r="M314" s="99" t="b">
        <f t="shared" si="1"/>
        <v>0</v>
      </c>
      <c r="N314" s="99"/>
      <c r="O314" s="85"/>
      <c r="P314" s="68"/>
    </row>
    <row r="315" hidden="1">
      <c r="A315" s="68"/>
      <c r="B315" s="79"/>
      <c r="C315" s="77"/>
      <c r="D315" s="79"/>
      <c r="E315" s="79"/>
      <c r="F315" s="93"/>
      <c r="G315" s="93"/>
      <c r="H315" s="103"/>
      <c r="I315" s="79"/>
      <c r="J315" s="100"/>
      <c r="K315" s="97" t="b">
        <f>IF(AND($M315=TRUE,$N315=TRUE),VLOOKUP($E315,RH!$B$47:$S$67,MONTH($G315)+6,FALSE))</f>
        <v>0</v>
      </c>
      <c r="L315" s="98">
        <f>IFERROR(IF(AND($M315=TRUE,$N315=TRUE),VLOOKUP($E315,RH!$B$47:$S$67,MONTH($G315)+6,FALSE)*$H315,0),0)</f>
        <v>0</v>
      </c>
      <c r="M315" s="99" t="b">
        <f t="shared" si="1"/>
        <v>0</v>
      </c>
      <c r="N315" s="99"/>
      <c r="O315" s="85"/>
      <c r="P315" s="68"/>
    </row>
    <row r="316" hidden="1">
      <c r="A316" s="68"/>
      <c r="B316" s="79"/>
      <c r="C316" s="77"/>
      <c r="D316" s="79"/>
      <c r="E316" s="79"/>
      <c r="F316" s="93"/>
      <c r="G316" s="93"/>
      <c r="H316" s="103"/>
      <c r="I316" s="79"/>
      <c r="J316" s="100"/>
      <c r="K316" s="97" t="b">
        <f>IF(AND($M316=TRUE,$N316=TRUE),VLOOKUP($E316,RH!$B$47:$S$67,MONTH($G316)+6,FALSE))</f>
        <v>0</v>
      </c>
      <c r="L316" s="98">
        <f>IFERROR(IF(AND($M316=TRUE,$N316=TRUE),VLOOKUP($E316,RH!$B$47:$S$67,MONTH($G316)+6,FALSE)*$H316,0),0)</f>
        <v>0</v>
      </c>
      <c r="M316" s="99" t="b">
        <f t="shared" si="1"/>
        <v>0</v>
      </c>
      <c r="N316" s="99"/>
      <c r="O316" s="85"/>
      <c r="P316" s="68"/>
    </row>
    <row r="317" hidden="1">
      <c r="A317" s="68"/>
      <c r="B317" s="79"/>
      <c r="C317" s="77"/>
      <c r="D317" s="79"/>
      <c r="E317" s="79"/>
      <c r="F317" s="93"/>
      <c r="G317" s="93"/>
      <c r="H317" s="103"/>
      <c r="I317" s="79"/>
      <c r="J317" s="100"/>
      <c r="K317" s="97" t="b">
        <f>IF(AND($M317=TRUE,$N317=TRUE),VLOOKUP($E317,RH!$B$47:$S$67,MONTH($G317)+6,FALSE))</f>
        <v>0</v>
      </c>
      <c r="L317" s="98">
        <f>IFERROR(IF(AND($M317=TRUE,$N317=TRUE),VLOOKUP($E317,RH!$B$47:$S$67,MONTH($G317)+6,FALSE)*$H317,0),0)</f>
        <v>0</v>
      </c>
      <c r="M317" s="99" t="b">
        <f t="shared" si="1"/>
        <v>0</v>
      </c>
      <c r="N317" s="99"/>
      <c r="O317" s="85"/>
      <c r="P317" s="68"/>
    </row>
    <row r="318" hidden="1">
      <c r="A318" s="68"/>
      <c r="B318" s="79"/>
      <c r="C318" s="77"/>
      <c r="D318" s="79"/>
      <c r="E318" s="79"/>
      <c r="F318" s="93"/>
      <c r="G318" s="93"/>
      <c r="H318" s="103"/>
      <c r="I318" s="79"/>
      <c r="J318" s="100"/>
      <c r="K318" s="97" t="b">
        <f>IF(AND($M318=TRUE,$N318=TRUE),VLOOKUP($E318,RH!$B$47:$S$67,MONTH($G318)+6,FALSE))</f>
        <v>0</v>
      </c>
      <c r="L318" s="98">
        <f>IFERROR(IF(AND($M318=TRUE,$N318=TRUE),VLOOKUP($E318,RH!$B$47:$S$67,MONTH($G318)+6,FALSE)*$H318,0),0)</f>
        <v>0</v>
      </c>
      <c r="M318" s="99" t="b">
        <f t="shared" si="1"/>
        <v>0</v>
      </c>
      <c r="N318" s="99"/>
      <c r="O318" s="85"/>
      <c r="P318" s="68"/>
    </row>
    <row r="319" hidden="1">
      <c r="A319" s="68"/>
      <c r="B319" s="79"/>
      <c r="C319" s="77"/>
      <c r="D319" s="79"/>
      <c r="E319" s="79"/>
      <c r="F319" s="93"/>
      <c r="G319" s="93"/>
      <c r="H319" s="103"/>
      <c r="I319" s="79"/>
      <c r="J319" s="100"/>
      <c r="K319" s="97" t="b">
        <f>IF(AND($M319=TRUE,$N319=TRUE),VLOOKUP($E319,RH!$B$47:$S$67,MONTH($G319)+6,FALSE))</f>
        <v>0</v>
      </c>
      <c r="L319" s="98">
        <f>IFERROR(IF(AND($M319=TRUE,$N319=TRUE),VLOOKUP($E319,RH!$B$47:$S$67,MONTH($G319)+6,FALSE)*$H319,0),0)</f>
        <v>0</v>
      </c>
      <c r="M319" s="99" t="b">
        <f t="shared" si="1"/>
        <v>0</v>
      </c>
      <c r="N319" s="99"/>
      <c r="O319" s="85"/>
      <c r="P319" s="68"/>
    </row>
    <row r="320" hidden="1">
      <c r="A320" s="68"/>
      <c r="B320" s="79"/>
      <c r="C320" s="77"/>
      <c r="D320" s="79"/>
      <c r="E320" s="79"/>
      <c r="F320" s="93"/>
      <c r="G320" s="93"/>
      <c r="H320" s="103"/>
      <c r="I320" s="79"/>
      <c r="J320" s="100"/>
      <c r="K320" s="97" t="b">
        <f>IF(AND($M320=TRUE,$N320=TRUE),VLOOKUP($E320,RH!$B$47:$S$67,MONTH($G320)+6,FALSE))</f>
        <v>0</v>
      </c>
      <c r="L320" s="98">
        <f>IFERROR(IF(AND($M320=TRUE,$N320=TRUE),VLOOKUP($E320,RH!$B$47:$S$67,MONTH($G320)+6,FALSE)*$H320,0),0)</f>
        <v>0</v>
      </c>
      <c r="M320" s="99" t="b">
        <f t="shared" si="1"/>
        <v>0</v>
      </c>
      <c r="N320" s="99"/>
      <c r="O320" s="85"/>
      <c r="P320" s="68"/>
    </row>
    <row r="321" hidden="1">
      <c r="A321" s="68"/>
      <c r="B321" s="79"/>
      <c r="C321" s="77"/>
      <c r="D321" s="79"/>
      <c r="E321" s="79"/>
      <c r="F321" s="93"/>
      <c r="G321" s="93"/>
      <c r="H321" s="103"/>
      <c r="I321" s="79"/>
      <c r="J321" s="100"/>
      <c r="K321" s="97" t="b">
        <f>IF(AND($M321=TRUE,$N321=TRUE),VLOOKUP($E321,RH!$B$47:$S$67,MONTH($G321)+6,FALSE))</f>
        <v>0</v>
      </c>
      <c r="L321" s="98">
        <f>IFERROR(IF(AND($M321=TRUE,$N321=TRUE),VLOOKUP($E321,RH!$B$47:$S$67,MONTH($G321)+6,FALSE)*$H321,0),0)</f>
        <v>0</v>
      </c>
      <c r="M321" s="99" t="b">
        <f t="shared" si="1"/>
        <v>0</v>
      </c>
      <c r="N321" s="99"/>
      <c r="O321" s="85"/>
      <c r="P321" s="68"/>
    </row>
    <row r="322" hidden="1">
      <c r="A322" s="68"/>
      <c r="B322" s="79"/>
      <c r="C322" s="77"/>
      <c r="D322" s="79"/>
      <c r="E322" s="79"/>
      <c r="F322" s="93"/>
      <c r="G322" s="93"/>
      <c r="H322" s="103"/>
      <c r="I322" s="79"/>
      <c r="J322" s="100"/>
      <c r="K322" s="97" t="b">
        <f>IF(AND($M322=TRUE,$N322=TRUE),VLOOKUP($E322,RH!$B$47:$S$67,MONTH($G322)+6,FALSE))</f>
        <v>0</v>
      </c>
      <c r="L322" s="98">
        <f>IFERROR(IF(AND($M322=TRUE,$N322=TRUE),VLOOKUP($E322,RH!$B$47:$S$67,MONTH($G322)+6,FALSE)*$H322,0),0)</f>
        <v>0</v>
      </c>
      <c r="M322" s="99" t="b">
        <f t="shared" si="1"/>
        <v>0</v>
      </c>
      <c r="N322" s="99"/>
      <c r="O322" s="85"/>
      <c r="P322" s="68"/>
    </row>
    <row r="323" hidden="1">
      <c r="A323" s="68"/>
      <c r="B323" s="79"/>
      <c r="C323" s="77"/>
      <c r="D323" s="79"/>
      <c r="E323" s="79"/>
      <c r="F323" s="93"/>
      <c r="G323" s="93"/>
      <c r="H323" s="103"/>
      <c r="I323" s="79"/>
      <c r="J323" s="100"/>
      <c r="K323" s="97" t="b">
        <f>IF(AND($M323=TRUE,$N323=TRUE),VLOOKUP($E323,RH!$B$47:$S$67,MONTH($G323)+6,FALSE))</f>
        <v>0</v>
      </c>
      <c r="L323" s="98">
        <f>IFERROR(IF(AND($M323=TRUE,$N323=TRUE),VLOOKUP($E323,RH!$B$47:$S$67,MONTH($G323)+6,FALSE)*$H323,0),0)</f>
        <v>0</v>
      </c>
      <c r="M323" s="99" t="b">
        <f t="shared" si="1"/>
        <v>0</v>
      </c>
      <c r="N323" s="99"/>
      <c r="O323" s="85"/>
      <c r="P323" s="68"/>
    </row>
    <row r="324" hidden="1">
      <c r="A324" s="68"/>
      <c r="B324" s="79"/>
      <c r="C324" s="77"/>
      <c r="D324" s="79"/>
      <c r="E324" s="79"/>
      <c r="F324" s="93"/>
      <c r="G324" s="93"/>
      <c r="H324" s="103"/>
      <c r="I324" s="79"/>
      <c r="J324" s="100"/>
      <c r="K324" s="97" t="b">
        <f>IF(AND($M324=TRUE,$N324=TRUE),VLOOKUP($E324,RH!$B$47:$S$67,MONTH($G324)+6,FALSE))</f>
        <v>0</v>
      </c>
      <c r="L324" s="98">
        <f>IFERROR(IF(AND($M324=TRUE,$N324=TRUE),VLOOKUP($E324,RH!$B$47:$S$67,MONTH($G324)+6,FALSE)*$H324,0),0)</f>
        <v>0</v>
      </c>
      <c r="M324" s="99" t="b">
        <f t="shared" si="1"/>
        <v>0</v>
      </c>
      <c r="N324" s="99"/>
      <c r="O324" s="85"/>
      <c r="P324" s="68"/>
    </row>
    <row r="325" hidden="1">
      <c r="A325" s="68"/>
      <c r="B325" s="79"/>
      <c r="C325" s="77"/>
      <c r="D325" s="79"/>
      <c r="E325" s="79"/>
      <c r="F325" s="93"/>
      <c r="G325" s="93"/>
      <c r="H325" s="103"/>
      <c r="I325" s="79"/>
      <c r="J325" s="100"/>
      <c r="K325" s="97" t="b">
        <f>IF(AND($M325=TRUE,$N325=TRUE),VLOOKUP($E325,RH!$B$47:$S$67,MONTH($G325)+6,FALSE))</f>
        <v>0</v>
      </c>
      <c r="L325" s="98">
        <f>IFERROR(IF(AND($M325=TRUE,$N325=TRUE),VLOOKUP($E325,RH!$B$47:$S$67,MONTH($G325)+6,FALSE)*$H325,0),0)</f>
        <v>0</v>
      </c>
      <c r="M325" s="99" t="b">
        <f t="shared" si="1"/>
        <v>0</v>
      </c>
      <c r="N325" s="99"/>
      <c r="O325" s="85"/>
      <c r="P325" s="68"/>
    </row>
    <row r="326" hidden="1">
      <c r="A326" s="68"/>
      <c r="B326" s="79"/>
      <c r="C326" s="77"/>
      <c r="D326" s="79"/>
      <c r="E326" s="79"/>
      <c r="F326" s="93"/>
      <c r="G326" s="93"/>
      <c r="H326" s="103"/>
      <c r="I326" s="79"/>
      <c r="J326" s="100"/>
      <c r="K326" s="97" t="b">
        <f>IF(AND($M326=TRUE,$N326=TRUE),VLOOKUP($E326,RH!$B$47:$S$67,MONTH($G326)+6,FALSE))</f>
        <v>0</v>
      </c>
      <c r="L326" s="98">
        <f>IFERROR(IF(AND($M326=TRUE,$N326=TRUE),VLOOKUP($E326,RH!$B$47:$S$67,MONTH($G326)+6,FALSE)*$H326,0),0)</f>
        <v>0</v>
      </c>
      <c r="M326" s="99" t="b">
        <f t="shared" si="1"/>
        <v>0</v>
      </c>
      <c r="N326" s="99"/>
      <c r="O326" s="85"/>
      <c r="P326" s="68"/>
    </row>
    <row r="327" hidden="1">
      <c r="A327" s="68"/>
      <c r="B327" s="79"/>
      <c r="C327" s="77"/>
      <c r="D327" s="79"/>
      <c r="E327" s="79"/>
      <c r="F327" s="93"/>
      <c r="G327" s="93"/>
      <c r="H327" s="103"/>
      <c r="I327" s="79"/>
      <c r="J327" s="100"/>
      <c r="K327" s="97" t="b">
        <f>IF(AND($M327=TRUE,$N327=TRUE),VLOOKUP($E327,RH!$B$47:$S$67,MONTH($G327)+6,FALSE))</f>
        <v>0</v>
      </c>
      <c r="L327" s="98">
        <f>IFERROR(IF(AND($M327=TRUE,$N327=TRUE),VLOOKUP($E327,RH!$B$47:$S$67,MONTH($G327)+6,FALSE)*$H327,0),0)</f>
        <v>0</v>
      </c>
      <c r="M327" s="99" t="b">
        <f t="shared" si="1"/>
        <v>0</v>
      </c>
      <c r="N327" s="99"/>
      <c r="O327" s="85"/>
      <c r="P327" s="68"/>
    </row>
    <row r="328" hidden="1">
      <c r="A328" s="68"/>
      <c r="B328" s="79"/>
      <c r="C328" s="77"/>
      <c r="D328" s="79"/>
      <c r="E328" s="79"/>
      <c r="F328" s="93"/>
      <c r="G328" s="93"/>
      <c r="H328" s="103"/>
      <c r="I328" s="79"/>
      <c r="J328" s="100"/>
      <c r="K328" s="97" t="b">
        <f>IF(AND($M328=TRUE,$N328=TRUE),VLOOKUP($E328,RH!$B$47:$S$67,MONTH($G328)+6,FALSE))</f>
        <v>0</v>
      </c>
      <c r="L328" s="98">
        <f>IFERROR(IF(AND($M328=TRUE,$N328=TRUE),VLOOKUP($E328,RH!$B$47:$S$67,MONTH($G328)+6,FALSE)*$H328,0),0)</f>
        <v>0</v>
      </c>
      <c r="M328" s="99" t="b">
        <f t="shared" si="1"/>
        <v>0</v>
      </c>
      <c r="N328" s="99"/>
      <c r="O328" s="85"/>
      <c r="P328" s="68"/>
    </row>
    <row r="329" hidden="1">
      <c r="A329" s="68"/>
      <c r="B329" s="79"/>
      <c r="C329" s="77"/>
      <c r="D329" s="79"/>
      <c r="E329" s="79"/>
      <c r="F329" s="93"/>
      <c r="G329" s="93"/>
      <c r="H329" s="103"/>
      <c r="I329" s="79"/>
      <c r="J329" s="100"/>
      <c r="K329" s="97" t="b">
        <f>IF(AND($M329=TRUE,$N329=TRUE),VLOOKUP($E329,RH!$B$47:$S$67,MONTH($G329)+6,FALSE))</f>
        <v>0</v>
      </c>
      <c r="L329" s="98">
        <f>IFERROR(IF(AND($M329=TRUE,$N329=TRUE),VLOOKUP($E329,RH!$B$47:$S$67,MONTH($G329)+6,FALSE)*$H329,0),0)</f>
        <v>0</v>
      </c>
      <c r="M329" s="99" t="b">
        <f t="shared" si="1"/>
        <v>0</v>
      </c>
      <c r="N329" s="99"/>
      <c r="O329" s="85"/>
      <c r="P329" s="68"/>
    </row>
    <row r="330" hidden="1">
      <c r="A330" s="68"/>
      <c r="B330" s="79"/>
      <c r="C330" s="77"/>
      <c r="D330" s="79"/>
      <c r="E330" s="79"/>
      <c r="F330" s="93"/>
      <c r="G330" s="93"/>
      <c r="H330" s="103"/>
      <c r="I330" s="79"/>
      <c r="J330" s="100"/>
      <c r="K330" s="97" t="b">
        <f>IF(AND($M330=TRUE,$N330=TRUE),VLOOKUP($E330,RH!$B$47:$S$67,MONTH($G330)+6,FALSE))</f>
        <v>0</v>
      </c>
      <c r="L330" s="98">
        <f>IFERROR(IF(AND($M330=TRUE,$N330=TRUE),VLOOKUP($E330,RH!$B$47:$S$67,MONTH($G330)+6,FALSE)*$H330,0),0)</f>
        <v>0</v>
      </c>
      <c r="M330" s="99" t="b">
        <f t="shared" si="1"/>
        <v>0</v>
      </c>
      <c r="N330" s="99"/>
      <c r="O330" s="85"/>
      <c r="P330" s="68"/>
    </row>
    <row r="331" hidden="1">
      <c r="A331" s="68"/>
      <c r="B331" s="79"/>
      <c r="C331" s="77"/>
      <c r="D331" s="79"/>
      <c r="E331" s="79"/>
      <c r="F331" s="93"/>
      <c r="G331" s="93"/>
      <c r="H331" s="103"/>
      <c r="I331" s="79"/>
      <c r="J331" s="100"/>
      <c r="K331" s="97" t="b">
        <f>IF(AND($M331=TRUE,$N331=TRUE),VLOOKUP($E331,RH!$B$47:$S$67,MONTH($G331)+6,FALSE))</f>
        <v>0</v>
      </c>
      <c r="L331" s="98">
        <f>IFERROR(IF(AND($M331=TRUE,$N331=TRUE),VLOOKUP($E331,RH!$B$47:$S$67,MONTH($G331)+6,FALSE)*$H331,0),0)</f>
        <v>0</v>
      </c>
      <c r="M331" s="99" t="b">
        <f t="shared" si="1"/>
        <v>0</v>
      </c>
      <c r="N331" s="99"/>
      <c r="O331" s="85"/>
      <c r="P331" s="68"/>
    </row>
    <row r="332" hidden="1">
      <c r="A332" s="68"/>
      <c r="B332" s="79"/>
      <c r="C332" s="77"/>
      <c r="D332" s="79"/>
      <c r="E332" s="79"/>
      <c r="F332" s="93"/>
      <c r="G332" s="93"/>
      <c r="H332" s="103"/>
      <c r="I332" s="79"/>
      <c r="J332" s="100"/>
      <c r="K332" s="97" t="b">
        <f>IF(AND($M332=TRUE,$N332=TRUE),VLOOKUP($E332,RH!$B$47:$S$67,MONTH($G332)+6,FALSE))</f>
        <v>0</v>
      </c>
      <c r="L332" s="98">
        <f>IFERROR(IF(AND($M332=TRUE,$N332=TRUE),VLOOKUP($E332,RH!$B$47:$S$67,MONTH($G332)+6,FALSE)*$H332,0),0)</f>
        <v>0</v>
      </c>
      <c r="M332" s="99" t="b">
        <f t="shared" si="1"/>
        <v>0</v>
      </c>
      <c r="N332" s="99"/>
      <c r="O332" s="85"/>
      <c r="P332" s="68"/>
    </row>
    <row r="333" hidden="1">
      <c r="A333" s="68"/>
      <c r="B333" s="79"/>
      <c r="C333" s="77"/>
      <c r="D333" s="79"/>
      <c r="E333" s="79"/>
      <c r="F333" s="93"/>
      <c r="G333" s="93"/>
      <c r="H333" s="103"/>
      <c r="I333" s="79"/>
      <c r="J333" s="100"/>
      <c r="K333" s="97" t="b">
        <f>IF(AND($M333=TRUE,$N333=TRUE),VLOOKUP($E333,RH!$B$47:$S$67,MONTH($G333)+6,FALSE))</f>
        <v>0</v>
      </c>
      <c r="L333" s="98">
        <f>IFERROR(IF(AND($M333=TRUE,$N333=TRUE),VLOOKUP($E333,RH!$B$47:$S$67,MONTH($G333)+6,FALSE)*$H333,0),0)</f>
        <v>0</v>
      </c>
      <c r="M333" s="99" t="b">
        <f t="shared" si="1"/>
        <v>0</v>
      </c>
      <c r="N333" s="99"/>
      <c r="O333" s="85"/>
      <c r="P333" s="68"/>
    </row>
    <row r="334" hidden="1">
      <c r="A334" s="68"/>
      <c r="B334" s="79"/>
      <c r="C334" s="77"/>
      <c r="D334" s="79"/>
      <c r="E334" s="79"/>
      <c r="F334" s="93"/>
      <c r="G334" s="93"/>
      <c r="H334" s="103"/>
      <c r="I334" s="79"/>
      <c r="J334" s="100"/>
      <c r="K334" s="97" t="b">
        <f>IF(AND($M334=TRUE,$N334=TRUE),VLOOKUP($E334,RH!$B$47:$S$67,MONTH($G334)+6,FALSE))</f>
        <v>0</v>
      </c>
      <c r="L334" s="98">
        <f>IFERROR(IF(AND($M334=TRUE,$N334=TRUE),VLOOKUP($E334,RH!$B$47:$S$67,MONTH($G334)+6,FALSE)*$H334,0),0)</f>
        <v>0</v>
      </c>
      <c r="M334" s="99" t="b">
        <f t="shared" si="1"/>
        <v>0</v>
      </c>
      <c r="N334" s="99"/>
      <c r="O334" s="85"/>
      <c r="P334" s="68"/>
    </row>
    <row r="335" hidden="1">
      <c r="A335" s="68"/>
      <c r="B335" s="79"/>
      <c r="C335" s="77"/>
      <c r="D335" s="79"/>
      <c r="E335" s="79"/>
      <c r="F335" s="93"/>
      <c r="G335" s="93"/>
      <c r="H335" s="103"/>
      <c r="I335" s="79"/>
      <c r="J335" s="100"/>
      <c r="K335" s="97" t="b">
        <f>IF(AND($M335=TRUE,$N335=TRUE),VLOOKUP($E335,RH!$B$47:$S$67,MONTH($G335)+6,FALSE))</f>
        <v>0</v>
      </c>
      <c r="L335" s="98">
        <f>IFERROR(IF(AND($M335=TRUE,$N335=TRUE),VLOOKUP($E335,RH!$B$47:$S$67,MONTH($G335)+6,FALSE)*$H335,0),0)</f>
        <v>0</v>
      </c>
      <c r="M335" s="99" t="b">
        <f t="shared" si="1"/>
        <v>0</v>
      </c>
      <c r="N335" s="99"/>
      <c r="O335" s="85"/>
      <c r="P335" s="68"/>
    </row>
    <row r="336" hidden="1">
      <c r="A336" s="68"/>
      <c r="B336" s="79"/>
      <c r="C336" s="77"/>
      <c r="D336" s="79"/>
      <c r="E336" s="79"/>
      <c r="F336" s="93"/>
      <c r="G336" s="93"/>
      <c r="H336" s="103"/>
      <c r="I336" s="79"/>
      <c r="J336" s="100"/>
      <c r="K336" s="97" t="b">
        <f>IF(AND($M336=TRUE,$N336=TRUE),VLOOKUP($E336,RH!$B$47:$S$67,MONTH($G336)+6,FALSE))</f>
        <v>0</v>
      </c>
      <c r="L336" s="98">
        <f>IFERROR(IF(AND($M336=TRUE,$N336=TRUE),VLOOKUP($E336,RH!$B$47:$S$67,MONTH($G336)+6,FALSE)*$H336,0),0)</f>
        <v>0</v>
      </c>
      <c r="M336" s="99" t="b">
        <f t="shared" si="1"/>
        <v>0</v>
      </c>
      <c r="N336" s="99"/>
      <c r="O336" s="85"/>
      <c r="P336" s="68"/>
    </row>
    <row r="337" hidden="1">
      <c r="A337" s="68"/>
      <c r="B337" s="79"/>
      <c r="C337" s="77"/>
      <c r="D337" s="79"/>
      <c r="E337" s="79"/>
      <c r="F337" s="93"/>
      <c r="G337" s="93"/>
      <c r="H337" s="103"/>
      <c r="I337" s="79"/>
      <c r="J337" s="100"/>
      <c r="K337" s="97" t="b">
        <f>IF(AND($M337=TRUE,$N337=TRUE),VLOOKUP($E337,RH!$B$47:$S$67,MONTH($G337)+6,FALSE))</f>
        <v>0</v>
      </c>
      <c r="L337" s="98">
        <f>IFERROR(IF(AND($M337=TRUE,$N337=TRUE),VLOOKUP($E337,RH!$B$47:$S$67,MONTH($G337)+6,FALSE)*$H337,0),0)</f>
        <v>0</v>
      </c>
      <c r="M337" s="99" t="b">
        <f t="shared" si="1"/>
        <v>0</v>
      </c>
      <c r="N337" s="99"/>
      <c r="O337" s="85"/>
      <c r="P337" s="68"/>
    </row>
    <row r="338" hidden="1">
      <c r="A338" s="68"/>
      <c r="B338" s="79"/>
      <c r="C338" s="77"/>
      <c r="D338" s="79"/>
      <c r="E338" s="79"/>
      <c r="F338" s="93"/>
      <c r="G338" s="93"/>
      <c r="H338" s="103"/>
      <c r="I338" s="79"/>
      <c r="J338" s="100"/>
      <c r="K338" s="97" t="b">
        <f>IF(AND($M338=TRUE,$N338=TRUE),VLOOKUP($E338,RH!$B$47:$S$67,MONTH($G338)+6,FALSE))</f>
        <v>0</v>
      </c>
      <c r="L338" s="98">
        <f>IFERROR(IF(AND($M338=TRUE,$N338=TRUE),VLOOKUP($E338,RH!$B$47:$S$67,MONTH($G338)+6,FALSE)*$H338,0),0)</f>
        <v>0</v>
      </c>
      <c r="M338" s="99" t="b">
        <f t="shared" si="1"/>
        <v>0</v>
      </c>
      <c r="N338" s="99"/>
      <c r="O338" s="85"/>
      <c r="P338" s="68"/>
    </row>
    <row r="339" hidden="1">
      <c r="A339" s="68"/>
      <c r="B339" s="79"/>
      <c r="C339" s="77"/>
      <c r="D339" s="79"/>
      <c r="E339" s="79"/>
      <c r="F339" s="93"/>
      <c r="G339" s="93"/>
      <c r="H339" s="103"/>
      <c r="I339" s="79"/>
      <c r="J339" s="100"/>
      <c r="K339" s="97" t="b">
        <f>IF(AND($M339=TRUE,$N339=TRUE),VLOOKUP($E339,RH!$B$47:$S$67,MONTH($G339)+6,FALSE))</f>
        <v>0</v>
      </c>
      <c r="L339" s="98">
        <f>IFERROR(IF(AND($M339=TRUE,$N339=TRUE),VLOOKUP($E339,RH!$B$47:$S$67,MONTH($G339)+6,FALSE)*$H339,0),0)</f>
        <v>0</v>
      </c>
      <c r="M339" s="99" t="b">
        <f t="shared" si="1"/>
        <v>0</v>
      </c>
      <c r="N339" s="99"/>
      <c r="O339" s="85"/>
      <c r="P339" s="68"/>
    </row>
    <row r="340" hidden="1">
      <c r="A340" s="68"/>
      <c r="B340" s="79"/>
      <c r="C340" s="77"/>
      <c r="D340" s="79"/>
      <c r="E340" s="79"/>
      <c r="F340" s="93"/>
      <c r="G340" s="93"/>
      <c r="H340" s="103"/>
      <c r="I340" s="79"/>
      <c r="J340" s="100"/>
      <c r="K340" s="97" t="b">
        <f>IF(AND($M340=TRUE,$N340=TRUE),VLOOKUP($E340,RH!$B$47:$S$67,MONTH($G340)+6,FALSE))</f>
        <v>0</v>
      </c>
      <c r="L340" s="98">
        <f>IFERROR(IF(AND($M340=TRUE,$N340=TRUE),VLOOKUP($E340,RH!$B$47:$S$67,MONTH($G340)+6,FALSE)*$H340,0),0)</f>
        <v>0</v>
      </c>
      <c r="M340" s="99" t="b">
        <f t="shared" si="1"/>
        <v>0</v>
      </c>
      <c r="N340" s="99"/>
      <c r="O340" s="85"/>
      <c r="P340" s="68"/>
    </row>
    <row r="341" hidden="1">
      <c r="A341" s="68"/>
      <c r="B341" s="79"/>
      <c r="C341" s="77"/>
      <c r="D341" s="79"/>
      <c r="E341" s="79"/>
      <c r="F341" s="93"/>
      <c r="G341" s="93"/>
      <c r="H341" s="103"/>
      <c r="I341" s="79"/>
      <c r="J341" s="100"/>
      <c r="K341" s="97" t="b">
        <f>IF(AND($M341=TRUE,$N341=TRUE),VLOOKUP($E341,RH!$B$47:$S$67,MONTH($G341)+6,FALSE))</f>
        <v>0</v>
      </c>
      <c r="L341" s="98">
        <f>IFERROR(IF(AND($M341=TRUE,$N341=TRUE),VLOOKUP($E341,RH!$B$47:$S$67,MONTH($G341)+6,FALSE)*$H341,0),0)</f>
        <v>0</v>
      </c>
      <c r="M341" s="99" t="b">
        <f t="shared" si="1"/>
        <v>0</v>
      </c>
      <c r="N341" s="99"/>
      <c r="O341" s="85"/>
      <c r="P341" s="68"/>
    </row>
    <row r="342" hidden="1">
      <c r="A342" s="68"/>
      <c r="B342" s="79"/>
      <c r="C342" s="77"/>
      <c r="D342" s="79"/>
      <c r="E342" s="79"/>
      <c r="F342" s="93"/>
      <c r="G342" s="93"/>
      <c r="H342" s="103"/>
      <c r="I342" s="79"/>
      <c r="J342" s="100"/>
      <c r="K342" s="97" t="b">
        <f>IF(AND($M342=TRUE,$N342=TRUE),VLOOKUP($E342,RH!$B$47:$S$67,MONTH($G342)+6,FALSE))</f>
        <v>0</v>
      </c>
      <c r="L342" s="98">
        <f>IFERROR(IF(AND($M342=TRUE,$N342=TRUE),VLOOKUP($E342,RH!$B$47:$S$67,MONTH($G342)+6,FALSE)*$H342,0),0)</f>
        <v>0</v>
      </c>
      <c r="M342" s="99" t="b">
        <f t="shared" si="1"/>
        <v>0</v>
      </c>
      <c r="N342" s="99"/>
      <c r="O342" s="85"/>
      <c r="P342" s="68"/>
    </row>
    <row r="343" hidden="1">
      <c r="A343" s="68"/>
      <c r="B343" s="79"/>
      <c r="C343" s="77"/>
      <c r="D343" s="79"/>
      <c r="E343" s="79"/>
      <c r="F343" s="93"/>
      <c r="G343" s="93"/>
      <c r="H343" s="103"/>
      <c r="I343" s="79"/>
      <c r="J343" s="100"/>
      <c r="K343" s="97" t="b">
        <f>IF(AND($M343=TRUE,$N343=TRUE),VLOOKUP($E343,RH!$B$47:$S$67,MONTH($G343)+6,FALSE))</f>
        <v>0</v>
      </c>
      <c r="L343" s="98">
        <f>IFERROR(IF(AND($M343=TRUE,$N343=TRUE),VLOOKUP($E343,RH!$B$47:$S$67,MONTH($G343)+6,FALSE)*$H343,0),0)</f>
        <v>0</v>
      </c>
      <c r="M343" s="99" t="b">
        <f t="shared" si="1"/>
        <v>0</v>
      </c>
      <c r="N343" s="99"/>
      <c r="O343" s="85"/>
      <c r="P343" s="68"/>
    </row>
    <row r="344" hidden="1">
      <c r="A344" s="68"/>
      <c r="B344" s="79"/>
      <c r="C344" s="77"/>
      <c r="D344" s="79"/>
      <c r="E344" s="79"/>
      <c r="F344" s="93"/>
      <c r="G344" s="93"/>
      <c r="H344" s="103"/>
      <c r="I344" s="79"/>
      <c r="J344" s="100"/>
      <c r="K344" s="97" t="b">
        <f>IF(AND($M344=TRUE,$N344=TRUE),VLOOKUP($E344,RH!$B$47:$S$67,MONTH($G344)+6,FALSE))</f>
        <v>0</v>
      </c>
      <c r="L344" s="98">
        <f>IFERROR(IF(AND($M344=TRUE,$N344=TRUE),VLOOKUP($E344,RH!$B$47:$S$67,MONTH($G344)+6,FALSE)*$H344,0),0)</f>
        <v>0</v>
      </c>
      <c r="M344" s="99" t="b">
        <f t="shared" si="1"/>
        <v>0</v>
      </c>
      <c r="N344" s="99"/>
      <c r="O344" s="85"/>
      <c r="P344" s="68"/>
    </row>
    <row r="345" hidden="1">
      <c r="A345" s="68"/>
      <c r="B345" s="79"/>
      <c r="C345" s="77"/>
      <c r="D345" s="79"/>
      <c r="E345" s="79"/>
      <c r="F345" s="93"/>
      <c r="G345" s="93"/>
      <c r="H345" s="103"/>
      <c r="I345" s="79"/>
      <c r="J345" s="100"/>
      <c r="K345" s="97" t="b">
        <f>IF(AND($M345=TRUE,$N345=TRUE),VLOOKUP($E345,RH!$B$47:$S$67,MONTH($G345)+6,FALSE))</f>
        <v>0</v>
      </c>
      <c r="L345" s="98">
        <f>IFERROR(IF(AND($M345=TRUE,$N345=TRUE),VLOOKUP($E345,RH!$B$47:$S$67,MONTH($G345)+6,FALSE)*$H345,0),0)</f>
        <v>0</v>
      </c>
      <c r="M345" s="99" t="b">
        <f t="shared" si="1"/>
        <v>0</v>
      </c>
      <c r="N345" s="99"/>
      <c r="O345" s="85"/>
      <c r="P345" s="68"/>
    </row>
    <row r="346" hidden="1">
      <c r="A346" s="68"/>
      <c r="B346" s="79"/>
      <c r="C346" s="77"/>
      <c r="D346" s="79"/>
      <c r="E346" s="79"/>
      <c r="F346" s="93"/>
      <c r="G346" s="93"/>
      <c r="H346" s="103"/>
      <c r="I346" s="79"/>
      <c r="J346" s="100"/>
      <c r="K346" s="97" t="b">
        <f>IF(AND($M346=TRUE,$N346=TRUE),VLOOKUP($E346,RH!$B$47:$S$67,MONTH($G346)+6,FALSE))</f>
        <v>0</v>
      </c>
      <c r="L346" s="98">
        <f>IFERROR(IF(AND($M346=TRUE,$N346=TRUE),VLOOKUP($E346,RH!$B$47:$S$67,MONTH($G346)+6,FALSE)*$H346,0),0)</f>
        <v>0</v>
      </c>
      <c r="M346" s="99" t="b">
        <f t="shared" si="1"/>
        <v>0</v>
      </c>
      <c r="N346" s="99"/>
      <c r="O346" s="85"/>
      <c r="P346" s="68"/>
    </row>
    <row r="347" hidden="1">
      <c r="A347" s="68"/>
      <c r="B347" s="79"/>
      <c r="C347" s="77"/>
      <c r="D347" s="79"/>
      <c r="E347" s="79"/>
      <c r="F347" s="93"/>
      <c r="G347" s="93"/>
      <c r="H347" s="103"/>
      <c r="I347" s="79"/>
      <c r="J347" s="100"/>
      <c r="K347" s="97" t="b">
        <f>IF(AND($M347=TRUE,$N347=TRUE),VLOOKUP($E347,RH!$B$47:$S$67,MONTH($G347)+6,FALSE))</f>
        <v>0</v>
      </c>
      <c r="L347" s="98">
        <f>IFERROR(IF(AND($M347=TRUE,$N347=TRUE),VLOOKUP($E347,RH!$B$47:$S$67,MONTH($G347)+6,FALSE)*$H347,0),0)</f>
        <v>0</v>
      </c>
      <c r="M347" s="99" t="b">
        <f t="shared" si="1"/>
        <v>0</v>
      </c>
      <c r="N347" s="99"/>
      <c r="O347" s="85"/>
      <c r="P347" s="68"/>
    </row>
    <row r="348" hidden="1">
      <c r="A348" s="68"/>
      <c r="B348" s="79"/>
      <c r="C348" s="77"/>
      <c r="D348" s="79"/>
      <c r="E348" s="79"/>
      <c r="F348" s="93"/>
      <c r="G348" s="93"/>
      <c r="H348" s="103"/>
      <c r="I348" s="79"/>
      <c r="J348" s="100"/>
      <c r="K348" s="97" t="b">
        <f>IF(AND($M348=TRUE,$N348=TRUE),VLOOKUP($E348,RH!$B$47:$S$67,MONTH($G348)+6,FALSE))</f>
        <v>0</v>
      </c>
      <c r="L348" s="98">
        <f>IFERROR(IF(AND($M348=TRUE,$N348=TRUE),VLOOKUP($E348,RH!$B$47:$S$67,MONTH($G348)+6,FALSE)*$H348,0),0)</f>
        <v>0</v>
      </c>
      <c r="M348" s="99" t="b">
        <f t="shared" si="1"/>
        <v>0</v>
      </c>
      <c r="N348" s="99"/>
      <c r="O348" s="85"/>
      <c r="P348" s="68"/>
    </row>
    <row r="349" hidden="1">
      <c r="A349" s="68"/>
      <c r="B349" s="79"/>
      <c r="C349" s="77"/>
      <c r="D349" s="79"/>
      <c r="E349" s="79"/>
      <c r="F349" s="93"/>
      <c r="G349" s="93"/>
      <c r="H349" s="103"/>
      <c r="I349" s="79"/>
      <c r="J349" s="100"/>
      <c r="K349" s="97" t="b">
        <f>IF(AND($M349=TRUE,$N349=TRUE),VLOOKUP($E349,RH!$B$47:$S$67,MONTH($G349)+6,FALSE))</f>
        <v>0</v>
      </c>
      <c r="L349" s="98">
        <f>IFERROR(IF(AND($M349=TRUE,$N349=TRUE),VLOOKUP($E349,RH!$B$47:$S$67,MONTH($G349)+6,FALSE)*$H349,0),0)</f>
        <v>0</v>
      </c>
      <c r="M349" s="99" t="b">
        <f t="shared" si="1"/>
        <v>0</v>
      </c>
      <c r="N349" s="99"/>
      <c r="O349" s="85"/>
      <c r="P349" s="68"/>
    </row>
    <row r="350" hidden="1">
      <c r="A350" s="68"/>
      <c r="B350" s="79"/>
      <c r="C350" s="77"/>
      <c r="D350" s="79"/>
      <c r="E350" s="79"/>
      <c r="F350" s="93"/>
      <c r="G350" s="93"/>
      <c r="H350" s="103"/>
      <c r="I350" s="79"/>
      <c r="J350" s="100"/>
      <c r="K350" s="97" t="b">
        <f>IF(AND($M350=TRUE,$N350=TRUE),VLOOKUP($E350,RH!$B$47:$S$67,MONTH($G350)+6,FALSE))</f>
        <v>0</v>
      </c>
      <c r="L350" s="98">
        <f>IFERROR(IF(AND($M350=TRUE,$N350=TRUE),VLOOKUP($E350,RH!$B$47:$S$67,MONTH($G350)+6,FALSE)*$H350,0),0)</f>
        <v>0</v>
      </c>
      <c r="M350" s="99" t="b">
        <f t="shared" si="1"/>
        <v>0</v>
      </c>
      <c r="N350" s="99"/>
      <c r="O350" s="85"/>
      <c r="P350" s="68"/>
    </row>
    <row r="351" hidden="1">
      <c r="A351" s="68"/>
      <c r="B351" s="79"/>
      <c r="C351" s="77"/>
      <c r="D351" s="79"/>
      <c r="E351" s="79"/>
      <c r="F351" s="93"/>
      <c r="G351" s="93"/>
      <c r="H351" s="103"/>
      <c r="I351" s="79"/>
      <c r="J351" s="100"/>
      <c r="K351" s="97" t="b">
        <f>IF(AND($M351=TRUE,$N351=TRUE),VLOOKUP($E351,RH!$B$47:$S$67,MONTH($G351)+6,FALSE))</f>
        <v>0</v>
      </c>
      <c r="L351" s="98">
        <f>IFERROR(IF(AND($M351=TRUE,$N351=TRUE),VLOOKUP($E351,RH!$B$47:$S$67,MONTH($G351)+6,FALSE)*$H351,0),0)</f>
        <v>0</v>
      </c>
      <c r="M351" s="99" t="b">
        <f t="shared" si="1"/>
        <v>0</v>
      </c>
      <c r="N351" s="99"/>
      <c r="O351" s="85"/>
      <c r="P351" s="68"/>
    </row>
    <row r="352" hidden="1">
      <c r="A352" s="68"/>
      <c r="B352" s="79"/>
      <c r="C352" s="77"/>
      <c r="D352" s="79"/>
      <c r="E352" s="79"/>
      <c r="F352" s="93"/>
      <c r="G352" s="93"/>
      <c r="H352" s="103"/>
      <c r="I352" s="79"/>
      <c r="J352" s="100"/>
      <c r="K352" s="97" t="b">
        <f>IF(AND($M352=TRUE,$N352=TRUE),VLOOKUP($E352,RH!$B$47:$S$67,MONTH($G352)+6,FALSE))</f>
        <v>0</v>
      </c>
      <c r="L352" s="98">
        <f>IFERROR(IF(AND($M352=TRUE,$N352=TRUE),VLOOKUP($E352,RH!$B$47:$S$67,MONTH($G352)+6,FALSE)*$H352,0),0)</f>
        <v>0</v>
      </c>
      <c r="M352" s="99" t="b">
        <f t="shared" si="1"/>
        <v>0</v>
      </c>
      <c r="N352" s="99"/>
      <c r="O352" s="85"/>
      <c r="P352" s="68"/>
    </row>
    <row r="353" hidden="1">
      <c r="A353" s="68"/>
      <c r="B353" s="79"/>
      <c r="C353" s="77"/>
      <c r="D353" s="79"/>
      <c r="E353" s="79"/>
      <c r="F353" s="93"/>
      <c r="G353" s="93"/>
      <c r="H353" s="103"/>
      <c r="I353" s="79"/>
      <c r="J353" s="100"/>
      <c r="K353" s="97" t="b">
        <f>IF(AND($M353=TRUE,$N353=TRUE),VLOOKUP($E353,RH!$B$47:$S$67,MONTH($G353)+6,FALSE))</f>
        <v>0</v>
      </c>
      <c r="L353" s="98">
        <f>IFERROR(IF(AND($M353=TRUE,$N353=TRUE),VLOOKUP($E353,RH!$B$47:$S$67,MONTH($G353)+6,FALSE)*$H353,0),0)</f>
        <v>0</v>
      </c>
      <c r="M353" s="99" t="b">
        <f t="shared" si="1"/>
        <v>0</v>
      </c>
      <c r="N353" s="99"/>
      <c r="O353" s="85"/>
      <c r="P353" s="68"/>
    </row>
    <row r="354" hidden="1">
      <c r="A354" s="68"/>
      <c r="B354" s="79"/>
      <c r="C354" s="77"/>
      <c r="D354" s="79"/>
      <c r="E354" s="79"/>
      <c r="F354" s="93"/>
      <c r="G354" s="93"/>
      <c r="H354" s="103"/>
      <c r="I354" s="79"/>
      <c r="J354" s="100"/>
      <c r="K354" s="97" t="b">
        <f>IF(AND($M354=TRUE,$N354=TRUE),VLOOKUP($E354,RH!$B$47:$S$67,MONTH($G354)+6,FALSE))</f>
        <v>0</v>
      </c>
      <c r="L354" s="98">
        <f>IFERROR(IF(AND($M354=TRUE,$N354=TRUE),VLOOKUP($E354,RH!$B$47:$S$67,MONTH($G354)+6,FALSE)*$H354,0),0)</f>
        <v>0</v>
      </c>
      <c r="M354" s="99" t="b">
        <f t="shared" si="1"/>
        <v>0</v>
      </c>
      <c r="N354" s="99"/>
      <c r="O354" s="85"/>
      <c r="P354" s="68"/>
    </row>
    <row r="355" hidden="1">
      <c r="A355" s="68"/>
      <c r="B355" s="79"/>
      <c r="C355" s="77"/>
      <c r="D355" s="79"/>
      <c r="E355" s="79"/>
      <c r="F355" s="93"/>
      <c r="G355" s="93"/>
      <c r="H355" s="103"/>
      <c r="I355" s="79"/>
      <c r="J355" s="100"/>
      <c r="K355" s="97" t="b">
        <f>IF(AND($M355=TRUE,$N355=TRUE),VLOOKUP($E355,RH!$B$47:$S$67,MONTH($G355)+6,FALSE))</f>
        <v>0</v>
      </c>
      <c r="L355" s="98">
        <f>IFERROR(IF(AND($M355=TRUE,$N355=TRUE),VLOOKUP($E355,RH!$B$47:$S$67,MONTH($G355)+6,FALSE)*$H355,0),0)</f>
        <v>0</v>
      </c>
      <c r="M355" s="99" t="b">
        <f t="shared" si="1"/>
        <v>0</v>
      </c>
      <c r="N355" s="99"/>
      <c r="O355" s="85"/>
      <c r="P355" s="68"/>
    </row>
    <row r="356" hidden="1">
      <c r="A356" s="68"/>
      <c r="B356" s="79"/>
      <c r="C356" s="77"/>
      <c r="D356" s="79"/>
      <c r="E356" s="79"/>
      <c r="F356" s="93"/>
      <c r="G356" s="93"/>
      <c r="H356" s="103"/>
      <c r="I356" s="79"/>
      <c r="J356" s="100"/>
      <c r="K356" s="97" t="b">
        <f>IF(AND($M356=TRUE,$N356=TRUE),VLOOKUP($E356,RH!$B$47:$S$67,MONTH($G356)+6,FALSE))</f>
        <v>0</v>
      </c>
      <c r="L356" s="98">
        <f>IFERROR(IF(AND($M356=TRUE,$N356=TRUE),VLOOKUP($E356,RH!$B$47:$S$67,MONTH($G356)+6,FALSE)*$H356,0),0)</f>
        <v>0</v>
      </c>
      <c r="M356" s="99" t="b">
        <f t="shared" si="1"/>
        <v>0</v>
      </c>
      <c r="N356" s="99"/>
      <c r="O356" s="85"/>
      <c r="P356" s="68"/>
    </row>
    <row r="357" hidden="1">
      <c r="A357" s="68"/>
      <c r="B357" s="79"/>
      <c r="C357" s="77"/>
      <c r="D357" s="79"/>
      <c r="E357" s="79"/>
      <c r="F357" s="93"/>
      <c r="G357" s="93"/>
      <c r="H357" s="103"/>
      <c r="I357" s="79"/>
      <c r="J357" s="100"/>
      <c r="K357" s="97" t="b">
        <f>IF(AND($M357=TRUE,$N357=TRUE),VLOOKUP($E357,RH!$B$47:$S$67,MONTH($G357)+6,FALSE))</f>
        <v>0</v>
      </c>
      <c r="L357" s="98">
        <f>IFERROR(IF(AND($M357=TRUE,$N357=TRUE),VLOOKUP($E357,RH!$B$47:$S$67,MONTH($G357)+6,FALSE)*$H357,0),0)</f>
        <v>0</v>
      </c>
      <c r="M357" s="99" t="b">
        <f t="shared" si="1"/>
        <v>0</v>
      </c>
      <c r="N357" s="99"/>
      <c r="O357" s="85"/>
      <c r="P357" s="68"/>
    </row>
    <row r="358" hidden="1">
      <c r="A358" s="68"/>
      <c r="B358" s="79"/>
      <c r="C358" s="77"/>
      <c r="D358" s="79"/>
      <c r="E358" s="79"/>
      <c r="F358" s="93"/>
      <c r="G358" s="93"/>
      <c r="H358" s="103"/>
      <c r="I358" s="79"/>
      <c r="J358" s="100"/>
      <c r="K358" s="97" t="b">
        <f>IF(AND($M358=TRUE,$N358=TRUE),VLOOKUP($E358,RH!$B$47:$S$67,MONTH($G358)+6,FALSE))</f>
        <v>0</v>
      </c>
      <c r="L358" s="98">
        <f>IFERROR(IF(AND($M358=TRUE,$N358=TRUE),VLOOKUP($E358,RH!$B$47:$S$67,MONTH($G358)+6,FALSE)*$H358,0),0)</f>
        <v>0</v>
      </c>
      <c r="M358" s="99" t="b">
        <f t="shared" si="1"/>
        <v>0</v>
      </c>
      <c r="N358" s="99"/>
      <c r="O358" s="85"/>
      <c r="P358" s="68"/>
    </row>
    <row r="359" hidden="1">
      <c r="A359" s="68"/>
      <c r="B359" s="79"/>
      <c r="C359" s="77"/>
      <c r="D359" s="79"/>
      <c r="E359" s="79"/>
      <c r="F359" s="93"/>
      <c r="G359" s="93"/>
      <c r="H359" s="103"/>
      <c r="I359" s="79"/>
      <c r="J359" s="100"/>
      <c r="K359" s="97" t="b">
        <f>IF(AND($M359=TRUE,$N359=TRUE),VLOOKUP($E359,RH!$B$47:$S$67,MONTH($G359)+6,FALSE))</f>
        <v>0</v>
      </c>
      <c r="L359" s="98">
        <f>IFERROR(IF(AND($M359=TRUE,$N359=TRUE),VLOOKUP($E359,RH!$B$47:$S$67,MONTH($G359)+6,FALSE)*$H359,0),0)</f>
        <v>0</v>
      </c>
      <c r="M359" s="99" t="b">
        <f t="shared" si="1"/>
        <v>0</v>
      </c>
      <c r="N359" s="99"/>
      <c r="O359" s="85"/>
      <c r="P359" s="68"/>
    </row>
    <row r="360" hidden="1">
      <c r="A360" s="68"/>
      <c r="B360" s="79"/>
      <c r="C360" s="77"/>
      <c r="D360" s="79"/>
      <c r="E360" s="79"/>
      <c r="F360" s="93"/>
      <c r="G360" s="93"/>
      <c r="H360" s="103"/>
      <c r="I360" s="79"/>
      <c r="J360" s="100"/>
      <c r="K360" s="97" t="b">
        <f>IF(AND($M360=TRUE,$N360=TRUE),VLOOKUP($E360,RH!$B$47:$S$67,MONTH($G360)+6,FALSE))</f>
        <v>0</v>
      </c>
      <c r="L360" s="98">
        <f>IFERROR(IF(AND($M360=TRUE,$N360=TRUE),VLOOKUP($E360,RH!$B$47:$S$67,MONTH($G360)+6,FALSE)*$H360,0),0)</f>
        <v>0</v>
      </c>
      <c r="M360" s="99" t="b">
        <f t="shared" si="1"/>
        <v>0</v>
      </c>
      <c r="N360" s="99"/>
      <c r="O360" s="85"/>
      <c r="P360" s="68"/>
    </row>
    <row r="361" hidden="1">
      <c r="A361" s="68"/>
      <c r="B361" s="79"/>
      <c r="C361" s="77"/>
      <c r="D361" s="79"/>
      <c r="E361" s="79"/>
      <c r="F361" s="93"/>
      <c r="G361" s="93"/>
      <c r="H361" s="103"/>
      <c r="I361" s="79"/>
      <c r="J361" s="100"/>
      <c r="K361" s="97" t="b">
        <f>IF(AND($M361=TRUE,$N361=TRUE),VLOOKUP($E361,RH!$B$47:$S$67,MONTH($G361)+6,FALSE))</f>
        <v>0</v>
      </c>
      <c r="L361" s="98">
        <f>IFERROR(IF(AND($M361=TRUE,$N361=TRUE),VLOOKUP($E361,RH!$B$47:$S$67,MONTH($G361)+6,FALSE)*$H361,0),0)</f>
        <v>0</v>
      </c>
      <c r="M361" s="99" t="b">
        <f t="shared" si="1"/>
        <v>0</v>
      </c>
      <c r="N361" s="99"/>
      <c r="O361" s="85"/>
      <c r="P361" s="68"/>
    </row>
    <row r="362" hidden="1">
      <c r="A362" s="68"/>
      <c r="B362" s="79"/>
      <c r="C362" s="77"/>
      <c r="D362" s="79"/>
      <c r="E362" s="79"/>
      <c r="F362" s="93"/>
      <c r="G362" s="93"/>
      <c r="H362" s="103"/>
      <c r="I362" s="79"/>
      <c r="J362" s="100"/>
      <c r="K362" s="97" t="b">
        <f>IF(AND($M362=TRUE,$N362=TRUE),VLOOKUP($E362,RH!$B$47:$S$67,MONTH($G362)+6,FALSE))</f>
        <v>0</v>
      </c>
      <c r="L362" s="98">
        <f>IFERROR(IF(AND($M362=TRUE,$N362=TRUE),VLOOKUP($E362,RH!$B$47:$S$67,MONTH($G362)+6,FALSE)*$H362,0),0)</f>
        <v>0</v>
      </c>
      <c r="M362" s="99" t="b">
        <f t="shared" si="1"/>
        <v>0</v>
      </c>
      <c r="N362" s="99"/>
      <c r="O362" s="85"/>
      <c r="P362" s="68"/>
    </row>
    <row r="363" hidden="1">
      <c r="A363" s="68"/>
      <c r="B363" s="79"/>
      <c r="C363" s="77"/>
      <c r="D363" s="79"/>
      <c r="E363" s="79"/>
      <c r="F363" s="93"/>
      <c r="G363" s="93"/>
      <c r="H363" s="103"/>
      <c r="I363" s="79"/>
      <c r="J363" s="100"/>
      <c r="K363" s="97" t="b">
        <f>IF(AND($M363=TRUE,$N363=TRUE),VLOOKUP($E363,RH!$B$47:$S$67,MONTH($G363)+6,FALSE))</f>
        <v>0</v>
      </c>
      <c r="L363" s="98">
        <f>IFERROR(IF(AND($M363=TRUE,$N363=TRUE),VLOOKUP($E363,RH!$B$47:$S$67,MONTH($G363)+6,FALSE)*$H363,0),0)</f>
        <v>0</v>
      </c>
      <c r="M363" s="99" t="b">
        <f t="shared" si="1"/>
        <v>0</v>
      </c>
      <c r="N363" s="99"/>
      <c r="O363" s="85"/>
      <c r="P363" s="68"/>
    </row>
    <row r="364" hidden="1">
      <c r="A364" s="68"/>
      <c r="B364" s="79"/>
      <c r="C364" s="77"/>
      <c r="D364" s="79"/>
      <c r="E364" s="79"/>
      <c r="F364" s="93"/>
      <c r="G364" s="93"/>
      <c r="H364" s="103"/>
      <c r="I364" s="79"/>
      <c r="J364" s="100"/>
      <c r="K364" s="97" t="b">
        <f>IF(AND($M364=TRUE,$N364=TRUE),VLOOKUP($E364,RH!$B$47:$S$67,MONTH($G364)+6,FALSE))</f>
        <v>0</v>
      </c>
      <c r="L364" s="98">
        <f>IFERROR(IF(AND($M364=TRUE,$N364=TRUE),VLOOKUP($E364,RH!$B$47:$S$67,MONTH($G364)+6,FALSE)*$H364,0),0)</f>
        <v>0</v>
      </c>
      <c r="M364" s="99" t="b">
        <f t="shared" si="1"/>
        <v>0</v>
      </c>
      <c r="N364" s="99"/>
      <c r="O364" s="85"/>
      <c r="P364" s="68"/>
    </row>
    <row r="365" hidden="1">
      <c r="A365" s="68"/>
      <c r="B365" s="79"/>
      <c r="C365" s="77"/>
      <c r="D365" s="79"/>
      <c r="E365" s="79"/>
      <c r="F365" s="93"/>
      <c r="G365" s="93"/>
      <c r="H365" s="103"/>
      <c r="I365" s="79"/>
      <c r="J365" s="100"/>
      <c r="K365" s="97" t="b">
        <f>IF(AND($M365=TRUE,$N365=TRUE),VLOOKUP($E365,RH!$B$47:$S$67,MONTH($G365)+6,FALSE))</f>
        <v>0</v>
      </c>
      <c r="L365" s="98">
        <f>IFERROR(IF(AND($M365=TRUE,$N365=TRUE),VLOOKUP($E365,RH!$B$47:$S$67,MONTH($G365)+6,FALSE)*$H365,0),0)</f>
        <v>0</v>
      </c>
      <c r="M365" s="99" t="b">
        <f t="shared" si="1"/>
        <v>0</v>
      </c>
      <c r="N365" s="99"/>
      <c r="O365" s="85"/>
      <c r="P365" s="68"/>
    </row>
    <row r="366" hidden="1">
      <c r="A366" s="68"/>
      <c r="B366" s="79"/>
      <c r="C366" s="77"/>
      <c r="D366" s="79"/>
      <c r="E366" s="79"/>
      <c r="F366" s="93"/>
      <c r="G366" s="93"/>
      <c r="H366" s="103"/>
      <c r="I366" s="79"/>
      <c r="J366" s="100"/>
      <c r="K366" s="97" t="b">
        <f>IF(AND($M366=TRUE,$N366=TRUE),VLOOKUP($E366,RH!$B$47:$S$67,MONTH($G366)+6,FALSE))</f>
        <v>0</v>
      </c>
      <c r="L366" s="98">
        <f>IFERROR(IF(AND($M366=TRUE,$N366=TRUE),VLOOKUP($E366,RH!$B$47:$S$67,MONTH($G366)+6,FALSE)*$H366,0),0)</f>
        <v>0</v>
      </c>
      <c r="M366" s="99" t="b">
        <f t="shared" si="1"/>
        <v>0</v>
      </c>
      <c r="N366" s="99"/>
      <c r="O366" s="85"/>
      <c r="P366" s="68"/>
    </row>
    <row r="367" hidden="1">
      <c r="A367" s="68"/>
      <c r="B367" s="79"/>
      <c r="C367" s="77"/>
      <c r="D367" s="79"/>
      <c r="E367" s="79"/>
      <c r="F367" s="93"/>
      <c r="G367" s="93"/>
      <c r="H367" s="103"/>
      <c r="I367" s="79"/>
      <c r="J367" s="100"/>
      <c r="K367" s="97" t="b">
        <f>IF(AND($M367=TRUE,$N367=TRUE),VLOOKUP($E367,RH!$B$47:$S$67,MONTH($G367)+6,FALSE))</f>
        <v>0</v>
      </c>
      <c r="L367" s="98">
        <f>IFERROR(IF(AND($M367=TRUE,$N367=TRUE),VLOOKUP($E367,RH!$B$47:$S$67,MONTH($G367)+6,FALSE)*$H367,0),0)</f>
        <v>0</v>
      </c>
      <c r="M367" s="99" t="b">
        <f t="shared" si="1"/>
        <v>0</v>
      </c>
      <c r="N367" s="99"/>
      <c r="O367" s="85"/>
      <c r="P367" s="68"/>
    </row>
    <row r="368" hidden="1">
      <c r="A368" s="68"/>
      <c r="B368" s="79"/>
      <c r="C368" s="77"/>
      <c r="D368" s="79"/>
      <c r="E368" s="79"/>
      <c r="F368" s="93"/>
      <c r="G368" s="93"/>
      <c r="H368" s="103"/>
      <c r="I368" s="79"/>
      <c r="J368" s="100"/>
      <c r="K368" s="97" t="b">
        <f>IF(AND($M368=TRUE,$N368=TRUE),VLOOKUP($E368,RH!$B$47:$S$67,MONTH($G368)+6,FALSE))</f>
        <v>0</v>
      </c>
      <c r="L368" s="98">
        <f>IFERROR(IF(AND($M368=TRUE,$N368=TRUE),VLOOKUP($E368,RH!$B$47:$S$67,MONTH($G368)+6,FALSE)*$H368,0),0)</f>
        <v>0</v>
      </c>
      <c r="M368" s="99" t="b">
        <f t="shared" si="1"/>
        <v>0</v>
      </c>
      <c r="N368" s="99"/>
      <c r="O368" s="85"/>
      <c r="P368" s="68"/>
    </row>
    <row r="369" hidden="1">
      <c r="A369" s="68"/>
      <c r="B369" s="79"/>
      <c r="C369" s="77"/>
      <c r="D369" s="79"/>
      <c r="E369" s="79"/>
      <c r="F369" s="93"/>
      <c r="G369" s="93"/>
      <c r="H369" s="103"/>
      <c r="I369" s="79"/>
      <c r="J369" s="100"/>
      <c r="K369" s="97" t="b">
        <f>IF(AND($M369=TRUE,$N369=TRUE),VLOOKUP($E369,RH!$B$47:$S$67,MONTH($G369)+6,FALSE))</f>
        <v>0</v>
      </c>
      <c r="L369" s="98">
        <f>IFERROR(IF(AND($M369=TRUE,$N369=TRUE),VLOOKUP($E369,RH!$B$47:$S$67,MONTH($G369)+6,FALSE)*$H369,0),0)</f>
        <v>0</v>
      </c>
      <c r="M369" s="99" t="b">
        <f t="shared" si="1"/>
        <v>0</v>
      </c>
      <c r="N369" s="99"/>
      <c r="O369" s="85"/>
      <c r="P369" s="68"/>
    </row>
    <row r="370" hidden="1">
      <c r="A370" s="68"/>
      <c r="B370" s="79"/>
      <c r="C370" s="77"/>
      <c r="D370" s="79"/>
      <c r="E370" s="79"/>
      <c r="F370" s="93"/>
      <c r="G370" s="93"/>
      <c r="H370" s="103"/>
      <c r="I370" s="79"/>
      <c r="J370" s="100"/>
      <c r="K370" s="97" t="b">
        <f>IF(AND($M370=TRUE,$N370=TRUE),VLOOKUP($E370,RH!$B$47:$S$67,MONTH($G370)+6,FALSE))</f>
        <v>0</v>
      </c>
      <c r="L370" s="98">
        <f>IFERROR(IF(AND($M370=TRUE,$N370=TRUE),VLOOKUP($E370,RH!$B$47:$S$67,MONTH($G370)+6,FALSE)*$H370,0),0)</f>
        <v>0</v>
      </c>
      <c r="M370" s="99" t="b">
        <f t="shared" si="1"/>
        <v>0</v>
      </c>
      <c r="N370" s="99"/>
      <c r="O370" s="85"/>
      <c r="P370" s="68"/>
    </row>
    <row r="371" hidden="1">
      <c r="A371" s="68"/>
      <c r="B371" s="79"/>
      <c r="C371" s="77"/>
      <c r="D371" s="79"/>
      <c r="E371" s="79"/>
      <c r="F371" s="93"/>
      <c r="G371" s="93"/>
      <c r="H371" s="103"/>
      <c r="I371" s="79"/>
      <c r="J371" s="100"/>
      <c r="K371" s="97" t="b">
        <f>IF(AND($M371=TRUE,$N371=TRUE),VLOOKUP($E371,RH!$B$47:$S$67,MONTH($G371)+6,FALSE))</f>
        <v>0</v>
      </c>
      <c r="L371" s="98">
        <f>IFERROR(IF(AND($M371=TRUE,$N371=TRUE),VLOOKUP($E371,RH!$B$47:$S$67,MONTH($G371)+6,FALSE)*$H371,0),0)</f>
        <v>0</v>
      </c>
      <c r="M371" s="99" t="b">
        <f t="shared" si="1"/>
        <v>0</v>
      </c>
      <c r="N371" s="99"/>
      <c r="O371" s="85"/>
      <c r="P371" s="68"/>
    </row>
    <row r="372" hidden="1">
      <c r="A372" s="68"/>
      <c r="B372" s="79"/>
      <c r="C372" s="77"/>
      <c r="D372" s="79"/>
      <c r="E372" s="79"/>
      <c r="F372" s="93"/>
      <c r="G372" s="93"/>
      <c r="H372" s="103"/>
      <c r="I372" s="79"/>
      <c r="J372" s="100"/>
      <c r="K372" s="97" t="b">
        <f>IF(AND($M372=TRUE,$N372=TRUE),VLOOKUP($E372,RH!$B$47:$S$67,MONTH($G372)+6,FALSE))</f>
        <v>0</v>
      </c>
      <c r="L372" s="98">
        <f>IFERROR(IF(AND($M372=TRUE,$N372=TRUE),VLOOKUP($E372,RH!$B$47:$S$67,MONTH($G372)+6,FALSE)*$H372,0),0)</f>
        <v>0</v>
      </c>
      <c r="M372" s="99" t="b">
        <f t="shared" si="1"/>
        <v>0</v>
      </c>
      <c r="N372" s="99"/>
      <c r="O372" s="85"/>
      <c r="P372" s="68"/>
    </row>
    <row r="373" hidden="1">
      <c r="A373" s="68"/>
      <c r="B373" s="79"/>
      <c r="C373" s="77"/>
      <c r="D373" s="79"/>
      <c r="E373" s="79"/>
      <c r="F373" s="93"/>
      <c r="G373" s="93"/>
      <c r="H373" s="103"/>
      <c r="I373" s="79"/>
      <c r="J373" s="100"/>
      <c r="K373" s="97" t="b">
        <f>IF(AND($M373=TRUE,$N373=TRUE),VLOOKUP($E373,RH!$B$47:$S$67,MONTH($G373)+6,FALSE))</f>
        <v>0</v>
      </c>
      <c r="L373" s="98">
        <f>IFERROR(IF(AND($M373=TRUE,$N373=TRUE),VLOOKUP($E373,RH!$B$47:$S$67,MONTH($G373)+6,FALSE)*$H373,0),0)</f>
        <v>0</v>
      </c>
      <c r="M373" s="99" t="b">
        <f t="shared" si="1"/>
        <v>0</v>
      </c>
      <c r="N373" s="99"/>
      <c r="O373" s="85"/>
      <c r="P373" s="68"/>
    </row>
    <row r="374" hidden="1">
      <c r="A374" s="68"/>
      <c r="B374" s="79"/>
      <c r="C374" s="77"/>
      <c r="D374" s="79"/>
      <c r="E374" s="79"/>
      <c r="F374" s="93"/>
      <c r="G374" s="93"/>
      <c r="H374" s="103"/>
      <c r="I374" s="79"/>
      <c r="J374" s="100"/>
      <c r="K374" s="97" t="b">
        <f>IF(AND($M374=TRUE,$N374=TRUE),VLOOKUP($E374,RH!$B$47:$S$67,MONTH($G374)+6,FALSE))</f>
        <v>0</v>
      </c>
      <c r="L374" s="98">
        <f>IFERROR(IF(AND($M374=TRUE,$N374=TRUE),VLOOKUP($E374,RH!$B$47:$S$67,MONTH($G374)+6,FALSE)*$H374,0),0)</f>
        <v>0</v>
      </c>
      <c r="M374" s="99" t="b">
        <f t="shared" si="1"/>
        <v>0</v>
      </c>
      <c r="N374" s="99"/>
      <c r="O374" s="85"/>
      <c r="P374" s="68"/>
    </row>
    <row r="375" hidden="1">
      <c r="A375" s="68"/>
      <c r="B375" s="79"/>
      <c r="C375" s="77"/>
      <c r="D375" s="79"/>
      <c r="E375" s="79"/>
      <c r="F375" s="93"/>
      <c r="G375" s="93"/>
      <c r="H375" s="103"/>
      <c r="I375" s="79"/>
      <c r="J375" s="100"/>
      <c r="K375" s="97" t="b">
        <f>IF(AND($M375=TRUE,$N375=TRUE),VLOOKUP($E375,RH!$B$47:$S$67,MONTH($G375)+6,FALSE))</f>
        <v>0</v>
      </c>
      <c r="L375" s="98">
        <f>IFERROR(IF(AND($M375=TRUE,$N375=TRUE),VLOOKUP($E375,RH!$B$47:$S$67,MONTH($G375)+6,FALSE)*$H375,0),0)</f>
        <v>0</v>
      </c>
      <c r="M375" s="99" t="b">
        <f t="shared" si="1"/>
        <v>0</v>
      </c>
      <c r="N375" s="99"/>
      <c r="O375" s="85"/>
      <c r="P375" s="68"/>
    </row>
    <row r="376" hidden="1">
      <c r="A376" s="68"/>
      <c r="B376" s="79"/>
      <c r="C376" s="77"/>
      <c r="D376" s="79"/>
      <c r="E376" s="79"/>
      <c r="F376" s="93"/>
      <c r="G376" s="93"/>
      <c r="H376" s="103"/>
      <c r="I376" s="79"/>
      <c r="J376" s="100"/>
      <c r="K376" s="97" t="b">
        <f>IF(AND($M376=TRUE,$N376=TRUE),VLOOKUP($E376,RH!$B$47:$S$67,MONTH($G376)+6,FALSE))</f>
        <v>0</v>
      </c>
      <c r="L376" s="98">
        <f>IFERROR(IF(AND($M376=TRUE,$N376=TRUE),VLOOKUP($E376,RH!$B$47:$S$67,MONTH($G376)+6,FALSE)*$H376,0),0)</f>
        <v>0</v>
      </c>
      <c r="M376" s="99" t="b">
        <f t="shared" si="1"/>
        <v>0</v>
      </c>
      <c r="N376" s="99"/>
      <c r="O376" s="85"/>
      <c r="P376" s="68"/>
    </row>
    <row r="377" hidden="1">
      <c r="A377" s="68"/>
      <c r="B377" s="79"/>
      <c r="C377" s="77"/>
      <c r="D377" s="79"/>
      <c r="E377" s="79"/>
      <c r="F377" s="93"/>
      <c r="G377" s="93"/>
      <c r="H377" s="103"/>
      <c r="I377" s="79"/>
      <c r="J377" s="100"/>
      <c r="K377" s="97" t="b">
        <f>IF(AND($M377=TRUE,$N377=TRUE),VLOOKUP($E377,RH!$B$47:$S$67,MONTH($G377)+6,FALSE))</f>
        <v>0</v>
      </c>
      <c r="L377" s="98">
        <f>IFERROR(IF(AND($M377=TRUE,$N377=TRUE),VLOOKUP($E377,RH!$B$47:$S$67,MONTH($G377)+6,FALSE)*$H377,0),0)</f>
        <v>0</v>
      </c>
      <c r="M377" s="99" t="b">
        <f t="shared" si="1"/>
        <v>0</v>
      </c>
      <c r="N377" s="99"/>
      <c r="O377" s="85"/>
      <c r="P377" s="68"/>
    </row>
    <row r="378" hidden="1">
      <c r="A378" s="68"/>
      <c r="B378" s="79"/>
      <c r="C378" s="77"/>
      <c r="D378" s="79"/>
      <c r="E378" s="79"/>
      <c r="F378" s="93"/>
      <c r="G378" s="93"/>
      <c r="H378" s="103"/>
      <c r="I378" s="79"/>
      <c r="J378" s="100"/>
      <c r="K378" s="97" t="b">
        <f>IF(AND($M378=TRUE,$N378=TRUE),VLOOKUP($E378,RH!$B$47:$S$67,MONTH($G378)+6,FALSE))</f>
        <v>0</v>
      </c>
      <c r="L378" s="98">
        <f>IFERROR(IF(AND($M378=TRUE,$N378=TRUE),VLOOKUP($E378,RH!$B$47:$S$67,MONTH($G378)+6,FALSE)*$H378,0),0)</f>
        <v>0</v>
      </c>
      <c r="M378" s="99" t="b">
        <f t="shared" si="1"/>
        <v>0</v>
      </c>
      <c r="N378" s="99"/>
      <c r="O378" s="85"/>
      <c r="P378" s="68"/>
    </row>
    <row r="379" hidden="1">
      <c r="A379" s="68"/>
      <c r="B379" s="79"/>
      <c r="C379" s="77"/>
      <c r="D379" s="79"/>
      <c r="E379" s="79"/>
      <c r="F379" s="93"/>
      <c r="G379" s="93"/>
      <c r="H379" s="103"/>
      <c r="I379" s="79"/>
      <c r="J379" s="100"/>
      <c r="K379" s="97" t="b">
        <f>IF(AND($M379=TRUE,$N379=TRUE),VLOOKUP($E379,RH!$B$47:$S$67,MONTH($G379)+6,FALSE))</f>
        <v>0</v>
      </c>
      <c r="L379" s="98">
        <f>IFERROR(IF(AND($M379=TRUE,$N379=TRUE),VLOOKUP($E379,RH!$B$47:$S$67,MONTH($G379)+6,FALSE)*$H379,0),0)</f>
        <v>0</v>
      </c>
      <c r="M379" s="99" t="b">
        <f t="shared" si="1"/>
        <v>0</v>
      </c>
      <c r="N379" s="99"/>
      <c r="O379" s="85"/>
      <c r="P379" s="68"/>
    </row>
    <row r="380" hidden="1">
      <c r="A380" s="68"/>
      <c r="B380" s="79"/>
      <c r="C380" s="77"/>
      <c r="D380" s="79"/>
      <c r="E380" s="79"/>
      <c r="F380" s="93"/>
      <c r="G380" s="93"/>
      <c r="H380" s="103"/>
      <c r="I380" s="79"/>
      <c r="J380" s="100"/>
      <c r="K380" s="97" t="b">
        <f>IF(AND($M380=TRUE,$N380=TRUE),VLOOKUP($E380,RH!$B$47:$S$67,MONTH($G380)+6,FALSE))</f>
        <v>0</v>
      </c>
      <c r="L380" s="98">
        <f>IFERROR(IF(AND($M380=TRUE,$N380=TRUE),VLOOKUP($E380,RH!$B$47:$S$67,MONTH($G380)+6,FALSE)*$H380,0),0)</f>
        <v>0</v>
      </c>
      <c r="M380" s="99" t="b">
        <f t="shared" si="1"/>
        <v>0</v>
      </c>
      <c r="N380" s="99"/>
      <c r="O380" s="85"/>
      <c r="P380" s="68"/>
    </row>
    <row r="381" hidden="1">
      <c r="A381" s="68"/>
      <c r="B381" s="79"/>
      <c r="C381" s="77"/>
      <c r="D381" s="79"/>
      <c r="E381" s="79"/>
      <c r="F381" s="93"/>
      <c r="G381" s="93"/>
      <c r="H381" s="103"/>
      <c r="I381" s="79"/>
      <c r="J381" s="100"/>
      <c r="K381" s="97" t="b">
        <f>IF(AND($M381=TRUE,$N381=TRUE),VLOOKUP($E381,RH!$B$47:$S$67,MONTH($G381)+6,FALSE))</f>
        <v>0</v>
      </c>
      <c r="L381" s="98">
        <f>IFERROR(IF(AND($M381=TRUE,$N381=TRUE),VLOOKUP($E381,RH!$B$47:$S$67,MONTH($G381)+6,FALSE)*$H381,0),0)</f>
        <v>0</v>
      </c>
      <c r="M381" s="99" t="b">
        <f t="shared" si="1"/>
        <v>0</v>
      </c>
      <c r="N381" s="99"/>
      <c r="O381" s="85"/>
      <c r="P381" s="68"/>
    </row>
    <row r="382" hidden="1">
      <c r="A382" s="68"/>
      <c r="B382" s="79"/>
      <c r="C382" s="77"/>
      <c r="D382" s="79"/>
      <c r="E382" s="79"/>
      <c r="F382" s="93"/>
      <c r="G382" s="93"/>
      <c r="H382" s="103"/>
      <c r="I382" s="79"/>
      <c r="J382" s="100"/>
      <c r="K382" s="97" t="b">
        <f>IF(AND($M382=TRUE,$N382=TRUE),VLOOKUP($E382,RH!$B$47:$S$67,MONTH($G382)+6,FALSE))</f>
        <v>0</v>
      </c>
      <c r="L382" s="98">
        <f>IFERROR(IF(AND($M382=TRUE,$N382=TRUE),VLOOKUP($E382,RH!$B$47:$S$67,MONTH($G382)+6,FALSE)*$H382,0),0)</f>
        <v>0</v>
      </c>
      <c r="M382" s="99" t="b">
        <f t="shared" si="1"/>
        <v>0</v>
      </c>
      <c r="N382" s="99"/>
      <c r="O382" s="85"/>
      <c r="P382" s="68"/>
    </row>
    <row r="383" hidden="1">
      <c r="A383" s="68"/>
      <c r="B383" s="79"/>
      <c r="C383" s="77"/>
      <c r="D383" s="79"/>
      <c r="E383" s="79"/>
      <c r="F383" s="93"/>
      <c r="G383" s="93"/>
      <c r="H383" s="103"/>
      <c r="I383" s="79"/>
      <c r="J383" s="100"/>
      <c r="K383" s="97" t="b">
        <f>IF(AND($M383=TRUE,$N383=TRUE),VLOOKUP($E383,RH!$B$47:$S$67,MONTH($G383)+6,FALSE))</f>
        <v>0</v>
      </c>
      <c r="L383" s="98">
        <f>IFERROR(IF(AND($M383=TRUE,$N383=TRUE),VLOOKUP($E383,RH!$B$47:$S$67,MONTH($G383)+6,FALSE)*$H383,0),0)</f>
        <v>0</v>
      </c>
      <c r="M383" s="99" t="b">
        <f t="shared" si="1"/>
        <v>0</v>
      </c>
      <c r="N383" s="99"/>
      <c r="O383" s="85"/>
      <c r="P383" s="68"/>
    </row>
    <row r="384" hidden="1">
      <c r="A384" s="68"/>
      <c r="B384" s="79"/>
      <c r="C384" s="77"/>
      <c r="D384" s="79"/>
      <c r="E384" s="79"/>
      <c r="F384" s="93"/>
      <c r="G384" s="93"/>
      <c r="H384" s="103"/>
      <c r="I384" s="79"/>
      <c r="J384" s="100"/>
      <c r="K384" s="97" t="b">
        <f>IF(AND($M384=TRUE,$N384=TRUE),VLOOKUP($E384,RH!$B$47:$S$67,MONTH($G384)+6,FALSE))</f>
        <v>0</v>
      </c>
      <c r="L384" s="98">
        <f>IFERROR(IF(AND($M384=TRUE,$N384=TRUE),VLOOKUP($E384,RH!$B$47:$S$67,MONTH($G384)+6,FALSE)*$H384,0),0)</f>
        <v>0</v>
      </c>
      <c r="M384" s="99" t="b">
        <f t="shared" si="1"/>
        <v>0</v>
      </c>
      <c r="N384" s="99"/>
      <c r="O384" s="85"/>
      <c r="P384" s="68"/>
    </row>
    <row r="385" hidden="1">
      <c r="A385" s="68"/>
      <c r="B385" s="79"/>
      <c r="C385" s="77"/>
      <c r="D385" s="79"/>
      <c r="E385" s="79"/>
      <c r="F385" s="93"/>
      <c r="G385" s="93"/>
      <c r="H385" s="103"/>
      <c r="I385" s="79"/>
      <c r="J385" s="100"/>
      <c r="K385" s="97" t="b">
        <f>IF(AND($M385=TRUE,$N385=TRUE),VLOOKUP($E385,RH!$B$47:$S$67,MONTH($G385)+6,FALSE))</f>
        <v>0</v>
      </c>
      <c r="L385" s="98">
        <f>IFERROR(IF(AND($M385=TRUE,$N385=TRUE),VLOOKUP($E385,RH!$B$47:$S$67,MONTH($G385)+6,FALSE)*$H385,0),0)</f>
        <v>0</v>
      </c>
      <c r="M385" s="99" t="b">
        <f t="shared" si="1"/>
        <v>0</v>
      </c>
      <c r="N385" s="99"/>
      <c r="O385" s="85"/>
      <c r="P385" s="68"/>
    </row>
    <row r="386" hidden="1">
      <c r="A386" s="68"/>
      <c r="B386" s="79"/>
      <c r="C386" s="77"/>
      <c r="D386" s="79"/>
      <c r="E386" s="79"/>
      <c r="F386" s="93"/>
      <c r="G386" s="93"/>
      <c r="H386" s="103"/>
      <c r="I386" s="79"/>
      <c r="J386" s="100"/>
      <c r="K386" s="97" t="b">
        <f>IF(AND($M386=TRUE,$N386=TRUE),VLOOKUP($E386,RH!$B$47:$S$67,MONTH($G386)+6,FALSE))</f>
        <v>0</v>
      </c>
      <c r="L386" s="98">
        <f>IFERROR(IF(AND($M386=TRUE,$N386=TRUE),VLOOKUP($E386,RH!$B$47:$S$67,MONTH($G386)+6,FALSE)*$H386,0),0)</f>
        <v>0</v>
      </c>
      <c r="M386" s="99" t="b">
        <f t="shared" si="1"/>
        <v>0</v>
      </c>
      <c r="N386" s="99"/>
      <c r="O386" s="85"/>
      <c r="P386" s="68"/>
    </row>
    <row r="387" hidden="1">
      <c r="A387" s="68"/>
      <c r="B387" s="79"/>
      <c r="C387" s="77"/>
      <c r="D387" s="79"/>
      <c r="E387" s="79"/>
      <c r="F387" s="93"/>
      <c r="G387" s="93"/>
      <c r="H387" s="103"/>
      <c r="I387" s="79"/>
      <c r="J387" s="100"/>
      <c r="K387" s="97" t="b">
        <f>IF(AND($M387=TRUE,$N387=TRUE),VLOOKUP($E387,RH!$B$47:$S$67,MONTH($G387)+6,FALSE))</f>
        <v>0</v>
      </c>
      <c r="L387" s="98">
        <f>IFERROR(IF(AND($M387=TRUE,$N387=TRUE),VLOOKUP($E387,RH!$B$47:$S$67,MONTH($G387)+6,FALSE)*$H387,0),0)</f>
        <v>0</v>
      </c>
      <c r="M387" s="99" t="b">
        <f t="shared" si="1"/>
        <v>0</v>
      </c>
      <c r="N387" s="99"/>
      <c r="O387" s="85"/>
      <c r="P387" s="68"/>
    </row>
    <row r="388" hidden="1">
      <c r="A388" s="68"/>
      <c r="B388" s="79"/>
      <c r="C388" s="77"/>
      <c r="D388" s="79"/>
      <c r="E388" s="79"/>
      <c r="F388" s="93"/>
      <c r="G388" s="93"/>
      <c r="H388" s="103"/>
      <c r="I388" s="79"/>
      <c r="J388" s="100"/>
      <c r="K388" s="97" t="b">
        <f>IF(AND($M388=TRUE,$N388=TRUE),VLOOKUP($E388,RH!$B$47:$S$67,MONTH($G388)+6,FALSE))</f>
        <v>0</v>
      </c>
      <c r="L388" s="98">
        <f>IFERROR(IF(AND($M388=TRUE,$N388=TRUE),VLOOKUP($E388,RH!$B$47:$S$67,MONTH($G388)+6,FALSE)*$H388,0),0)</f>
        <v>0</v>
      </c>
      <c r="M388" s="99" t="b">
        <f t="shared" si="1"/>
        <v>0</v>
      </c>
      <c r="N388" s="99"/>
      <c r="O388" s="85"/>
      <c r="P388" s="68"/>
    </row>
    <row r="389" hidden="1">
      <c r="A389" s="68"/>
      <c r="B389" s="79"/>
      <c r="C389" s="77"/>
      <c r="D389" s="79"/>
      <c r="E389" s="79"/>
      <c r="F389" s="93"/>
      <c r="G389" s="93"/>
      <c r="H389" s="103"/>
      <c r="I389" s="79"/>
      <c r="J389" s="100"/>
      <c r="K389" s="97" t="b">
        <f>IF(AND($M389=TRUE,$N389=TRUE),VLOOKUP($E389,RH!$B$47:$S$67,MONTH($G389)+6,FALSE))</f>
        <v>0</v>
      </c>
      <c r="L389" s="98">
        <f>IFERROR(IF(AND($M389=TRUE,$N389=TRUE),VLOOKUP($E389,RH!$B$47:$S$67,MONTH($G389)+6,FALSE)*$H389,0),0)</f>
        <v>0</v>
      </c>
      <c r="M389" s="99" t="b">
        <f t="shared" si="1"/>
        <v>0</v>
      </c>
      <c r="N389" s="99"/>
      <c r="O389" s="85"/>
      <c r="P389" s="68"/>
    </row>
    <row r="390" hidden="1">
      <c r="A390" s="68"/>
      <c r="B390" s="79"/>
      <c r="C390" s="77"/>
      <c r="D390" s="79"/>
      <c r="E390" s="79"/>
      <c r="F390" s="93"/>
      <c r="G390" s="93"/>
      <c r="H390" s="103"/>
      <c r="I390" s="79"/>
      <c r="J390" s="100"/>
      <c r="K390" s="97" t="b">
        <f>IF(AND($M390=TRUE,$N390=TRUE),VLOOKUP($E390,RH!$B$47:$S$67,MONTH($G390)+6,FALSE))</f>
        <v>0</v>
      </c>
      <c r="L390" s="98">
        <f>IFERROR(IF(AND($M390=TRUE,$N390=TRUE),VLOOKUP($E390,RH!$B$47:$S$67,MONTH($G390)+6,FALSE)*$H390,0),0)</f>
        <v>0</v>
      </c>
      <c r="M390" s="99" t="b">
        <f t="shared" si="1"/>
        <v>0</v>
      </c>
      <c r="N390" s="99"/>
      <c r="O390" s="85"/>
      <c r="P390" s="68"/>
    </row>
    <row r="391" hidden="1">
      <c r="A391" s="68"/>
      <c r="B391" s="79"/>
      <c r="C391" s="77"/>
      <c r="D391" s="79"/>
      <c r="E391" s="79"/>
      <c r="F391" s="93"/>
      <c r="G391" s="93"/>
      <c r="H391" s="103"/>
      <c r="I391" s="79"/>
      <c r="J391" s="100"/>
      <c r="K391" s="97" t="b">
        <f>IF(AND($M391=TRUE,$N391=TRUE),VLOOKUP($E391,RH!$B$47:$S$67,MONTH($G391)+6,FALSE))</f>
        <v>0</v>
      </c>
      <c r="L391" s="98">
        <f>IFERROR(IF(AND($M391=TRUE,$N391=TRUE),VLOOKUP($E391,RH!$B$47:$S$67,MONTH($G391)+6,FALSE)*$H391,0),0)</f>
        <v>0</v>
      </c>
      <c r="M391" s="99" t="b">
        <f t="shared" si="1"/>
        <v>0</v>
      </c>
      <c r="N391" s="99"/>
      <c r="O391" s="85"/>
      <c r="P391" s="68"/>
    </row>
    <row r="392" hidden="1">
      <c r="A392" s="68"/>
      <c r="B392" s="79"/>
      <c r="C392" s="77"/>
      <c r="D392" s="79"/>
      <c r="E392" s="79"/>
      <c r="F392" s="93"/>
      <c r="G392" s="93"/>
      <c r="H392" s="103"/>
      <c r="I392" s="79"/>
      <c r="J392" s="100"/>
      <c r="K392" s="97" t="b">
        <f>IF(AND($M392=TRUE,$N392=TRUE),VLOOKUP($E392,RH!$B$47:$S$67,MONTH($G392)+6,FALSE))</f>
        <v>0</v>
      </c>
      <c r="L392" s="98">
        <f>IFERROR(IF(AND($M392=TRUE,$N392=TRUE),VLOOKUP($E392,RH!$B$47:$S$67,MONTH($G392)+6,FALSE)*$H392,0),0)</f>
        <v>0</v>
      </c>
      <c r="M392" s="99" t="b">
        <f t="shared" si="1"/>
        <v>0</v>
      </c>
      <c r="N392" s="99"/>
      <c r="O392" s="85"/>
      <c r="P392" s="68"/>
    </row>
    <row r="393" hidden="1">
      <c r="A393" s="68"/>
      <c r="B393" s="79"/>
      <c r="C393" s="77"/>
      <c r="D393" s="79"/>
      <c r="E393" s="79"/>
      <c r="F393" s="93"/>
      <c r="G393" s="93"/>
      <c r="H393" s="103"/>
      <c r="I393" s="79"/>
      <c r="J393" s="100"/>
      <c r="K393" s="97" t="b">
        <f>IF(AND($M393=TRUE,$N393=TRUE),VLOOKUP($E393,RH!$B$47:$S$67,MONTH($G393)+6,FALSE))</f>
        <v>0</v>
      </c>
      <c r="L393" s="98">
        <f>IFERROR(IF(AND($M393=TRUE,$N393=TRUE),VLOOKUP($E393,RH!$B$47:$S$67,MONTH($G393)+6,FALSE)*$H393,0),0)</f>
        <v>0</v>
      </c>
      <c r="M393" s="99" t="b">
        <f t="shared" si="1"/>
        <v>0</v>
      </c>
      <c r="N393" s="99"/>
      <c r="O393" s="85"/>
      <c r="P393" s="68"/>
    </row>
    <row r="394" hidden="1">
      <c r="A394" s="68"/>
      <c r="B394" s="79"/>
      <c r="C394" s="77"/>
      <c r="D394" s="79"/>
      <c r="E394" s="79"/>
      <c r="F394" s="93"/>
      <c r="G394" s="93"/>
      <c r="H394" s="103"/>
      <c r="I394" s="79"/>
      <c r="J394" s="100"/>
      <c r="K394" s="97" t="b">
        <f>IF(AND($M394=TRUE,$N394=TRUE),VLOOKUP($E394,RH!$B$47:$S$67,MONTH($G394)+6,FALSE))</f>
        <v>0</v>
      </c>
      <c r="L394" s="98">
        <f>IFERROR(IF(AND($M394=TRUE,$N394=TRUE),VLOOKUP($E394,RH!$B$47:$S$67,MONTH($G394)+6,FALSE)*$H394,0),0)</f>
        <v>0</v>
      </c>
      <c r="M394" s="99" t="b">
        <f t="shared" si="1"/>
        <v>0</v>
      </c>
      <c r="N394" s="99"/>
      <c r="O394" s="85"/>
      <c r="P394" s="68"/>
    </row>
    <row r="395" hidden="1">
      <c r="A395" s="68"/>
      <c r="B395" s="79"/>
      <c r="C395" s="77"/>
      <c r="D395" s="79"/>
      <c r="E395" s="79"/>
      <c r="F395" s="93"/>
      <c r="G395" s="93"/>
      <c r="H395" s="103"/>
      <c r="I395" s="79"/>
      <c r="J395" s="100"/>
      <c r="K395" s="97" t="b">
        <f>IF(AND($M395=TRUE,$N395=TRUE),VLOOKUP($E395,RH!$B$47:$S$67,MONTH($G395)+6,FALSE))</f>
        <v>0</v>
      </c>
      <c r="L395" s="98">
        <f>IFERROR(IF(AND($M395=TRUE,$N395=TRUE),VLOOKUP($E395,RH!$B$47:$S$67,MONTH($G395)+6,FALSE)*$H395,0),0)</f>
        <v>0</v>
      </c>
      <c r="M395" s="99" t="b">
        <f t="shared" si="1"/>
        <v>0</v>
      </c>
      <c r="N395" s="99"/>
      <c r="O395" s="85"/>
      <c r="P395" s="68"/>
    </row>
    <row r="396" hidden="1">
      <c r="A396" s="68"/>
      <c r="B396" s="79"/>
      <c r="C396" s="77"/>
      <c r="D396" s="79"/>
      <c r="E396" s="79"/>
      <c r="F396" s="93"/>
      <c r="G396" s="93"/>
      <c r="H396" s="103"/>
      <c r="I396" s="79"/>
      <c r="J396" s="100"/>
      <c r="K396" s="97" t="b">
        <f>IF(AND($M396=TRUE,$N396=TRUE),VLOOKUP($E396,RH!$B$47:$S$67,MONTH($G396)+6,FALSE))</f>
        <v>0</v>
      </c>
      <c r="L396" s="98">
        <f>IFERROR(IF(AND($M396=TRUE,$N396=TRUE),VLOOKUP($E396,RH!$B$47:$S$67,MONTH($G396)+6,FALSE)*$H396,0),0)</f>
        <v>0</v>
      </c>
      <c r="M396" s="99" t="b">
        <f t="shared" si="1"/>
        <v>0</v>
      </c>
      <c r="N396" s="99"/>
      <c r="O396" s="85"/>
      <c r="P396" s="68"/>
    </row>
    <row r="397" hidden="1">
      <c r="A397" s="68"/>
      <c r="B397" s="79"/>
      <c r="C397" s="77"/>
      <c r="D397" s="79"/>
      <c r="E397" s="79"/>
      <c r="F397" s="93"/>
      <c r="G397" s="93"/>
      <c r="H397" s="103"/>
      <c r="I397" s="79"/>
      <c r="J397" s="100"/>
      <c r="K397" s="97" t="b">
        <f>IF(AND($M397=TRUE,$N397=TRUE),VLOOKUP($E397,RH!$B$47:$S$67,MONTH($G397)+6,FALSE))</f>
        <v>0</v>
      </c>
      <c r="L397" s="98">
        <f>IFERROR(IF(AND($M397=TRUE,$N397=TRUE),VLOOKUP($E397,RH!$B$47:$S$67,MONTH($G397)+6,FALSE)*$H397,0),0)</f>
        <v>0</v>
      </c>
      <c r="M397" s="99" t="b">
        <f t="shared" si="1"/>
        <v>0</v>
      </c>
      <c r="N397" s="99"/>
      <c r="O397" s="85"/>
      <c r="P397" s="68"/>
    </row>
    <row r="398" hidden="1">
      <c r="A398" s="68"/>
      <c r="B398" s="79"/>
      <c r="C398" s="77"/>
      <c r="D398" s="79"/>
      <c r="E398" s="79"/>
      <c r="F398" s="93"/>
      <c r="G398" s="93"/>
      <c r="H398" s="103"/>
      <c r="I398" s="79"/>
      <c r="J398" s="100"/>
      <c r="K398" s="97" t="b">
        <f>IF(AND($M398=TRUE,$N398=TRUE),VLOOKUP($E398,RH!$B$47:$S$67,MONTH($G398)+6,FALSE))</f>
        <v>0</v>
      </c>
      <c r="L398" s="98">
        <f>IFERROR(IF(AND($M398=TRUE,$N398=TRUE),VLOOKUP($E398,RH!$B$47:$S$67,MONTH($G398)+6,FALSE)*$H398,0),0)</f>
        <v>0</v>
      </c>
      <c r="M398" s="99" t="b">
        <f t="shared" si="1"/>
        <v>0</v>
      </c>
      <c r="N398" s="99"/>
      <c r="O398" s="85"/>
      <c r="P398" s="68"/>
    </row>
    <row r="399" hidden="1">
      <c r="A399" s="68"/>
      <c r="B399" s="79"/>
      <c r="C399" s="77"/>
      <c r="D399" s="79"/>
      <c r="E399" s="79"/>
      <c r="F399" s="93"/>
      <c r="G399" s="93"/>
      <c r="H399" s="103"/>
      <c r="I399" s="79"/>
      <c r="J399" s="100"/>
      <c r="K399" s="97" t="b">
        <f>IF(AND($M399=TRUE,$N399=TRUE),VLOOKUP($E399,RH!$B$47:$S$67,MONTH($G399)+6,FALSE))</f>
        <v>0</v>
      </c>
      <c r="L399" s="98">
        <f>IFERROR(IF(AND($M399=TRUE,$N399=TRUE),VLOOKUP($E399,RH!$B$47:$S$67,MONTH($G399)+6,FALSE)*$H399,0),0)</f>
        <v>0</v>
      </c>
      <c r="M399" s="99" t="b">
        <f t="shared" si="1"/>
        <v>0</v>
      </c>
      <c r="N399" s="99"/>
      <c r="O399" s="85"/>
      <c r="P399" s="68"/>
    </row>
    <row r="400" hidden="1">
      <c r="A400" s="68"/>
      <c r="B400" s="79"/>
      <c r="C400" s="77"/>
      <c r="D400" s="79"/>
      <c r="E400" s="79"/>
      <c r="F400" s="93"/>
      <c r="G400" s="93"/>
      <c r="H400" s="103"/>
      <c r="I400" s="79"/>
      <c r="J400" s="100"/>
      <c r="K400" s="97" t="b">
        <f>IF(AND($M400=TRUE,$N400=TRUE),VLOOKUP($E400,RH!$B$47:$S$67,MONTH($G400)+6,FALSE))</f>
        <v>0</v>
      </c>
      <c r="L400" s="98">
        <f>IFERROR(IF(AND($M400=TRUE,$N400=TRUE),VLOOKUP($E400,RH!$B$47:$S$67,MONTH($G400)+6,FALSE)*$H400,0),0)</f>
        <v>0</v>
      </c>
      <c r="M400" s="99" t="b">
        <f t="shared" si="1"/>
        <v>0</v>
      </c>
      <c r="N400" s="99"/>
      <c r="O400" s="85"/>
      <c r="P400" s="68"/>
    </row>
    <row r="401" hidden="1">
      <c r="A401" s="68"/>
      <c r="B401" s="79"/>
      <c r="C401" s="77"/>
      <c r="D401" s="79"/>
      <c r="E401" s="79"/>
      <c r="F401" s="93"/>
      <c r="G401" s="93"/>
      <c r="H401" s="103"/>
      <c r="I401" s="79"/>
      <c r="J401" s="100"/>
      <c r="K401" s="97" t="b">
        <f>IF(AND($M401=TRUE,$N401=TRUE),VLOOKUP($E401,RH!$B$47:$S$67,MONTH($G401)+6,FALSE))</f>
        <v>0</v>
      </c>
      <c r="L401" s="98">
        <f>IFERROR(IF(AND($M401=TRUE,$N401=TRUE),VLOOKUP($E401,RH!$B$47:$S$67,MONTH($G401)+6,FALSE)*$H401,0),0)</f>
        <v>0</v>
      </c>
      <c r="M401" s="99" t="b">
        <f t="shared" si="1"/>
        <v>0</v>
      </c>
      <c r="N401" s="99"/>
      <c r="O401" s="85"/>
      <c r="P401" s="68"/>
    </row>
    <row r="402" hidden="1">
      <c r="A402" s="68"/>
      <c r="B402" s="79"/>
      <c r="C402" s="77"/>
      <c r="D402" s="79"/>
      <c r="E402" s="79"/>
      <c r="F402" s="93"/>
      <c r="G402" s="93"/>
      <c r="H402" s="103"/>
      <c r="I402" s="79"/>
      <c r="J402" s="100"/>
      <c r="K402" s="97" t="b">
        <f>IF(AND($M402=TRUE,$N402=TRUE),VLOOKUP($E402,RH!$B$47:$S$67,MONTH($G402)+6,FALSE))</f>
        <v>0</v>
      </c>
      <c r="L402" s="98">
        <f>IFERROR(IF(AND($M402=TRUE,$N402=TRUE),VLOOKUP($E402,RH!$B$47:$S$67,MONTH($G402)+6,FALSE)*$H402,0),0)</f>
        <v>0</v>
      </c>
      <c r="M402" s="99" t="b">
        <f t="shared" si="1"/>
        <v>0</v>
      </c>
      <c r="N402" s="99"/>
      <c r="O402" s="85"/>
      <c r="P402" s="68"/>
    </row>
    <row r="403" hidden="1">
      <c r="A403" s="68"/>
      <c r="B403" s="79"/>
      <c r="C403" s="77"/>
      <c r="D403" s="79"/>
      <c r="E403" s="79"/>
      <c r="F403" s="93"/>
      <c r="G403" s="93"/>
      <c r="H403" s="103"/>
      <c r="I403" s="79"/>
      <c r="J403" s="100"/>
      <c r="K403" s="97" t="b">
        <f>IF(AND($M403=TRUE,$N403=TRUE),VLOOKUP($E403,RH!$B$47:$S$67,MONTH($G403)+6,FALSE))</f>
        <v>0</v>
      </c>
      <c r="L403" s="98">
        <f>IFERROR(IF(AND($M403=TRUE,$N403=TRUE),VLOOKUP($E403,RH!$B$47:$S$67,MONTH($G403)+6,FALSE)*$H403,0),0)</f>
        <v>0</v>
      </c>
      <c r="M403" s="99" t="b">
        <f t="shared" si="1"/>
        <v>0</v>
      </c>
      <c r="N403" s="99"/>
      <c r="O403" s="85"/>
      <c r="P403" s="68"/>
    </row>
    <row r="404" hidden="1">
      <c r="A404" s="68"/>
      <c r="B404" s="79"/>
      <c r="C404" s="77"/>
      <c r="D404" s="79"/>
      <c r="E404" s="79"/>
      <c r="F404" s="93"/>
      <c r="G404" s="93"/>
      <c r="H404" s="103"/>
      <c r="I404" s="79"/>
      <c r="J404" s="100"/>
      <c r="K404" s="97" t="b">
        <f>IF(AND($M404=TRUE,$N404=TRUE),VLOOKUP($E404,RH!$B$47:$S$67,MONTH($G404)+6,FALSE))</f>
        <v>0</v>
      </c>
      <c r="L404" s="98">
        <f>IFERROR(IF(AND($M404=TRUE,$N404=TRUE),VLOOKUP($E404,RH!$B$47:$S$67,MONTH($G404)+6,FALSE)*$H404,0),0)</f>
        <v>0</v>
      </c>
      <c r="M404" s="99" t="b">
        <f t="shared" si="1"/>
        <v>0</v>
      </c>
      <c r="N404" s="99"/>
      <c r="O404" s="85"/>
      <c r="P404" s="68"/>
    </row>
    <row r="405" hidden="1">
      <c r="A405" s="68"/>
      <c r="B405" s="79"/>
      <c r="C405" s="77"/>
      <c r="D405" s="79"/>
      <c r="E405" s="79"/>
      <c r="F405" s="93"/>
      <c r="G405" s="93"/>
      <c r="H405" s="103"/>
      <c r="I405" s="79"/>
      <c r="J405" s="100"/>
      <c r="K405" s="97" t="b">
        <f>IF(AND($M405=TRUE,$N405=TRUE),VLOOKUP($E405,RH!$B$47:$S$67,MONTH($G405)+6,FALSE))</f>
        <v>0</v>
      </c>
      <c r="L405" s="98">
        <f>IFERROR(IF(AND($M405=TRUE,$N405=TRUE),VLOOKUP($E405,RH!$B$47:$S$67,MONTH($G405)+6,FALSE)*$H405,0),0)</f>
        <v>0</v>
      </c>
      <c r="M405" s="99" t="b">
        <f t="shared" si="1"/>
        <v>0</v>
      </c>
      <c r="N405" s="99"/>
      <c r="O405" s="85"/>
      <c r="P405" s="68"/>
    </row>
    <row r="406" hidden="1">
      <c r="A406" s="68"/>
      <c r="B406" s="79"/>
      <c r="C406" s="77"/>
      <c r="D406" s="79"/>
      <c r="E406" s="79"/>
      <c r="F406" s="93"/>
      <c r="G406" s="93"/>
      <c r="H406" s="103"/>
      <c r="I406" s="79"/>
      <c r="J406" s="100"/>
      <c r="K406" s="97" t="b">
        <f>IF(AND($M406=TRUE,$N406=TRUE),VLOOKUP($E406,RH!$B$47:$S$67,MONTH($G406)+6,FALSE))</f>
        <v>0</v>
      </c>
      <c r="L406" s="98">
        <f>IFERROR(IF(AND($M406=TRUE,$N406=TRUE),VLOOKUP($E406,RH!$B$47:$S$67,MONTH($G406)+6,FALSE)*$H406,0),0)</f>
        <v>0</v>
      </c>
      <c r="M406" s="99" t="b">
        <f t="shared" si="1"/>
        <v>0</v>
      </c>
      <c r="N406" s="99"/>
      <c r="O406" s="85"/>
      <c r="P406" s="68"/>
    </row>
    <row r="407" hidden="1">
      <c r="A407" s="68"/>
      <c r="B407" s="79"/>
      <c r="C407" s="77"/>
      <c r="D407" s="79"/>
      <c r="E407" s="79"/>
      <c r="F407" s="93"/>
      <c r="G407" s="93"/>
      <c r="H407" s="103"/>
      <c r="I407" s="79"/>
      <c r="J407" s="100"/>
      <c r="K407" s="97" t="b">
        <f>IF(AND($M407=TRUE,$N407=TRUE),VLOOKUP($E407,RH!$B$47:$S$67,MONTH($G407)+6,FALSE))</f>
        <v>0</v>
      </c>
      <c r="L407" s="98">
        <f>IFERROR(IF(AND($M407=TRUE,$N407=TRUE),VLOOKUP($E407,RH!$B$47:$S$67,MONTH($G407)+6,FALSE)*$H407,0),0)</f>
        <v>0</v>
      </c>
      <c r="M407" s="99" t="b">
        <f t="shared" si="1"/>
        <v>0</v>
      </c>
      <c r="N407" s="99"/>
      <c r="O407" s="85"/>
      <c r="P407" s="68"/>
    </row>
    <row r="408" hidden="1">
      <c r="A408" s="68"/>
      <c r="B408" s="79"/>
      <c r="C408" s="77"/>
      <c r="D408" s="79"/>
      <c r="E408" s="79"/>
      <c r="F408" s="93"/>
      <c r="G408" s="93"/>
      <c r="H408" s="103"/>
      <c r="I408" s="79"/>
      <c r="J408" s="100"/>
      <c r="K408" s="97" t="b">
        <f>IF(AND($M408=TRUE,$N408=TRUE),VLOOKUP($E408,RH!$B$47:$S$67,MONTH($G408)+6,FALSE))</f>
        <v>0</v>
      </c>
      <c r="L408" s="98">
        <f>IFERROR(IF(AND($M408=TRUE,$N408=TRUE),VLOOKUP($E408,RH!$B$47:$S$67,MONTH($G408)+6,FALSE)*$H408,0),0)</f>
        <v>0</v>
      </c>
      <c r="M408" s="99" t="b">
        <f t="shared" si="1"/>
        <v>0</v>
      </c>
      <c r="N408" s="99"/>
      <c r="O408" s="85"/>
      <c r="P408" s="68"/>
    </row>
    <row r="409" hidden="1">
      <c r="A409" s="68"/>
      <c r="B409" s="79"/>
      <c r="C409" s="77"/>
      <c r="D409" s="79"/>
      <c r="E409" s="79"/>
      <c r="F409" s="93"/>
      <c r="G409" s="93"/>
      <c r="H409" s="103"/>
      <c r="I409" s="79"/>
      <c r="J409" s="100"/>
      <c r="K409" s="97" t="b">
        <f>IF(AND($M409=TRUE,$N409=TRUE),VLOOKUP($E409,RH!$B$47:$S$67,MONTH($G409)+6,FALSE))</f>
        <v>0</v>
      </c>
      <c r="L409" s="98">
        <f>IFERROR(IF(AND($M409=TRUE,$N409=TRUE),VLOOKUP($E409,RH!$B$47:$S$67,MONTH($G409)+6,FALSE)*$H409,0),0)</f>
        <v>0</v>
      </c>
      <c r="M409" s="99" t="b">
        <f t="shared" si="1"/>
        <v>0</v>
      </c>
      <c r="N409" s="99"/>
      <c r="O409" s="85"/>
      <c r="P409" s="68"/>
    </row>
    <row r="410" hidden="1">
      <c r="A410" s="68"/>
      <c r="B410" s="79"/>
      <c r="C410" s="77"/>
      <c r="D410" s="79"/>
      <c r="E410" s="79"/>
      <c r="F410" s="93"/>
      <c r="G410" s="93"/>
      <c r="H410" s="103"/>
      <c r="I410" s="79"/>
      <c r="J410" s="100"/>
      <c r="K410" s="97" t="b">
        <f>IF(AND($M410=TRUE,$N410=TRUE),VLOOKUP($E410,RH!$B$47:$S$67,MONTH($G410)+6,FALSE))</f>
        <v>0</v>
      </c>
      <c r="L410" s="98">
        <f>IFERROR(IF(AND($M410=TRUE,$N410=TRUE),VLOOKUP($E410,RH!$B$47:$S$67,MONTH($G410)+6,FALSE)*$H410,0),0)</f>
        <v>0</v>
      </c>
      <c r="M410" s="99" t="b">
        <f t="shared" si="1"/>
        <v>0</v>
      </c>
      <c r="N410" s="99"/>
      <c r="O410" s="85"/>
      <c r="P410" s="68"/>
    </row>
    <row r="411" hidden="1">
      <c r="A411" s="68"/>
      <c r="B411" s="79"/>
      <c r="C411" s="77"/>
      <c r="D411" s="79"/>
      <c r="E411" s="79"/>
      <c r="F411" s="93"/>
      <c r="G411" s="93"/>
      <c r="H411" s="103"/>
      <c r="I411" s="79"/>
      <c r="J411" s="100"/>
      <c r="K411" s="97" t="b">
        <f>IF(AND($M411=TRUE,$N411=TRUE),VLOOKUP($E411,RH!$B$47:$S$67,MONTH($G411)+6,FALSE))</f>
        <v>0</v>
      </c>
      <c r="L411" s="98">
        <f>IFERROR(IF(AND($M411=TRUE,$N411=TRUE),VLOOKUP($E411,RH!$B$47:$S$67,MONTH($G411)+6,FALSE)*$H411,0),0)</f>
        <v>0</v>
      </c>
      <c r="M411" s="99" t="b">
        <f t="shared" si="1"/>
        <v>0</v>
      </c>
      <c r="N411" s="99"/>
      <c r="O411" s="85"/>
      <c r="P411" s="68"/>
    </row>
    <row r="412" hidden="1">
      <c r="A412" s="68"/>
      <c r="B412" s="79"/>
      <c r="C412" s="77"/>
      <c r="D412" s="79"/>
      <c r="E412" s="79"/>
      <c r="F412" s="93"/>
      <c r="G412" s="93"/>
      <c r="H412" s="103"/>
      <c r="I412" s="79"/>
      <c r="J412" s="100"/>
      <c r="K412" s="97" t="b">
        <f>IF(AND($M412=TRUE,$N412=TRUE),VLOOKUP($E412,RH!$B$47:$S$67,MONTH($G412)+6,FALSE))</f>
        <v>0</v>
      </c>
      <c r="L412" s="98">
        <f>IFERROR(IF(AND($M412=TRUE,$N412=TRUE),VLOOKUP($E412,RH!$B$47:$S$67,MONTH($G412)+6,FALSE)*$H412,0),0)</f>
        <v>0</v>
      </c>
      <c r="M412" s="99" t="b">
        <f t="shared" si="1"/>
        <v>0</v>
      </c>
      <c r="N412" s="99"/>
      <c r="O412" s="85"/>
      <c r="P412" s="68"/>
    </row>
    <row r="413" hidden="1">
      <c r="A413" s="68"/>
      <c r="B413" s="79"/>
      <c r="C413" s="77"/>
      <c r="D413" s="79"/>
      <c r="E413" s="79"/>
      <c r="F413" s="93"/>
      <c r="G413" s="93"/>
      <c r="H413" s="103"/>
      <c r="I413" s="79"/>
      <c r="J413" s="100"/>
      <c r="K413" s="97" t="b">
        <f>IF(AND($M413=TRUE,$N413=TRUE),VLOOKUP($E413,RH!$B$47:$S$67,MONTH($G413)+6,FALSE))</f>
        <v>0</v>
      </c>
      <c r="L413" s="98">
        <f>IFERROR(IF(AND($M413=TRUE,$N413=TRUE),VLOOKUP($E413,RH!$B$47:$S$67,MONTH($G413)+6,FALSE)*$H413,0),0)</f>
        <v>0</v>
      </c>
      <c r="M413" s="99" t="b">
        <f t="shared" si="1"/>
        <v>0</v>
      </c>
      <c r="N413" s="99"/>
      <c r="O413" s="85"/>
      <c r="P413" s="68"/>
    </row>
    <row r="414" hidden="1">
      <c r="A414" s="68"/>
      <c r="B414" s="79"/>
      <c r="C414" s="77"/>
      <c r="D414" s="79"/>
      <c r="E414" s="79"/>
      <c r="F414" s="93"/>
      <c r="G414" s="93"/>
      <c r="H414" s="103"/>
      <c r="I414" s="79"/>
      <c r="J414" s="100"/>
      <c r="K414" s="97" t="b">
        <f>IF(AND($M414=TRUE,$N414=TRUE),VLOOKUP($E414,RH!$B$47:$S$67,MONTH($G414)+6,FALSE))</f>
        <v>0</v>
      </c>
      <c r="L414" s="98">
        <f>IFERROR(IF(AND($M414=TRUE,$N414=TRUE),VLOOKUP($E414,RH!$B$47:$S$67,MONTH($G414)+6,FALSE)*$H414,0),0)</f>
        <v>0</v>
      </c>
      <c r="M414" s="99" t="b">
        <f t="shared" si="1"/>
        <v>0</v>
      </c>
      <c r="N414" s="99"/>
      <c r="O414" s="85"/>
      <c r="P414" s="68"/>
    </row>
    <row r="415" hidden="1">
      <c r="A415" s="68"/>
      <c r="B415" s="79"/>
      <c r="C415" s="77"/>
      <c r="D415" s="79"/>
      <c r="E415" s="79"/>
      <c r="F415" s="93"/>
      <c r="G415" s="93"/>
      <c r="H415" s="103"/>
      <c r="I415" s="79"/>
      <c r="J415" s="100"/>
      <c r="K415" s="97" t="b">
        <f>IF(AND($M415=TRUE,$N415=TRUE),VLOOKUP($E415,RH!$B$47:$S$67,MONTH($G415)+6,FALSE))</f>
        <v>0</v>
      </c>
      <c r="L415" s="98">
        <f>IFERROR(IF(AND($M415=TRUE,$N415=TRUE),VLOOKUP($E415,RH!$B$47:$S$67,MONTH($G415)+6,FALSE)*$H415,0),0)</f>
        <v>0</v>
      </c>
      <c r="M415" s="99" t="b">
        <f t="shared" si="1"/>
        <v>0</v>
      </c>
      <c r="N415" s="99"/>
      <c r="O415" s="85"/>
      <c r="P415" s="68"/>
    </row>
    <row r="416" hidden="1">
      <c r="A416" s="68"/>
      <c r="B416" s="79"/>
      <c r="C416" s="77"/>
      <c r="D416" s="79"/>
      <c r="E416" s="79"/>
      <c r="F416" s="93"/>
      <c r="G416" s="93"/>
      <c r="H416" s="103"/>
      <c r="I416" s="79"/>
      <c r="J416" s="100"/>
      <c r="K416" s="97" t="b">
        <f>IF(AND($M416=TRUE,$N416=TRUE),VLOOKUP($E416,RH!$B$47:$S$67,MONTH($G416)+6,FALSE))</f>
        <v>0</v>
      </c>
      <c r="L416" s="98">
        <f>IFERROR(IF(AND($M416=TRUE,$N416=TRUE),VLOOKUP($E416,RH!$B$47:$S$67,MONTH($G416)+6,FALSE)*$H416,0),0)</f>
        <v>0</v>
      </c>
      <c r="M416" s="99" t="b">
        <f t="shared" si="1"/>
        <v>0</v>
      </c>
      <c r="N416" s="99"/>
      <c r="O416" s="85"/>
      <c r="P416" s="68"/>
    </row>
    <row r="417" hidden="1">
      <c r="A417" s="68"/>
      <c r="B417" s="79"/>
      <c r="C417" s="77"/>
      <c r="D417" s="79"/>
      <c r="E417" s="79"/>
      <c r="F417" s="93"/>
      <c r="G417" s="93"/>
      <c r="H417" s="103"/>
      <c r="I417" s="79"/>
      <c r="J417" s="100"/>
      <c r="K417" s="97" t="b">
        <f>IF(AND($M417=TRUE,$N417=TRUE),VLOOKUP($E417,RH!$B$47:$S$67,MONTH($G417)+6,FALSE))</f>
        <v>0</v>
      </c>
      <c r="L417" s="98">
        <f>IFERROR(IF(AND($M417=TRUE,$N417=TRUE),VLOOKUP($E417,RH!$B$47:$S$67,MONTH($G417)+6,FALSE)*$H417,0),0)</f>
        <v>0</v>
      </c>
      <c r="M417" s="99" t="b">
        <f t="shared" si="1"/>
        <v>0</v>
      </c>
      <c r="N417" s="99"/>
      <c r="O417" s="85"/>
      <c r="P417" s="68"/>
    </row>
    <row r="418" hidden="1">
      <c r="A418" s="68"/>
      <c r="B418" s="79"/>
      <c r="C418" s="77"/>
      <c r="D418" s="79"/>
      <c r="E418" s="79"/>
      <c r="F418" s="93"/>
      <c r="G418" s="93"/>
      <c r="H418" s="103"/>
      <c r="I418" s="79"/>
      <c r="J418" s="100"/>
      <c r="K418" s="97" t="b">
        <f>IF(AND($M418=TRUE,$N418=TRUE),VLOOKUP($E418,RH!$B$47:$S$67,MONTH($G418)+6,FALSE))</f>
        <v>0</v>
      </c>
      <c r="L418" s="98">
        <f>IFERROR(IF(AND($M418=TRUE,$N418=TRUE),VLOOKUP($E418,RH!$B$47:$S$67,MONTH($G418)+6,FALSE)*$H418,0),0)</f>
        <v>0</v>
      </c>
      <c r="M418" s="99" t="b">
        <f t="shared" si="1"/>
        <v>0</v>
      </c>
      <c r="N418" s="99"/>
      <c r="O418" s="85"/>
      <c r="P418" s="68"/>
    </row>
    <row r="419" hidden="1">
      <c r="A419" s="68"/>
      <c r="B419" s="79"/>
      <c r="C419" s="77"/>
      <c r="D419" s="79"/>
      <c r="E419" s="79"/>
      <c r="F419" s="93"/>
      <c r="G419" s="93"/>
      <c r="H419" s="103"/>
      <c r="I419" s="79"/>
      <c r="J419" s="100"/>
      <c r="K419" s="97" t="b">
        <f>IF(AND($M419=TRUE,$N419=TRUE),VLOOKUP($E419,RH!$B$47:$S$67,MONTH($G419)+6,FALSE))</f>
        <v>0</v>
      </c>
      <c r="L419" s="98">
        <f>IFERROR(IF(AND($M419=TRUE,$N419=TRUE),VLOOKUP($E419,RH!$B$47:$S$67,MONTH($G419)+6,FALSE)*$H419,0),0)</f>
        <v>0</v>
      </c>
      <c r="M419" s="99" t="b">
        <f t="shared" si="1"/>
        <v>0</v>
      </c>
      <c r="N419" s="99"/>
      <c r="O419" s="85"/>
      <c r="P419" s="68"/>
    </row>
    <row r="420" hidden="1">
      <c r="A420" s="68"/>
      <c r="B420" s="79"/>
      <c r="C420" s="77"/>
      <c r="D420" s="79"/>
      <c r="E420" s="79"/>
      <c r="F420" s="93"/>
      <c r="G420" s="93"/>
      <c r="H420" s="103"/>
      <c r="I420" s="79"/>
      <c r="J420" s="100"/>
      <c r="K420" s="97" t="b">
        <f>IF(AND($M420=TRUE,$N420=TRUE),VLOOKUP($E420,RH!$B$47:$S$67,MONTH($G420)+6,FALSE))</f>
        <v>0</v>
      </c>
      <c r="L420" s="98">
        <f>IFERROR(IF(AND($M420=TRUE,$N420=TRUE),VLOOKUP($E420,RH!$B$47:$S$67,MONTH($G420)+6,FALSE)*$H420,0),0)</f>
        <v>0</v>
      </c>
      <c r="M420" s="99" t="b">
        <f t="shared" si="1"/>
        <v>0</v>
      </c>
      <c r="N420" s="99"/>
      <c r="O420" s="85"/>
      <c r="P420" s="68"/>
    </row>
    <row r="421" hidden="1">
      <c r="A421" s="68"/>
      <c r="B421" s="79"/>
      <c r="C421" s="77"/>
      <c r="D421" s="79"/>
      <c r="E421" s="79"/>
      <c r="F421" s="93"/>
      <c r="G421" s="93"/>
      <c r="H421" s="103"/>
      <c r="I421" s="79"/>
      <c r="J421" s="100"/>
      <c r="K421" s="97" t="b">
        <f>IF(AND($M421=TRUE,$N421=TRUE),VLOOKUP($E421,RH!$B$47:$S$67,MONTH($G421)+6,FALSE))</f>
        <v>0</v>
      </c>
      <c r="L421" s="98">
        <f>IFERROR(IF(AND($M421=TRUE,$N421=TRUE),VLOOKUP($E421,RH!$B$47:$S$67,MONTH($G421)+6,FALSE)*$H421,0),0)</f>
        <v>0</v>
      </c>
      <c r="M421" s="99" t="b">
        <f t="shared" si="1"/>
        <v>0</v>
      </c>
      <c r="N421" s="99"/>
      <c r="O421" s="85"/>
      <c r="P421" s="68"/>
    </row>
    <row r="422" hidden="1">
      <c r="A422" s="68"/>
      <c r="B422" s="79"/>
      <c r="C422" s="77"/>
      <c r="D422" s="79"/>
      <c r="E422" s="79"/>
      <c r="F422" s="93"/>
      <c r="G422" s="93"/>
      <c r="H422" s="103"/>
      <c r="I422" s="79"/>
      <c r="J422" s="100"/>
      <c r="K422" s="97" t="b">
        <f>IF(AND($M422=TRUE,$N422=TRUE),VLOOKUP($E422,RH!$B$47:$S$67,MONTH($G422)+6,FALSE))</f>
        <v>0</v>
      </c>
      <c r="L422" s="98">
        <f>IFERROR(IF(AND($M422=TRUE,$N422=TRUE),VLOOKUP($E422,RH!$B$47:$S$67,MONTH($G422)+6,FALSE)*$H422,0),0)</f>
        <v>0</v>
      </c>
      <c r="M422" s="99" t="b">
        <f t="shared" si="1"/>
        <v>0</v>
      </c>
      <c r="N422" s="99"/>
      <c r="O422" s="85"/>
      <c r="P422" s="68"/>
    </row>
    <row r="423" hidden="1">
      <c r="A423" s="68"/>
      <c r="B423" s="79"/>
      <c r="C423" s="77"/>
      <c r="D423" s="79"/>
      <c r="E423" s="79"/>
      <c r="F423" s="93"/>
      <c r="G423" s="93"/>
      <c r="H423" s="103"/>
      <c r="I423" s="79"/>
      <c r="J423" s="100"/>
      <c r="K423" s="97" t="b">
        <f>IF(AND($M423=TRUE,$N423=TRUE),VLOOKUP($E423,RH!$B$47:$S$67,MONTH($G423)+6,FALSE))</f>
        <v>0</v>
      </c>
      <c r="L423" s="98">
        <f>IFERROR(IF(AND($M423=TRUE,$N423=TRUE),VLOOKUP($E423,RH!$B$47:$S$67,MONTH($G423)+6,FALSE)*$H423,0),0)</f>
        <v>0</v>
      </c>
      <c r="M423" s="99" t="b">
        <f t="shared" si="1"/>
        <v>0</v>
      </c>
      <c r="N423" s="99"/>
      <c r="O423" s="85"/>
      <c r="P423" s="68"/>
    </row>
    <row r="424" hidden="1">
      <c r="A424" s="68"/>
      <c r="B424" s="79"/>
      <c r="C424" s="77"/>
      <c r="D424" s="79"/>
      <c r="E424" s="79"/>
      <c r="F424" s="93"/>
      <c r="G424" s="93"/>
      <c r="H424" s="103"/>
      <c r="I424" s="79"/>
      <c r="J424" s="100"/>
      <c r="K424" s="97" t="b">
        <f>IF(AND($M424=TRUE,$N424=TRUE),VLOOKUP($E424,RH!$B$47:$S$67,MONTH($G424)+6,FALSE))</f>
        <v>0</v>
      </c>
      <c r="L424" s="98">
        <f>IFERROR(IF(AND($M424=TRUE,$N424=TRUE),VLOOKUP($E424,RH!$B$47:$S$67,MONTH($G424)+6,FALSE)*$H424,0),0)</f>
        <v>0</v>
      </c>
      <c r="M424" s="99" t="b">
        <f t="shared" si="1"/>
        <v>0</v>
      </c>
      <c r="N424" s="99"/>
      <c r="O424" s="85"/>
      <c r="P424" s="68"/>
    </row>
    <row r="425" hidden="1">
      <c r="A425" s="68"/>
      <c r="B425" s="79"/>
      <c r="C425" s="77"/>
      <c r="D425" s="79"/>
      <c r="E425" s="79"/>
      <c r="F425" s="93"/>
      <c r="G425" s="93"/>
      <c r="H425" s="103"/>
      <c r="I425" s="79"/>
      <c r="J425" s="100"/>
      <c r="K425" s="97" t="b">
        <f>IF(AND($M425=TRUE,$N425=TRUE),VLOOKUP($E425,RH!$B$47:$S$67,MONTH($G425)+6,FALSE))</f>
        <v>0</v>
      </c>
      <c r="L425" s="98">
        <f>IFERROR(IF(AND($M425=TRUE,$N425=TRUE),VLOOKUP($E425,RH!$B$47:$S$67,MONTH($G425)+6,FALSE)*$H425,0),0)</f>
        <v>0</v>
      </c>
      <c r="M425" s="99" t="b">
        <f t="shared" si="1"/>
        <v>0</v>
      </c>
      <c r="N425" s="99"/>
      <c r="O425" s="85"/>
      <c r="P425" s="68"/>
    </row>
    <row r="426" hidden="1">
      <c r="A426" s="68"/>
      <c r="B426" s="79"/>
      <c r="C426" s="77"/>
      <c r="D426" s="79"/>
      <c r="E426" s="79"/>
      <c r="F426" s="93"/>
      <c r="G426" s="93"/>
      <c r="H426" s="103"/>
      <c r="I426" s="79"/>
      <c r="J426" s="100"/>
      <c r="K426" s="97" t="b">
        <f>IF(AND($M426=TRUE,$N426=TRUE),VLOOKUP($E426,RH!$B$47:$S$67,MONTH($G426)+6,FALSE))</f>
        <v>0</v>
      </c>
      <c r="L426" s="98">
        <f>IFERROR(IF(AND($M426=TRUE,$N426=TRUE),VLOOKUP($E426,RH!$B$47:$S$67,MONTH($G426)+6,FALSE)*$H426,0),0)</f>
        <v>0</v>
      </c>
      <c r="M426" s="99" t="b">
        <f t="shared" si="1"/>
        <v>0</v>
      </c>
      <c r="N426" s="99"/>
      <c r="O426" s="85"/>
      <c r="P426" s="68"/>
    </row>
    <row r="427" hidden="1">
      <c r="A427" s="68"/>
      <c r="B427" s="79"/>
      <c r="C427" s="77"/>
      <c r="D427" s="79"/>
      <c r="E427" s="79"/>
      <c r="F427" s="93"/>
      <c r="G427" s="93"/>
      <c r="H427" s="103"/>
      <c r="I427" s="79"/>
      <c r="J427" s="100"/>
      <c r="K427" s="97" t="b">
        <f>IF(AND($M427=TRUE,$N427=TRUE),VLOOKUP($E427,RH!$B$47:$S$67,MONTH($G427)+6,FALSE))</f>
        <v>0</v>
      </c>
      <c r="L427" s="98">
        <f>IFERROR(IF(AND($M427=TRUE,$N427=TRUE),VLOOKUP($E427,RH!$B$47:$S$67,MONTH($G427)+6,FALSE)*$H427,0),0)</f>
        <v>0</v>
      </c>
      <c r="M427" s="99" t="b">
        <f t="shared" si="1"/>
        <v>0</v>
      </c>
      <c r="N427" s="99"/>
      <c r="O427" s="85"/>
      <c r="P427" s="68"/>
    </row>
    <row r="428" hidden="1">
      <c r="A428" s="68"/>
      <c r="B428" s="79"/>
      <c r="C428" s="77"/>
      <c r="D428" s="79"/>
      <c r="E428" s="79"/>
      <c r="F428" s="93"/>
      <c r="G428" s="93"/>
      <c r="H428" s="103"/>
      <c r="I428" s="79"/>
      <c r="J428" s="100"/>
      <c r="K428" s="97" t="b">
        <f>IF(AND($M428=TRUE,$N428=TRUE),VLOOKUP($E428,RH!$B$47:$S$67,MONTH($G428)+6,FALSE))</f>
        <v>0</v>
      </c>
      <c r="L428" s="98">
        <f>IFERROR(IF(AND($M428=TRUE,$N428=TRUE),VLOOKUP($E428,RH!$B$47:$S$67,MONTH($G428)+6,FALSE)*$H428,0),0)</f>
        <v>0</v>
      </c>
      <c r="M428" s="99" t="b">
        <f t="shared" si="1"/>
        <v>0</v>
      </c>
      <c r="N428" s="99"/>
      <c r="O428" s="85"/>
      <c r="P428" s="68"/>
    </row>
    <row r="429" hidden="1">
      <c r="A429" s="68"/>
      <c r="B429" s="79"/>
      <c r="C429" s="77"/>
      <c r="D429" s="79"/>
      <c r="E429" s="79"/>
      <c r="F429" s="93"/>
      <c r="G429" s="93"/>
      <c r="H429" s="103"/>
      <c r="I429" s="79"/>
      <c r="J429" s="100"/>
      <c r="K429" s="97" t="b">
        <f>IF(AND($M429=TRUE,$N429=TRUE),VLOOKUP($E429,RH!$B$47:$S$67,MONTH($G429)+6,FALSE))</f>
        <v>0</v>
      </c>
      <c r="L429" s="98">
        <f>IFERROR(IF(AND($M429=TRUE,$N429=TRUE),VLOOKUP($E429,RH!$B$47:$S$67,MONTH($G429)+6,FALSE)*$H429,0),0)</f>
        <v>0</v>
      </c>
      <c r="M429" s="99" t="b">
        <f t="shared" si="1"/>
        <v>0</v>
      </c>
      <c r="N429" s="99"/>
      <c r="O429" s="85"/>
      <c r="P429" s="68"/>
    </row>
    <row r="430" hidden="1">
      <c r="A430" s="68"/>
      <c r="B430" s="79"/>
      <c r="C430" s="77"/>
      <c r="D430" s="79"/>
      <c r="E430" s="79"/>
      <c r="F430" s="93"/>
      <c r="G430" s="93"/>
      <c r="H430" s="103"/>
      <c r="I430" s="79"/>
      <c r="J430" s="100"/>
      <c r="K430" s="97" t="b">
        <f>IF(AND($M430=TRUE,$N430=TRUE),VLOOKUP($E430,RH!$B$47:$S$67,MONTH($G430)+6,FALSE))</f>
        <v>0</v>
      </c>
      <c r="L430" s="98">
        <f>IFERROR(IF(AND($M430=TRUE,$N430=TRUE),VLOOKUP($E430,RH!$B$47:$S$67,MONTH($G430)+6,FALSE)*$H430,0),0)</f>
        <v>0</v>
      </c>
      <c r="M430" s="99" t="b">
        <f t="shared" si="1"/>
        <v>0</v>
      </c>
      <c r="N430" s="99"/>
      <c r="O430" s="85"/>
      <c r="P430" s="68"/>
    </row>
    <row r="431" hidden="1">
      <c r="A431" s="68"/>
      <c r="B431" s="79"/>
      <c r="C431" s="77"/>
      <c r="D431" s="79"/>
      <c r="E431" s="79"/>
      <c r="F431" s="93"/>
      <c r="G431" s="93"/>
      <c r="H431" s="103"/>
      <c r="I431" s="79"/>
      <c r="J431" s="100"/>
      <c r="K431" s="97" t="b">
        <f>IF(AND($M431=TRUE,$N431=TRUE),VLOOKUP($E431,RH!$B$47:$S$67,MONTH($G431)+6,FALSE))</f>
        <v>0</v>
      </c>
      <c r="L431" s="98">
        <f>IFERROR(IF(AND($M431=TRUE,$N431=TRUE),VLOOKUP($E431,RH!$B$47:$S$67,MONTH($G431)+6,FALSE)*$H431,0),0)</f>
        <v>0</v>
      </c>
      <c r="M431" s="99" t="b">
        <f t="shared" si="1"/>
        <v>0</v>
      </c>
      <c r="N431" s="99"/>
      <c r="O431" s="85"/>
      <c r="P431" s="68"/>
    </row>
    <row r="432" hidden="1">
      <c r="A432" s="68"/>
      <c r="B432" s="79"/>
      <c r="C432" s="77"/>
      <c r="D432" s="79"/>
      <c r="E432" s="79"/>
      <c r="F432" s="93"/>
      <c r="G432" s="93"/>
      <c r="H432" s="103"/>
      <c r="I432" s="79"/>
      <c r="J432" s="100"/>
      <c r="K432" s="97" t="b">
        <f>IF(AND($M432=TRUE,$N432=TRUE),VLOOKUP($E432,RH!$B$47:$S$67,MONTH($G432)+6,FALSE))</f>
        <v>0</v>
      </c>
      <c r="L432" s="98">
        <f>IFERROR(IF(AND($M432=TRUE,$N432=TRUE),VLOOKUP($E432,RH!$B$47:$S$67,MONTH($G432)+6,FALSE)*$H432,0),0)</f>
        <v>0</v>
      </c>
      <c r="M432" s="99" t="b">
        <f t="shared" si="1"/>
        <v>0</v>
      </c>
      <c r="N432" s="99"/>
      <c r="O432" s="85"/>
      <c r="P432" s="68"/>
    </row>
    <row r="433" hidden="1">
      <c r="A433" s="68"/>
      <c r="B433" s="79"/>
      <c r="C433" s="77"/>
      <c r="D433" s="79"/>
      <c r="E433" s="79"/>
      <c r="F433" s="93"/>
      <c r="G433" s="93"/>
      <c r="H433" s="103"/>
      <c r="I433" s="79"/>
      <c r="J433" s="100"/>
      <c r="K433" s="97" t="b">
        <f>IF(AND($M433=TRUE,$N433=TRUE),VLOOKUP($E433,RH!$B$47:$S$67,MONTH($G433)+6,FALSE))</f>
        <v>0</v>
      </c>
      <c r="L433" s="98">
        <f>IFERROR(IF(AND($M433=TRUE,$N433=TRUE),VLOOKUP($E433,RH!$B$47:$S$67,MONTH($G433)+6,FALSE)*$H433,0),0)</f>
        <v>0</v>
      </c>
      <c r="M433" s="99" t="b">
        <f t="shared" si="1"/>
        <v>0</v>
      </c>
      <c r="N433" s="99"/>
      <c r="O433" s="85"/>
      <c r="P433" s="68"/>
    </row>
    <row r="434" hidden="1">
      <c r="A434" s="68"/>
      <c r="B434" s="79"/>
      <c r="C434" s="77"/>
      <c r="D434" s="79"/>
      <c r="E434" s="79"/>
      <c r="F434" s="93"/>
      <c r="G434" s="93"/>
      <c r="H434" s="103"/>
      <c r="I434" s="79"/>
      <c r="J434" s="100"/>
      <c r="K434" s="97" t="b">
        <f>IF(AND($M434=TRUE,$N434=TRUE),VLOOKUP($E434,RH!$B$47:$S$67,MONTH($G434)+6,FALSE))</f>
        <v>0</v>
      </c>
      <c r="L434" s="98">
        <f>IFERROR(IF(AND($M434=TRUE,$N434=TRUE),VLOOKUP($E434,RH!$B$47:$S$67,MONTH($G434)+6,FALSE)*$H434,0),0)</f>
        <v>0</v>
      </c>
      <c r="M434" s="99" t="b">
        <f t="shared" si="1"/>
        <v>0</v>
      </c>
      <c r="N434" s="99"/>
      <c r="O434" s="85"/>
      <c r="P434" s="68"/>
    </row>
    <row r="435" hidden="1">
      <c r="A435" s="68"/>
      <c r="B435" s="79"/>
      <c r="C435" s="77"/>
      <c r="D435" s="79"/>
      <c r="E435" s="79"/>
      <c r="F435" s="93"/>
      <c r="G435" s="93"/>
      <c r="H435" s="103"/>
      <c r="I435" s="79"/>
      <c r="J435" s="100"/>
      <c r="K435" s="97" t="b">
        <f>IF(AND($M435=TRUE,$N435=TRUE),VLOOKUP($E435,RH!$B$47:$S$67,MONTH($G435)+6,FALSE))</f>
        <v>0</v>
      </c>
      <c r="L435" s="98">
        <f>IFERROR(IF(AND($M435=TRUE,$N435=TRUE),VLOOKUP($E435,RH!$B$47:$S$67,MONTH($G435)+6,FALSE)*$H435,0),0)</f>
        <v>0</v>
      </c>
      <c r="M435" s="99" t="b">
        <f t="shared" si="1"/>
        <v>0</v>
      </c>
      <c r="N435" s="99"/>
      <c r="O435" s="85"/>
      <c r="P435" s="68"/>
    </row>
    <row r="436" hidden="1">
      <c r="A436" s="68"/>
      <c r="B436" s="79"/>
      <c r="C436" s="77"/>
      <c r="D436" s="79"/>
      <c r="E436" s="79"/>
      <c r="F436" s="93"/>
      <c r="G436" s="93"/>
      <c r="H436" s="103"/>
      <c r="I436" s="79"/>
      <c r="J436" s="100"/>
      <c r="K436" s="97" t="b">
        <f>IF(AND($M436=TRUE,$N436=TRUE),VLOOKUP($E436,RH!$B$47:$S$67,MONTH($G436)+6,FALSE))</f>
        <v>0</v>
      </c>
      <c r="L436" s="98">
        <f>IFERROR(IF(AND($M436=TRUE,$N436=TRUE),VLOOKUP($E436,RH!$B$47:$S$67,MONTH($G436)+6,FALSE)*$H436,0),0)</f>
        <v>0</v>
      </c>
      <c r="M436" s="99" t="b">
        <f t="shared" si="1"/>
        <v>0</v>
      </c>
      <c r="N436" s="99"/>
      <c r="O436" s="85"/>
      <c r="P436" s="68"/>
    </row>
    <row r="437" hidden="1">
      <c r="A437" s="68"/>
      <c r="B437" s="79"/>
      <c r="C437" s="77"/>
      <c r="D437" s="79"/>
      <c r="E437" s="79"/>
      <c r="F437" s="93"/>
      <c r="G437" s="93"/>
      <c r="H437" s="103"/>
      <c r="I437" s="79"/>
      <c r="J437" s="100"/>
      <c r="K437" s="97" t="b">
        <f>IF(AND($M437=TRUE,$N437=TRUE),VLOOKUP($E437,RH!$B$47:$S$67,MONTH($G437)+6,FALSE))</f>
        <v>0</v>
      </c>
      <c r="L437" s="98">
        <f>IFERROR(IF(AND($M437=TRUE,$N437=TRUE),VLOOKUP($E437,RH!$B$47:$S$67,MONTH($G437)+6,FALSE)*$H437,0),0)</f>
        <v>0</v>
      </c>
      <c r="M437" s="99" t="b">
        <f t="shared" si="1"/>
        <v>0</v>
      </c>
      <c r="N437" s="99"/>
      <c r="O437" s="85"/>
      <c r="P437" s="68"/>
    </row>
    <row r="438" hidden="1">
      <c r="A438" s="68"/>
      <c r="B438" s="79"/>
      <c r="C438" s="77"/>
      <c r="D438" s="79"/>
      <c r="E438" s="79"/>
      <c r="F438" s="93"/>
      <c r="G438" s="93"/>
      <c r="H438" s="103"/>
      <c r="I438" s="79"/>
      <c r="J438" s="100"/>
      <c r="K438" s="97" t="b">
        <f>IF(AND($M438=TRUE,$N438=TRUE),VLOOKUP($E438,RH!$B$47:$S$67,MONTH($G438)+6,FALSE))</f>
        <v>0</v>
      </c>
      <c r="L438" s="98">
        <f>IFERROR(IF(AND($M438=TRUE,$N438=TRUE),VLOOKUP($E438,RH!$B$47:$S$67,MONTH($G438)+6,FALSE)*$H438,0),0)</f>
        <v>0</v>
      </c>
      <c r="M438" s="99" t="b">
        <f t="shared" si="1"/>
        <v>0</v>
      </c>
      <c r="N438" s="99"/>
      <c r="O438" s="85"/>
      <c r="P438" s="68"/>
    </row>
    <row r="439" hidden="1">
      <c r="A439" s="68"/>
      <c r="B439" s="79"/>
      <c r="C439" s="77"/>
      <c r="D439" s="79"/>
      <c r="E439" s="79"/>
      <c r="F439" s="93"/>
      <c r="G439" s="93"/>
      <c r="H439" s="103"/>
      <c r="I439" s="79"/>
      <c r="J439" s="100"/>
      <c r="K439" s="97" t="b">
        <f>IF(AND($M439=TRUE,$N439=TRUE),VLOOKUP($E439,RH!$B$47:$S$67,MONTH($G439)+6,FALSE))</f>
        <v>0</v>
      </c>
      <c r="L439" s="98">
        <f>IFERROR(IF(AND($M439=TRUE,$N439=TRUE),VLOOKUP($E439,RH!$B$47:$S$67,MONTH($G439)+6,FALSE)*$H439,0),0)</f>
        <v>0</v>
      </c>
      <c r="M439" s="99" t="b">
        <f t="shared" si="1"/>
        <v>0</v>
      </c>
      <c r="N439" s="99"/>
      <c r="O439" s="85"/>
      <c r="P439" s="68"/>
    </row>
    <row r="440" hidden="1">
      <c r="A440" s="68"/>
      <c r="B440" s="79"/>
      <c r="C440" s="77"/>
      <c r="D440" s="79"/>
      <c r="E440" s="79"/>
      <c r="F440" s="93"/>
      <c r="G440" s="93"/>
      <c r="H440" s="103"/>
      <c r="I440" s="79"/>
      <c r="J440" s="100"/>
      <c r="K440" s="97" t="b">
        <f>IF(AND($M440=TRUE,$N440=TRUE),VLOOKUP($E440,RH!$B$47:$S$67,MONTH($G440)+6,FALSE))</f>
        <v>0</v>
      </c>
      <c r="L440" s="98">
        <f>IFERROR(IF(AND($M440=TRUE,$N440=TRUE),VLOOKUP($E440,RH!$B$47:$S$67,MONTH($G440)+6,FALSE)*$H440,0),0)</f>
        <v>0</v>
      </c>
      <c r="M440" s="99" t="b">
        <f t="shared" si="1"/>
        <v>0</v>
      </c>
      <c r="N440" s="99"/>
      <c r="O440" s="85"/>
      <c r="P440" s="68"/>
    </row>
    <row r="441" hidden="1">
      <c r="A441" s="68"/>
      <c r="B441" s="79"/>
      <c r="C441" s="77"/>
      <c r="D441" s="79"/>
      <c r="E441" s="79"/>
      <c r="F441" s="93"/>
      <c r="G441" s="93"/>
      <c r="H441" s="103"/>
      <c r="I441" s="79"/>
      <c r="J441" s="100"/>
      <c r="K441" s="97" t="b">
        <f>IF(AND($M441=TRUE,$N441=TRUE),VLOOKUP($E441,RH!$B$47:$S$67,MONTH($G441)+6,FALSE))</f>
        <v>0</v>
      </c>
      <c r="L441" s="98">
        <f>IFERROR(IF(AND($M441=TRUE,$N441=TRUE),VLOOKUP($E441,RH!$B$47:$S$67,MONTH($G441)+6,FALSE)*$H441,0),0)</f>
        <v>0</v>
      </c>
      <c r="M441" s="99" t="b">
        <f t="shared" si="1"/>
        <v>0</v>
      </c>
      <c r="N441" s="99"/>
      <c r="O441" s="85"/>
      <c r="P441" s="68"/>
    </row>
    <row r="442" hidden="1">
      <c r="A442" s="68"/>
      <c r="B442" s="79"/>
      <c r="C442" s="77"/>
      <c r="D442" s="79"/>
      <c r="E442" s="79"/>
      <c r="F442" s="93"/>
      <c r="G442" s="93"/>
      <c r="H442" s="103"/>
      <c r="I442" s="79"/>
      <c r="J442" s="100"/>
      <c r="K442" s="97" t="b">
        <f>IF(AND($M442=TRUE,$N442=TRUE),VLOOKUP($E442,RH!$B$47:$S$67,MONTH($G442)+6,FALSE))</f>
        <v>0</v>
      </c>
      <c r="L442" s="98">
        <f>IFERROR(IF(AND($M442=TRUE,$N442=TRUE),VLOOKUP($E442,RH!$B$47:$S$67,MONTH($G442)+6,FALSE)*$H442,0),0)</f>
        <v>0</v>
      </c>
      <c r="M442" s="99" t="b">
        <f t="shared" si="1"/>
        <v>0</v>
      </c>
      <c r="N442" s="99"/>
      <c r="O442" s="85"/>
      <c r="P442" s="68"/>
    </row>
    <row r="443" hidden="1">
      <c r="A443" s="68"/>
      <c r="B443" s="79"/>
      <c r="C443" s="77"/>
      <c r="D443" s="79"/>
      <c r="E443" s="79"/>
      <c r="F443" s="93"/>
      <c r="G443" s="93"/>
      <c r="H443" s="103"/>
      <c r="I443" s="79"/>
      <c r="J443" s="100"/>
      <c r="K443" s="97" t="b">
        <f>IF(AND($M443=TRUE,$N443=TRUE),VLOOKUP($E443,RH!$B$47:$S$67,MONTH($G443)+6,FALSE))</f>
        <v>0</v>
      </c>
      <c r="L443" s="98">
        <f>IFERROR(IF(AND($M443=TRUE,$N443=TRUE),VLOOKUP($E443,RH!$B$47:$S$67,MONTH($G443)+6,FALSE)*$H443,0),0)</f>
        <v>0</v>
      </c>
      <c r="M443" s="99" t="b">
        <f t="shared" si="1"/>
        <v>0</v>
      </c>
      <c r="N443" s="99"/>
      <c r="O443" s="85"/>
      <c r="P443" s="68"/>
    </row>
    <row r="444" hidden="1">
      <c r="A444" s="68"/>
      <c r="B444" s="79"/>
      <c r="C444" s="77"/>
      <c r="D444" s="79"/>
      <c r="E444" s="79"/>
      <c r="F444" s="93"/>
      <c r="G444" s="93"/>
      <c r="H444" s="103"/>
      <c r="I444" s="79"/>
      <c r="J444" s="100"/>
      <c r="K444" s="97" t="b">
        <f>IF(AND($M444=TRUE,$N444=TRUE),VLOOKUP($E444,RH!$B$47:$S$67,MONTH($G444)+6,FALSE))</f>
        <v>0</v>
      </c>
      <c r="L444" s="98">
        <f>IFERROR(IF(AND($M444=TRUE,$N444=TRUE),VLOOKUP($E444,RH!$B$47:$S$67,MONTH($G444)+6,FALSE)*$H444,0),0)</f>
        <v>0</v>
      </c>
      <c r="M444" s="99" t="b">
        <f t="shared" si="1"/>
        <v>0</v>
      </c>
      <c r="N444" s="99"/>
      <c r="O444" s="85"/>
      <c r="P444" s="68"/>
    </row>
    <row r="445" hidden="1">
      <c r="A445" s="68"/>
      <c r="B445" s="79"/>
      <c r="C445" s="77"/>
      <c r="D445" s="79"/>
      <c r="E445" s="79"/>
      <c r="F445" s="93"/>
      <c r="G445" s="93"/>
      <c r="H445" s="103"/>
      <c r="I445" s="79"/>
      <c r="J445" s="100"/>
      <c r="K445" s="97" t="b">
        <f>IF(AND($M445=TRUE,$N445=TRUE),VLOOKUP($E445,RH!$B$47:$S$67,MONTH($G445)+6,FALSE))</f>
        <v>0</v>
      </c>
      <c r="L445" s="98">
        <f>IFERROR(IF(AND($M445=TRUE,$N445=TRUE),VLOOKUP($E445,RH!$B$47:$S$67,MONTH($G445)+6,FALSE)*$H445,0),0)</f>
        <v>0</v>
      </c>
      <c r="M445" s="99" t="b">
        <f t="shared" si="1"/>
        <v>0</v>
      </c>
      <c r="N445" s="99"/>
      <c r="O445" s="85"/>
      <c r="P445" s="68"/>
    </row>
    <row r="446" hidden="1">
      <c r="A446" s="68"/>
      <c r="B446" s="79"/>
      <c r="C446" s="77"/>
      <c r="D446" s="79"/>
      <c r="E446" s="79"/>
      <c r="F446" s="93"/>
      <c r="G446" s="93"/>
      <c r="H446" s="103"/>
      <c r="I446" s="79"/>
      <c r="J446" s="100"/>
      <c r="K446" s="97" t="b">
        <f>IF(AND($M446=TRUE,$N446=TRUE),VLOOKUP($E446,RH!$B$47:$S$67,MONTH($G446)+6,FALSE))</f>
        <v>0</v>
      </c>
      <c r="L446" s="98">
        <f>IFERROR(IF(AND($M446=TRUE,$N446=TRUE),VLOOKUP($E446,RH!$B$47:$S$67,MONTH($G446)+6,FALSE)*$H446,0),0)</f>
        <v>0</v>
      </c>
      <c r="M446" s="99" t="b">
        <f t="shared" si="1"/>
        <v>0</v>
      </c>
      <c r="N446" s="99"/>
      <c r="O446" s="85"/>
      <c r="P446" s="68"/>
    </row>
    <row r="447" hidden="1">
      <c r="A447" s="68"/>
      <c r="B447" s="79"/>
      <c r="C447" s="77"/>
      <c r="D447" s="79"/>
      <c r="E447" s="79"/>
      <c r="F447" s="93"/>
      <c r="G447" s="93"/>
      <c r="H447" s="103"/>
      <c r="I447" s="79"/>
      <c r="J447" s="100"/>
      <c r="K447" s="97" t="b">
        <f>IF(AND($M447=TRUE,$N447=TRUE),VLOOKUP($E447,RH!$B$47:$S$67,MONTH($G447)+6,FALSE))</f>
        <v>0</v>
      </c>
      <c r="L447" s="98">
        <f>IFERROR(IF(AND($M447=TRUE,$N447=TRUE),VLOOKUP($E447,RH!$B$47:$S$67,MONTH($G447)+6,FALSE)*$H447,0),0)</f>
        <v>0</v>
      </c>
      <c r="M447" s="99" t="b">
        <f t="shared" si="1"/>
        <v>0</v>
      </c>
      <c r="N447" s="99"/>
      <c r="O447" s="85"/>
      <c r="P447" s="68"/>
    </row>
    <row r="448" hidden="1">
      <c r="A448" s="68"/>
      <c r="B448" s="79"/>
      <c r="C448" s="77"/>
      <c r="D448" s="79"/>
      <c r="E448" s="79"/>
      <c r="F448" s="93"/>
      <c r="G448" s="93"/>
      <c r="H448" s="103"/>
      <c r="I448" s="79"/>
      <c r="J448" s="100"/>
      <c r="K448" s="97" t="b">
        <f>IF(AND($M448=TRUE,$N448=TRUE),VLOOKUP($E448,RH!$B$47:$S$67,MONTH($G448)+6,FALSE))</f>
        <v>0</v>
      </c>
      <c r="L448" s="98">
        <f>IFERROR(IF(AND($M448=TRUE,$N448=TRUE),VLOOKUP($E448,RH!$B$47:$S$67,MONTH($G448)+6,FALSE)*$H448,0),0)</f>
        <v>0</v>
      </c>
      <c r="M448" s="99" t="b">
        <f t="shared" si="1"/>
        <v>0</v>
      </c>
      <c r="N448" s="99"/>
      <c r="O448" s="85"/>
      <c r="P448" s="68"/>
    </row>
    <row r="449" hidden="1">
      <c r="A449" s="68"/>
      <c r="B449" s="79"/>
      <c r="C449" s="77"/>
      <c r="D449" s="79"/>
      <c r="E449" s="79"/>
      <c r="F449" s="93"/>
      <c r="G449" s="93"/>
      <c r="H449" s="103"/>
      <c r="I449" s="79"/>
      <c r="J449" s="100"/>
      <c r="K449" s="97" t="b">
        <f>IF(AND($M449=TRUE,$N449=TRUE),VLOOKUP($E449,RH!$B$47:$S$67,MONTH($G449)+6,FALSE))</f>
        <v>0</v>
      </c>
      <c r="L449" s="98">
        <f>IFERROR(IF(AND($M449=TRUE,$N449=TRUE),VLOOKUP($E449,RH!$B$47:$S$67,MONTH($G449)+6,FALSE)*$H449,0),0)</f>
        <v>0</v>
      </c>
      <c r="M449" s="99" t="b">
        <f t="shared" si="1"/>
        <v>0</v>
      </c>
      <c r="N449" s="99"/>
      <c r="O449" s="85"/>
      <c r="P449" s="68"/>
    </row>
    <row r="450" hidden="1">
      <c r="A450" s="68"/>
      <c r="B450" s="79"/>
      <c r="C450" s="77"/>
      <c r="D450" s="79"/>
      <c r="E450" s="79"/>
      <c r="F450" s="93"/>
      <c r="G450" s="93"/>
      <c r="H450" s="103"/>
      <c r="I450" s="79"/>
      <c r="J450" s="100"/>
      <c r="K450" s="97" t="b">
        <f>IF(AND($M450=TRUE,$N450=TRUE),VLOOKUP($E450,RH!$B$47:$S$67,MONTH($G450)+6,FALSE))</f>
        <v>0</v>
      </c>
      <c r="L450" s="98">
        <f>IFERROR(IF(AND($M450=TRUE,$N450=TRUE),VLOOKUP($E450,RH!$B$47:$S$67,MONTH($G450)+6,FALSE)*$H450,0),0)</f>
        <v>0</v>
      </c>
      <c r="M450" s="99" t="b">
        <f t="shared" si="1"/>
        <v>0</v>
      </c>
      <c r="N450" s="99"/>
      <c r="O450" s="85"/>
      <c r="P450" s="68"/>
    </row>
    <row r="451" hidden="1">
      <c r="A451" s="68"/>
      <c r="B451" s="79"/>
      <c r="C451" s="77"/>
      <c r="D451" s="79"/>
      <c r="E451" s="79"/>
      <c r="F451" s="93"/>
      <c r="G451" s="93"/>
      <c r="H451" s="103"/>
      <c r="I451" s="79"/>
      <c r="J451" s="100"/>
      <c r="K451" s="97" t="b">
        <f>IF(AND($M451=TRUE,$N451=TRUE),VLOOKUP($E451,RH!$B$47:$S$67,MONTH($G451)+6,FALSE))</f>
        <v>0</v>
      </c>
      <c r="L451" s="98">
        <f>IFERROR(IF(AND($M451=TRUE,$N451=TRUE),VLOOKUP($E451,RH!$B$47:$S$67,MONTH($G451)+6,FALSE)*$H451,0),0)</f>
        <v>0</v>
      </c>
      <c r="M451" s="99" t="b">
        <f t="shared" si="1"/>
        <v>0</v>
      </c>
      <c r="N451" s="99"/>
      <c r="O451" s="85"/>
      <c r="P451" s="68"/>
    </row>
    <row r="452" hidden="1">
      <c r="A452" s="68"/>
      <c r="B452" s="79"/>
      <c r="C452" s="77"/>
      <c r="D452" s="79"/>
      <c r="E452" s="79"/>
      <c r="F452" s="93"/>
      <c r="G452" s="93"/>
      <c r="H452" s="103"/>
      <c r="I452" s="79"/>
      <c r="J452" s="100"/>
      <c r="K452" s="97" t="b">
        <f>IF(AND($M452=TRUE,$N452=TRUE),VLOOKUP($E452,RH!$B$47:$S$67,MONTH($G452)+6,FALSE))</f>
        <v>0</v>
      </c>
      <c r="L452" s="98">
        <f>IFERROR(IF(AND($M452=TRUE,$N452=TRUE),VLOOKUP($E452,RH!$B$47:$S$67,MONTH($G452)+6,FALSE)*$H452,0),0)</f>
        <v>0</v>
      </c>
      <c r="M452" s="99" t="b">
        <f t="shared" si="1"/>
        <v>0</v>
      </c>
      <c r="N452" s="99"/>
      <c r="O452" s="85"/>
      <c r="P452" s="68"/>
    </row>
    <row r="453" hidden="1">
      <c r="A453" s="68"/>
      <c r="B453" s="79"/>
      <c r="C453" s="77"/>
      <c r="D453" s="79"/>
      <c r="E453" s="79"/>
      <c r="F453" s="93"/>
      <c r="G453" s="93"/>
      <c r="H453" s="103"/>
      <c r="I453" s="79"/>
      <c r="J453" s="100"/>
      <c r="K453" s="97" t="b">
        <f>IF(AND($M453=TRUE,$N453=TRUE),VLOOKUP($E453,RH!$B$47:$S$67,MONTH($G453)+6,FALSE))</f>
        <v>0</v>
      </c>
      <c r="L453" s="98">
        <f>IFERROR(IF(AND($M453=TRUE,$N453=TRUE),VLOOKUP($E453,RH!$B$47:$S$67,MONTH($G453)+6,FALSE)*$H453,0),0)</f>
        <v>0</v>
      </c>
      <c r="M453" s="99" t="b">
        <f t="shared" si="1"/>
        <v>0</v>
      </c>
      <c r="N453" s="99"/>
      <c r="O453" s="85"/>
      <c r="P453" s="68"/>
    </row>
    <row r="454" hidden="1">
      <c r="A454" s="68"/>
      <c r="B454" s="79"/>
      <c r="C454" s="77"/>
      <c r="D454" s="79"/>
      <c r="E454" s="79"/>
      <c r="F454" s="93"/>
      <c r="G454" s="93"/>
      <c r="H454" s="103"/>
      <c r="I454" s="79"/>
      <c r="J454" s="100"/>
      <c r="K454" s="97" t="b">
        <f>IF(AND($M454=TRUE,$N454=TRUE),VLOOKUP($E454,RH!$B$47:$S$67,MONTH($G454)+6,FALSE))</f>
        <v>0</v>
      </c>
      <c r="L454" s="98">
        <f>IFERROR(IF(AND($M454=TRUE,$N454=TRUE),VLOOKUP($E454,RH!$B$47:$S$67,MONTH($G454)+6,FALSE)*$H454,0),0)</f>
        <v>0</v>
      </c>
      <c r="M454" s="99" t="b">
        <f t="shared" si="1"/>
        <v>0</v>
      </c>
      <c r="N454" s="99"/>
      <c r="O454" s="85"/>
      <c r="P454" s="68"/>
    </row>
    <row r="455" hidden="1">
      <c r="A455" s="68"/>
      <c r="B455" s="79"/>
      <c r="C455" s="77"/>
      <c r="D455" s="79"/>
      <c r="E455" s="79"/>
      <c r="F455" s="93"/>
      <c r="G455" s="93"/>
      <c r="H455" s="103"/>
      <c r="I455" s="79"/>
      <c r="J455" s="100"/>
      <c r="K455" s="97" t="b">
        <f>IF(AND($M455=TRUE,$N455=TRUE),VLOOKUP($E455,RH!$B$47:$S$67,MONTH($G455)+6,FALSE))</f>
        <v>0</v>
      </c>
      <c r="L455" s="98">
        <f>IFERROR(IF(AND($M455=TRUE,$N455=TRUE),VLOOKUP($E455,RH!$B$47:$S$67,MONTH($G455)+6,FALSE)*$H455,0),0)</f>
        <v>0</v>
      </c>
      <c r="M455" s="99" t="b">
        <f t="shared" si="1"/>
        <v>0</v>
      </c>
      <c r="N455" s="99"/>
      <c r="O455" s="85"/>
      <c r="P455" s="68"/>
    </row>
    <row r="456" hidden="1">
      <c r="A456" s="68"/>
      <c r="B456" s="79"/>
      <c r="C456" s="77"/>
      <c r="D456" s="79"/>
      <c r="E456" s="79"/>
      <c r="F456" s="93"/>
      <c r="G456" s="93"/>
      <c r="H456" s="103"/>
      <c r="I456" s="79"/>
      <c r="J456" s="100"/>
      <c r="K456" s="97" t="b">
        <f>IF(AND($M456=TRUE,$N456=TRUE),VLOOKUP($E456,RH!$B$47:$S$67,MONTH($G456)+6,FALSE))</f>
        <v>0</v>
      </c>
      <c r="L456" s="98">
        <f>IFERROR(IF(AND($M456=TRUE,$N456=TRUE),VLOOKUP($E456,RH!$B$47:$S$67,MONTH($G456)+6,FALSE)*$H456,0),0)</f>
        <v>0</v>
      </c>
      <c r="M456" s="99" t="b">
        <f t="shared" si="1"/>
        <v>0</v>
      </c>
      <c r="N456" s="99"/>
      <c r="O456" s="85"/>
      <c r="P456" s="68"/>
    </row>
    <row r="457" hidden="1">
      <c r="A457" s="68"/>
      <c r="B457" s="79"/>
      <c r="C457" s="77"/>
      <c r="D457" s="79"/>
      <c r="E457" s="79"/>
      <c r="F457" s="93"/>
      <c r="G457" s="93"/>
      <c r="H457" s="103"/>
      <c r="I457" s="79"/>
      <c r="J457" s="100"/>
      <c r="K457" s="97" t="b">
        <f>IF(AND($M457=TRUE,$N457=TRUE),VLOOKUP($E457,RH!$B$47:$S$67,MONTH($G457)+6,FALSE))</f>
        <v>0</v>
      </c>
      <c r="L457" s="98">
        <f>IFERROR(IF(AND($M457=TRUE,$N457=TRUE),VLOOKUP($E457,RH!$B$47:$S$67,MONTH($G457)+6,FALSE)*$H457,0),0)</f>
        <v>0</v>
      </c>
      <c r="M457" s="99" t="b">
        <f t="shared" si="1"/>
        <v>0</v>
      </c>
      <c r="N457" s="99"/>
      <c r="O457" s="85"/>
      <c r="P457" s="68"/>
    </row>
    <row r="458" hidden="1">
      <c r="A458" s="68"/>
      <c r="B458" s="79"/>
      <c r="C458" s="77"/>
      <c r="D458" s="79"/>
      <c r="E458" s="79"/>
      <c r="F458" s="93"/>
      <c r="G458" s="93"/>
      <c r="H458" s="103"/>
      <c r="I458" s="79"/>
      <c r="J458" s="100"/>
      <c r="K458" s="97" t="b">
        <f>IF(AND($M458=TRUE,$N458=TRUE),VLOOKUP($E458,RH!$B$47:$S$67,MONTH($G458)+6,FALSE))</f>
        <v>0</v>
      </c>
      <c r="L458" s="98">
        <f>IFERROR(IF(AND($M458=TRUE,$N458=TRUE),VLOOKUP($E458,RH!$B$47:$S$67,MONTH($G458)+6,FALSE)*$H458,0),0)</f>
        <v>0</v>
      </c>
      <c r="M458" s="99" t="b">
        <f t="shared" si="1"/>
        <v>0</v>
      </c>
      <c r="N458" s="99"/>
      <c r="O458" s="85"/>
      <c r="P458" s="68"/>
    </row>
    <row r="459" hidden="1">
      <c r="A459" s="68"/>
      <c r="B459" s="79"/>
      <c r="C459" s="77"/>
      <c r="D459" s="79"/>
      <c r="E459" s="79"/>
      <c r="F459" s="93"/>
      <c r="G459" s="93"/>
      <c r="H459" s="103"/>
      <c r="I459" s="79"/>
      <c r="J459" s="100"/>
      <c r="K459" s="97" t="b">
        <f>IF(AND($M459=TRUE,$N459=TRUE),VLOOKUP($E459,RH!$B$47:$S$67,MONTH($G459)+6,FALSE))</f>
        <v>0</v>
      </c>
      <c r="L459" s="98">
        <f>IFERROR(IF(AND($M459=TRUE,$N459=TRUE),VLOOKUP($E459,RH!$B$47:$S$67,MONTH($G459)+6,FALSE)*$H459,0),0)</f>
        <v>0</v>
      </c>
      <c r="M459" s="99" t="b">
        <f t="shared" si="1"/>
        <v>0</v>
      </c>
      <c r="N459" s="99"/>
      <c r="O459" s="85"/>
      <c r="P459" s="68"/>
    </row>
    <row r="460" hidden="1">
      <c r="A460" s="68"/>
      <c r="B460" s="79"/>
      <c r="C460" s="77"/>
      <c r="D460" s="79"/>
      <c r="E460" s="79"/>
      <c r="F460" s="93"/>
      <c r="G460" s="93"/>
      <c r="H460" s="103"/>
      <c r="I460" s="79"/>
      <c r="J460" s="100"/>
      <c r="K460" s="97" t="b">
        <f>IF(AND($M460=TRUE,$N460=TRUE),VLOOKUP($E460,RH!$B$47:$S$67,MONTH($G460)+6,FALSE))</f>
        <v>0</v>
      </c>
      <c r="L460" s="98">
        <f>IFERROR(IF(AND($M460=TRUE,$N460=TRUE),VLOOKUP($E460,RH!$B$47:$S$67,MONTH($G460)+6,FALSE)*$H460,0),0)</f>
        <v>0</v>
      </c>
      <c r="M460" s="99" t="b">
        <f t="shared" si="1"/>
        <v>0</v>
      </c>
      <c r="N460" s="99"/>
      <c r="O460" s="85"/>
      <c r="P460" s="68"/>
    </row>
    <row r="461" hidden="1">
      <c r="A461" s="68"/>
      <c r="B461" s="79"/>
      <c r="C461" s="77"/>
      <c r="D461" s="79"/>
      <c r="E461" s="79"/>
      <c r="F461" s="93"/>
      <c r="G461" s="93"/>
      <c r="H461" s="103"/>
      <c r="I461" s="79"/>
      <c r="J461" s="100"/>
      <c r="K461" s="97" t="b">
        <f>IF(AND($M461=TRUE,$N461=TRUE),VLOOKUP($E461,RH!$B$47:$S$67,MONTH($G461)+6,FALSE))</f>
        <v>0</v>
      </c>
      <c r="L461" s="98">
        <f>IFERROR(IF(AND($M461=TRUE,$N461=TRUE),VLOOKUP($E461,RH!$B$47:$S$67,MONTH($G461)+6,FALSE)*$H461,0),0)</f>
        <v>0</v>
      </c>
      <c r="M461" s="99" t="b">
        <f t="shared" si="1"/>
        <v>0</v>
      </c>
      <c r="N461" s="99"/>
      <c r="O461" s="85"/>
      <c r="P461" s="68"/>
    </row>
    <row r="462" hidden="1">
      <c r="A462" s="68"/>
      <c r="B462" s="79"/>
      <c r="C462" s="77"/>
      <c r="D462" s="79"/>
      <c r="E462" s="79"/>
      <c r="F462" s="93"/>
      <c r="G462" s="93"/>
      <c r="H462" s="103"/>
      <c r="I462" s="79"/>
      <c r="J462" s="100"/>
      <c r="K462" s="97" t="b">
        <f>IF(AND($M462=TRUE,$N462=TRUE),VLOOKUP($E462,RH!$B$47:$S$67,MONTH($G462)+6,FALSE))</f>
        <v>0</v>
      </c>
      <c r="L462" s="98">
        <f>IFERROR(IF(AND($M462=TRUE,$N462=TRUE),VLOOKUP($E462,RH!$B$47:$S$67,MONTH($G462)+6,FALSE)*$H462,0),0)</f>
        <v>0</v>
      </c>
      <c r="M462" s="99" t="b">
        <f t="shared" si="1"/>
        <v>0</v>
      </c>
      <c r="N462" s="99"/>
      <c r="O462" s="85"/>
      <c r="P462" s="68"/>
    </row>
    <row r="463" hidden="1">
      <c r="A463" s="68"/>
      <c r="B463" s="79"/>
      <c r="C463" s="77"/>
      <c r="D463" s="79"/>
      <c r="E463" s="79"/>
      <c r="F463" s="93"/>
      <c r="G463" s="93"/>
      <c r="H463" s="103"/>
      <c r="I463" s="79"/>
      <c r="J463" s="100"/>
      <c r="K463" s="97" t="b">
        <f>IF(AND($M463=TRUE,$N463=TRUE),VLOOKUP($E463,RH!$B$47:$S$67,MONTH($G463)+6,FALSE))</f>
        <v>0</v>
      </c>
      <c r="L463" s="98">
        <f>IFERROR(IF(AND($M463=TRUE,$N463=TRUE),VLOOKUP($E463,RH!$B$47:$S$67,MONTH($G463)+6,FALSE)*$H463,0),0)</f>
        <v>0</v>
      </c>
      <c r="M463" s="99" t="b">
        <f t="shared" si="1"/>
        <v>0</v>
      </c>
      <c r="N463" s="99"/>
      <c r="O463" s="85"/>
      <c r="P463" s="68"/>
    </row>
    <row r="464" hidden="1">
      <c r="A464" s="68"/>
      <c r="B464" s="79"/>
      <c r="C464" s="77"/>
      <c r="D464" s="79"/>
      <c r="E464" s="79"/>
      <c r="F464" s="93"/>
      <c r="G464" s="93"/>
      <c r="H464" s="103"/>
      <c r="I464" s="79"/>
      <c r="J464" s="100"/>
      <c r="K464" s="97" t="b">
        <f>IF(AND($M464=TRUE,$N464=TRUE),VLOOKUP($E464,RH!$B$47:$S$67,MONTH($G464)+6,FALSE))</f>
        <v>0</v>
      </c>
      <c r="L464" s="98">
        <f>IFERROR(IF(AND($M464=TRUE,$N464=TRUE),VLOOKUP($E464,RH!$B$47:$S$67,MONTH($G464)+6,FALSE)*$H464,0),0)</f>
        <v>0</v>
      </c>
      <c r="M464" s="99" t="b">
        <f t="shared" si="1"/>
        <v>0</v>
      </c>
      <c r="N464" s="99"/>
      <c r="O464" s="85"/>
      <c r="P464" s="68"/>
    </row>
    <row r="465" hidden="1">
      <c r="A465" s="68"/>
      <c r="B465" s="79"/>
      <c r="C465" s="77"/>
      <c r="D465" s="79"/>
      <c r="E465" s="79"/>
      <c r="F465" s="93"/>
      <c r="G465" s="93"/>
      <c r="H465" s="103"/>
      <c r="I465" s="79"/>
      <c r="J465" s="100"/>
      <c r="K465" s="97" t="b">
        <f>IF(AND($M465=TRUE,$N465=TRUE),VLOOKUP($E465,RH!$B$47:$S$67,MONTH($G465)+6,FALSE))</f>
        <v>0</v>
      </c>
      <c r="L465" s="98">
        <f>IFERROR(IF(AND($M465=TRUE,$N465=TRUE),VLOOKUP($E465,RH!$B$47:$S$67,MONTH($G465)+6,FALSE)*$H465,0),0)</f>
        <v>0</v>
      </c>
      <c r="M465" s="99" t="b">
        <f t="shared" si="1"/>
        <v>0</v>
      </c>
      <c r="N465" s="99"/>
      <c r="O465" s="85"/>
      <c r="P465" s="68"/>
    </row>
    <row r="466" hidden="1">
      <c r="A466" s="68"/>
      <c r="B466" s="79"/>
      <c r="C466" s="77"/>
      <c r="D466" s="79"/>
      <c r="E466" s="79"/>
      <c r="F466" s="93"/>
      <c r="G466" s="93"/>
      <c r="H466" s="103"/>
      <c r="I466" s="79"/>
      <c r="J466" s="100"/>
      <c r="K466" s="97" t="b">
        <f>IF(AND($M466=TRUE,$N466=TRUE),VLOOKUP($E466,RH!$B$47:$S$67,MONTH($G466)+6,FALSE))</f>
        <v>0</v>
      </c>
      <c r="L466" s="98">
        <f>IFERROR(IF(AND($M466=TRUE,$N466=TRUE),VLOOKUP($E466,RH!$B$47:$S$67,MONTH($G466)+6,FALSE)*$H466,0),0)</f>
        <v>0</v>
      </c>
      <c r="M466" s="99" t="b">
        <f t="shared" si="1"/>
        <v>0</v>
      </c>
      <c r="N466" s="99"/>
      <c r="O466" s="85"/>
      <c r="P466" s="68"/>
    </row>
    <row r="467" hidden="1">
      <c r="A467" s="68"/>
      <c r="B467" s="79"/>
      <c r="C467" s="77"/>
      <c r="D467" s="79"/>
      <c r="E467" s="79"/>
      <c r="F467" s="93"/>
      <c r="G467" s="93"/>
      <c r="H467" s="103"/>
      <c r="I467" s="79"/>
      <c r="J467" s="100"/>
      <c r="K467" s="97" t="b">
        <f>IF(AND($M467=TRUE,$N467=TRUE),VLOOKUP($E467,RH!$B$47:$S$67,MONTH($G467)+6,FALSE))</f>
        <v>0</v>
      </c>
      <c r="L467" s="98">
        <f>IFERROR(IF(AND($M467=TRUE,$N467=TRUE),VLOOKUP($E467,RH!$B$47:$S$67,MONTH($G467)+6,FALSE)*$H467,0),0)</f>
        <v>0</v>
      </c>
      <c r="M467" s="99" t="b">
        <f t="shared" si="1"/>
        <v>0</v>
      </c>
      <c r="N467" s="99"/>
      <c r="O467" s="85"/>
      <c r="P467" s="68"/>
    </row>
    <row r="468" hidden="1">
      <c r="A468" s="68"/>
      <c r="B468" s="79"/>
      <c r="C468" s="77"/>
      <c r="D468" s="79"/>
      <c r="E468" s="79"/>
      <c r="F468" s="93"/>
      <c r="G468" s="93"/>
      <c r="H468" s="103"/>
      <c r="I468" s="79"/>
      <c r="J468" s="100"/>
      <c r="K468" s="97" t="b">
        <f>IF(AND($M468=TRUE,$N468=TRUE),VLOOKUP($E468,RH!$B$47:$S$67,MONTH($G468)+6,FALSE))</f>
        <v>0</v>
      </c>
      <c r="L468" s="98">
        <f>IFERROR(IF(AND($M468=TRUE,$N468=TRUE),VLOOKUP($E468,RH!$B$47:$S$67,MONTH($G468)+6,FALSE)*$H468,0),0)</f>
        <v>0</v>
      </c>
      <c r="M468" s="99" t="b">
        <f t="shared" si="1"/>
        <v>0</v>
      </c>
      <c r="N468" s="99"/>
      <c r="O468" s="85"/>
      <c r="P468" s="68"/>
    </row>
    <row r="469" hidden="1">
      <c r="A469" s="68"/>
      <c r="B469" s="79"/>
      <c r="C469" s="77"/>
      <c r="D469" s="79"/>
      <c r="E469" s="79"/>
      <c r="F469" s="93"/>
      <c r="G469" s="93"/>
      <c r="H469" s="103"/>
      <c r="I469" s="79"/>
      <c r="J469" s="100"/>
      <c r="K469" s="97" t="b">
        <f>IF(AND($M469=TRUE,$N469=TRUE),VLOOKUP($E469,RH!$B$47:$S$67,MONTH($G469)+6,FALSE))</f>
        <v>0</v>
      </c>
      <c r="L469" s="98">
        <f>IFERROR(IF(AND($M469=TRUE,$N469=TRUE),VLOOKUP($E469,RH!$B$47:$S$67,MONTH($G469)+6,FALSE)*$H469,0),0)</f>
        <v>0</v>
      </c>
      <c r="M469" s="99" t="b">
        <f t="shared" si="1"/>
        <v>0</v>
      </c>
      <c r="N469" s="99"/>
      <c r="O469" s="85"/>
      <c r="P469" s="68"/>
    </row>
    <row r="470" hidden="1">
      <c r="A470" s="68"/>
      <c r="B470" s="79"/>
      <c r="C470" s="77"/>
      <c r="D470" s="79"/>
      <c r="E470" s="79"/>
      <c r="F470" s="93"/>
      <c r="G470" s="93"/>
      <c r="H470" s="103"/>
      <c r="I470" s="79"/>
      <c r="J470" s="100"/>
      <c r="K470" s="97" t="b">
        <f>IF(AND($M470=TRUE,$N470=TRUE),VLOOKUP($E470,RH!$B$47:$S$67,MONTH($G470)+6,FALSE))</f>
        <v>0</v>
      </c>
      <c r="L470" s="98">
        <f>IFERROR(IF(AND($M470=TRUE,$N470=TRUE),VLOOKUP($E470,RH!$B$47:$S$67,MONTH($G470)+6,FALSE)*$H470,0),0)</f>
        <v>0</v>
      </c>
      <c r="M470" s="99" t="b">
        <f t="shared" si="1"/>
        <v>0</v>
      </c>
      <c r="N470" s="99"/>
      <c r="O470" s="85"/>
      <c r="P470" s="68"/>
    </row>
    <row r="471" hidden="1">
      <c r="A471" s="68"/>
      <c r="B471" s="79"/>
      <c r="C471" s="77"/>
      <c r="D471" s="79"/>
      <c r="E471" s="79"/>
      <c r="F471" s="93"/>
      <c r="G471" s="93"/>
      <c r="H471" s="103"/>
      <c r="I471" s="79"/>
      <c r="J471" s="100"/>
      <c r="K471" s="97" t="b">
        <f>IF(AND($M471=TRUE,$N471=TRUE),VLOOKUP($E471,RH!$B$47:$S$67,MONTH($G471)+6,FALSE))</f>
        <v>0</v>
      </c>
      <c r="L471" s="98">
        <f>IFERROR(IF(AND($M471=TRUE,$N471=TRUE),VLOOKUP($E471,RH!$B$47:$S$67,MONTH($G471)+6,FALSE)*$H471,0),0)</f>
        <v>0</v>
      </c>
      <c r="M471" s="99" t="b">
        <f t="shared" si="1"/>
        <v>0</v>
      </c>
      <c r="N471" s="99"/>
      <c r="O471" s="85"/>
      <c r="P471" s="68"/>
    </row>
    <row r="472" hidden="1">
      <c r="A472" s="68"/>
      <c r="B472" s="79"/>
      <c r="C472" s="77"/>
      <c r="D472" s="79"/>
      <c r="E472" s="79"/>
      <c r="F472" s="93"/>
      <c r="G472" s="93"/>
      <c r="H472" s="103"/>
      <c r="I472" s="79"/>
      <c r="J472" s="100"/>
      <c r="K472" s="97" t="b">
        <f>IF(AND($M472=TRUE,$N472=TRUE),VLOOKUP($E472,RH!$B$47:$S$67,MONTH($G472)+6,FALSE))</f>
        <v>0</v>
      </c>
      <c r="L472" s="98">
        <f>IFERROR(IF(AND($M472=TRUE,$N472=TRUE),VLOOKUP($E472,RH!$B$47:$S$67,MONTH($G472)+6,FALSE)*$H472,0),0)</f>
        <v>0</v>
      </c>
      <c r="M472" s="99" t="b">
        <f t="shared" si="1"/>
        <v>0</v>
      </c>
      <c r="N472" s="99"/>
      <c r="O472" s="85"/>
      <c r="P472" s="68"/>
    </row>
    <row r="473" hidden="1">
      <c r="A473" s="68"/>
      <c r="B473" s="79"/>
      <c r="C473" s="77"/>
      <c r="D473" s="79"/>
      <c r="E473" s="79"/>
      <c r="F473" s="93"/>
      <c r="G473" s="93"/>
      <c r="H473" s="103"/>
      <c r="I473" s="79"/>
      <c r="J473" s="100"/>
      <c r="K473" s="97" t="b">
        <f>IF(AND($M473=TRUE,$N473=TRUE),VLOOKUP($E473,RH!$B$47:$S$67,MONTH($G473)+6,FALSE))</f>
        <v>0</v>
      </c>
      <c r="L473" s="98">
        <f>IFERROR(IF(AND($M473=TRUE,$N473=TRUE),VLOOKUP($E473,RH!$B$47:$S$67,MONTH($G473)+6,FALSE)*$H473,0),0)</f>
        <v>0</v>
      </c>
      <c r="M473" s="99" t="b">
        <f t="shared" si="1"/>
        <v>0</v>
      </c>
      <c r="N473" s="99"/>
      <c r="O473" s="85"/>
      <c r="P473" s="68"/>
    </row>
    <row r="474" hidden="1">
      <c r="A474" s="68"/>
      <c r="B474" s="79"/>
      <c r="C474" s="77"/>
      <c r="D474" s="79"/>
      <c r="E474" s="79"/>
      <c r="F474" s="93"/>
      <c r="G474" s="93"/>
      <c r="H474" s="103"/>
      <c r="I474" s="79"/>
      <c r="J474" s="100"/>
      <c r="K474" s="97" t="b">
        <f>IF(AND($M474=TRUE,$N474=TRUE),VLOOKUP($E474,RH!$B$47:$S$67,MONTH($G474)+6,FALSE))</f>
        <v>0</v>
      </c>
      <c r="L474" s="98">
        <f>IFERROR(IF(AND($M474=TRUE,$N474=TRUE),VLOOKUP($E474,RH!$B$47:$S$67,MONTH($G474)+6,FALSE)*$H474,0),0)</f>
        <v>0</v>
      </c>
      <c r="M474" s="99" t="b">
        <f t="shared" si="1"/>
        <v>0</v>
      </c>
      <c r="N474" s="99"/>
      <c r="O474" s="85"/>
      <c r="P474" s="68"/>
    </row>
    <row r="475" hidden="1">
      <c r="A475" s="68"/>
      <c r="B475" s="79"/>
      <c r="C475" s="77"/>
      <c r="D475" s="79"/>
      <c r="E475" s="79"/>
      <c r="F475" s="93"/>
      <c r="G475" s="93"/>
      <c r="H475" s="103"/>
      <c r="I475" s="79"/>
      <c r="J475" s="100"/>
      <c r="K475" s="97" t="b">
        <f>IF(AND($M475=TRUE,$N475=TRUE),VLOOKUP($E475,RH!$B$47:$S$67,MONTH($G475)+6,FALSE))</f>
        <v>0</v>
      </c>
      <c r="L475" s="98">
        <f>IFERROR(IF(AND($M475=TRUE,$N475=TRUE),VLOOKUP($E475,RH!$B$47:$S$67,MONTH($G475)+6,FALSE)*$H475,0),0)</f>
        <v>0</v>
      </c>
      <c r="M475" s="99" t="b">
        <f t="shared" si="1"/>
        <v>0</v>
      </c>
      <c r="N475" s="99"/>
      <c r="O475" s="85"/>
      <c r="P475" s="68"/>
    </row>
    <row r="476" hidden="1">
      <c r="A476" s="68"/>
      <c r="B476" s="79"/>
      <c r="C476" s="77"/>
      <c r="D476" s="79"/>
      <c r="E476" s="79"/>
      <c r="F476" s="93"/>
      <c r="G476" s="93"/>
      <c r="H476" s="103"/>
      <c r="I476" s="79"/>
      <c r="J476" s="100"/>
      <c r="K476" s="97" t="b">
        <f>IF(AND($M476=TRUE,$N476=TRUE),VLOOKUP($E476,RH!$B$47:$S$67,MONTH($G476)+6,FALSE))</f>
        <v>0</v>
      </c>
      <c r="L476" s="98">
        <f>IFERROR(IF(AND($M476=TRUE,$N476=TRUE),VLOOKUP($E476,RH!$B$47:$S$67,MONTH($G476)+6,FALSE)*$H476,0),0)</f>
        <v>0</v>
      </c>
      <c r="M476" s="99" t="b">
        <f t="shared" si="1"/>
        <v>0</v>
      </c>
      <c r="N476" s="99"/>
      <c r="O476" s="85"/>
      <c r="P476" s="68"/>
    </row>
    <row r="477" hidden="1">
      <c r="A477" s="68"/>
      <c r="B477" s="79"/>
      <c r="C477" s="77"/>
      <c r="D477" s="79"/>
      <c r="E477" s="79"/>
      <c r="F477" s="93"/>
      <c r="G477" s="93"/>
      <c r="H477" s="103"/>
      <c r="I477" s="79"/>
      <c r="J477" s="100"/>
      <c r="K477" s="97" t="b">
        <f>IF(AND($M477=TRUE,$N477=TRUE),VLOOKUP($E477,RH!$B$47:$S$67,MONTH($G477)+6,FALSE))</f>
        <v>0</v>
      </c>
      <c r="L477" s="98">
        <f>IFERROR(IF(AND($M477=TRUE,$N477=TRUE),VLOOKUP($E477,RH!$B$47:$S$67,MONTH($G477)+6,FALSE)*$H477,0),0)</f>
        <v>0</v>
      </c>
      <c r="M477" s="99" t="b">
        <f t="shared" si="1"/>
        <v>0</v>
      </c>
      <c r="N477" s="99"/>
      <c r="O477" s="85"/>
      <c r="P477" s="68"/>
    </row>
    <row r="478" hidden="1">
      <c r="A478" s="68"/>
      <c r="B478" s="79"/>
      <c r="C478" s="77"/>
      <c r="D478" s="79"/>
      <c r="E478" s="79"/>
      <c r="F478" s="93"/>
      <c r="G478" s="93"/>
      <c r="H478" s="103"/>
      <c r="I478" s="79"/>
      <c r="J478" s="100"/>
      <c r="K478" s="97" t="b">
        <f>IF(AND($M478=TRUE,$N478=TRUE),VLOOKUP($E478,RH!$B$47:$S$67,MONTH($G478)+6,FALSE))</f>
        <v>0</v>
      </c>
      <c r="L478" s="98">
        <f>IFERROR(IF(AND($M478=TRUE,$N478=TRUE),VLOOKUP($E478,RH!$B$47:$S$67,MONTH($G478)+6,FALSE)*$H478,0),0)</f>
        <v>0</v>
      </c>
      <c r="M478" s="99" t="b">
        <f t="shared" si="1"/>
        <v>0</v>
      </c>
      <c r="N478" s="99"/>
      <c r="O478" s="85"/>
      <c r="P478" s="68"/>
    </row>
    <row r="479" hidden="1">
      <c r="A479" s="68"/>
      <c r="B479" s="79"/>
      <c r="C479" s="77"/>
      <c r="D479" s="79"/>
      <c r="E479" s="79"/>
      <c r="F479" s="93"/>
      <c r="G479" s="93"/>
      <c r="H479" s="103"/>
      <c r="I479" s="79"/>
      <c r="J479" s="100"/>
      <c r="K479" s="97" t="b">
        <f>IF(AND($M479=TRUE,$N479=TRUE),VLOOKUP($E479,RH!$B$47:$S$67,MONTH($G479)+6,FALSE))</f>
        <v>0</v>
      </c>
      <c r="L479" s="98">
        <f>IFERROR(IF(AND($M479=TRUE,$N479=TRUE),VLOOKUP($E479,RH!$B$47:$S$67,MONTH($G479)+6,FALSE)*$H479,0),0)</f>
        <v>0</v>
      </c>
      <c r="M479" s="99" t="b">
        <f t="shared" si="1"/>
        <v>0</v>
      </c>
      <c r="N479" s="99"/>
      <c r="O479" s="85"/>
      <c r="P479" s="68"/>
    </row>
    <row r="480" hidden="1">
      <c r="A480" s="68"/>
      <c r="B480" s="79"/>
      <c r="C480" s="77"/>
      <c r="D480" s="79"/>
      <c r="E480" s="79"/>
      <c r="F480" s="93"/>
      <c r="G480" s="93"/>
      <c r="H480" s="103"/>
      <c r="I480" s="79"/>
      <c r="J480" s="100"/>
      <c r="K480" s="97" t="b">
        <f>IF(AND($M480=TRUE,$N480=TRUE),VLOOKUP($E480,RH!$B$47:$S$67,MONTH($G480)+6,FALSE))</f>
        <v>0</v>
      </c>
      <c r="L480" s="98">
        <f>IFERROR(IF(AND($M480=TRUE,$N480=TRUE),VLOOKUP($E480,RH!$B$47:$S$67,MONTH($G480)+6,FALSE)*$H480,0),0)</f>
        <v>0</v>
      </c>
      <c r="M480" s="99" t="b">
        <f t="shared" si="1"/>
        <v>0</v>
      </c>
      <c r="N480" s="99"/>
      <c r="O480" s="85"/>
      <c r="P480" s="68"/>
    </row>
    <row r="481" hidden="1">
      <c r="A481" s="68"/>
      <c r="B481" s="79"/>
      <c r="C481" s="77"/>
      <c r="D481" s="79"/>
      <c r="E481" s="79"/>
      <c r="F481" s="93"/>
      <c r="G481" s="93"/>
      <c r="H481" s="103"/>
      <c r="I481" s="79"/>
      <c r="J481" s="100"/>
      <c r="K481" s="97" t="b">
        <f>IF(AND($M481=TRUE,$N481=TRUE),VLOOKUP($E481,RH!$B$47:$S$67,MONTH($G481)+6,FALSE))</f>
        <v>0</v>
      </c>
      <c r="L481" s="98">
        <f>IFERROR(IF(AND($M481=TRUE,$N481=TRUE),VLOOKUP($E481,RH!$B$47:$S$67,MONTH($G481)+6,FALSE)*$H481,0),0)</f>
        <v>0</v>
      </c>
      <c r="M481" s="99" t="b">
        <f t="shared" si="1"/>
        <v>0</v>
      </c>
      <c r="N481" s="99"/>
      <c r="O481" s="85"/>
      <c r="P481" s="68"/>
    </row>
    <row r="482" hidden="1">
      <c r="A482" s="68"/>
      <c r="B482" s="79"/>
      <c r="C482" s="77"/>
      <c r="D482" s="79"/>
      <c r="E482" s="79"/>
      <c r="F482" s="93"/>
      <c r="G482" s="93"/>
      <c r="H482" s="103"/>
      <c r="I482" s="79"/>
      <c r="J482" s="100"/>
      <c r="K482" s="97" t="b">
        <f>IF(AND($M482=TRUE,$N482=TRUE),VLOOKUP($E482,RH!$B$47:$S$67,MONTH($G482)+6,FALSE))</f>
        <v>0</v>
      </c>
      <c r="L482" s="98">
        <f>IFERROR(IF(AND($M482=TRUE,$N482=TRUE),VLOOKUP($E482,RH!$B$47:$S$67,MONTH($G482)+6,FALSE)*$H482,0),0)</f>
        <v>0</v>
      </c>
      <c r="M482" s="99" t="b">
        <f t="shared" si="1"/>
        <v>0</v>
      </c>
      <c r="N482" s="99"/>
      <c r="O482" s="85"/>
      <c r="P482" s="68"/>
    </row>
    <row r="483" hidden="1">
      <c r="A483" s="68"/>
      <c r="B483" s="79"/>
      <c r="C483" s="77"/>
      <c r="D483" s="79"/>
      <c r="E483" s="79"/>
      <c r="F483" s="93"/>
      <c r="G483" s="93"/>
      <c r="H483" s="103"/>
      <c r="I483" s="79"/>
      <c r="J483" s="100"/>
      <c r="K483" s="97" t="b">
        <f>IF(AND($M483=TRUE,$N483=TRUE),VLOOKUP($E483,RH!$B$47:$S$67,MONTH($G483)+6,FALSE))</f>
        <v>0</v>
      </c>
      <c r="L483" s="98">
        <f>IFERROR(IF(AND($M483=TRUE,$N483=TRUE),VLOOKUP($E483,RH!$B$47:$S$67,MONTH($G483)+6,FALSE)*$H483,0),0)</f>
        <v>0</v>
      </c>
      <c r="M483" s="99" t="b">
        <f t="shared" si="1"/>
        <v>0</v>
      </c>
      <c r="N483" s="99"/>
      <c r="O483" s="85"/>
      <c r="P483" s="68"/>
    </row>
    <row r="484" hidden="1">
      <c r="A484" s="68"/>
      <c r="B484" s="79"/>
      <c r="C484" s="77"/>
      <c r="D484" s="79"/>
      <c r="E484" s="79"/>
      <c r="F484" s="93"/>
      <c r="G484" s="93"/>
      <c r="H484" s="103"/>
      <c r="I484" s="79"/>
      <c r="J484" s="100"/>
      <c r="K484" s="97" t="b">
        <f>IF(AND($M484=TRUE,$N484=TRUE),VLOOKUP($E484,RH!$B$47:$S$67,MONTH($G484)+6,FALSE))</f>
        <v>0</v>
      </c>
      <c r="L484" s="98">
        <f>IFERROR(IF(AND($M484=TRUE,$N484=TRUE),VLOOKUP($E484,RH!$B$47:$S$67,MONTH($G484)+6,FALSE)*$H484,0),0)</f>
        <v>0</v>
      </c>
      <c r="M484" s="99" t="b">
        <f t="shared" si="1"/>
        <v>0</v>
      </c>
      <c r="N484" s="99"/>
      <c r="O484" s="85"/>
      <c r="P484" s="68"/>
    </row>
    <row r="485" hidden="1">
      <c r="A485" s="68"/>
      <c r="B485" s="79"/>
      <c r="C485" s="77"/>
      <c r="D485" s="79"/>
      <c r="E485" s="79"/>
      <c r="F485" s="93"/>
      <c r="G485" s="93"/>
      <c r="H485" s="103"/>
      <c r="I485" s="79"/>
      <c r="J485" s="100"/>
      <c r="K485" s="97" t="b">
        <f>IF(AND($M485=TRUE,$N485=TRUE),VLOOKUP($E485,RH!$B$47:$S$67,MONTH($G485)+6,FALSE))</f>
        <v>0</v>
      </c>
      <c r="L485" s="98">
        <f>IFERROR(IF(AND($M485=TRUE,$N485=TRUE),VLOOKUP($E485,RH!$B$47:$S$67,MONTH($G485)+6,FALSE)*$H485,0),0)</f>
        <v>0</v>
      </c>
      <c r="M485" s="99" t="b">
        <f t="shared" si="1"/>
        <v>0</v>
      </c>
      <c r="N485" s="99"/>
      <c r="O485" s="85"/>
      <c r="P485" s="68"/>
    </row>
    <row r="486" hidden="1">
      <c r="A486" s="68"/>
      <c r="B486" s="79"/>
      <c r="C486" s="77"/>
      <c r="D486" s="79"/>
      <c r="E486" s="79"/>
      <c r="F486" s="93"/>
      <c r="G486" s="93"/>
      <c r="H486" s="103"/>
      <c r="I486" s="79"/>
      <c r="J486" s="100"/>
      <c r="K486" s="97" t="b">
        <f>IF(AND($M486=TRUE,$N486=TRUE),VLOOKUP($E486,RH!$B$47:$S$67,MONTH($G486)+6,FALSE))</f>
        <v>0</v>
      </c>
      <c r="L486" s="98">
        <f>IFERROR(IF(AND($M486=TRUE,$N486=TRUE),VLOOKUP($E486,RH!$B$47:$S$67,MONTH($G486)+6,FALSE)*$H486,0),0)</f>
        <v>0</v>
      </c>
      <c r="M486" s="99" t="b">
        <f t="shared" si="1"/>
        <v>0</v>
      </c>
      <c r="N486" s="99"/>
      <c r="O486" s="85"/>
      <c r="P486" s="68"/>
    </row>
    <row r="487" hidden="1">
      <c r="A487" s="68"/>
      <c r="B487" s="79"/>
      <c r="C487" s="77"/>
      <c r="D487" s="79"/>
      <c r="E487" s="79"/>
      <c r="F487" s="93"/>
      <c r="G487" s="93"/>
      <c r="H487" s="103"/>
      <c r="I487" s="79"/>
      <c r="J487" s="100"/>
      <c r="K487" s="97" t="b">
        <f>IF(AND($M487=TRUE,$N487=TRUE),VLOOKUP($E487,RH!$B$47:$S$67,MONTH($G487)+6,FALSE))</f>
        <v>0</v>
      </c>
      <c r="L487" s="98">
        <f>IFERROR(IF(AND($M487=TRUE,$N487=TRUE),VLOOKUP($E487,RH!$B$47:$S$67,MONTH($G487)+6,FALSE)*$H487,0),0)</f>
        <v>0</v>
      </c>
      <c r="M487" s="99" t="b">
        <f t="shared" si="1"/>
        <v>0</v>
      </c>
      <c r="N487" s="99"/>
      <c r="O487" s="85"/>
      <c r="P487" s="68"/>
    </row>
    <row r="488" hidden="1">
      <c r="A488" s="68"/>
      <c r="B488" s="79"/>
      <c r="C488" s="77"/>
      <c r="D488" s="79"/>
      <c r="E488" s="79"/>
      <c r="F488" s="93"/>
      <c r="G488" s="93"/>
      <c r="H488" s="103"/>
      <c r="I488" s="79"/>
      <c r="J488" s="100"/>
      <c r="K488" s="97" t="b">
        <f>IF(AND($M488=TRUE,$N488=TRUE),VLOOKUP($E488,RH!$B$47:$S$67,MONTH($G488)+6,FALSE))</f>
        <v>0</v>
      </c>
      <c r="L488" s="98">
        <f>IFERROR(IF(AND($M488=TRUE,$N488=TRUE),VLOOKUP($E488,RH!$B$47:$S$67,MONTH($G488)+6,FALSE)*$H488,0),0)</f>
        <v>0</v>
      </c>
      <c r="M488" s="99" t="b">
        <f t="shared" si="1"/>
        <v>0</v>
      </c>
      <c r="N488" s="99"/>
      <c r="O488" s="85"/>
      <c r="P488" s="68"/>
    </row>
    <row r="489" hidden="1">
      <c r="A489" s="68"/>
      <c r="B489" s="79"/>
      <c r="C489" s="77"/>
      <c r="D489" s="79"/>
      <c r="E489" s="79"/>
      <c r="F489" s="93"/>
      <c r="G489" s="93"/>
      <c r="H489" s="103"/>
      <c r="I489" s="79"/>
      <c r="J489" s="100"/>
      <c r="K489" s="97" t="b">
        <f>IF(AND($M489=TRUE,$N489=TRUE),VLOOKUP($E489,RH!$B$47:$S$67,MONTH($G489)+6,FALSE))</f>
        <v>0</v>
      </c>
      <c r="L489" s="98">
        <f>IFERROR(IF(AND($M489=TRUE,$N489=TRUE),VLOOKUP($E489,RH!$B$47:$S$67,MONTH($G489)+6,FALSE)*$H489,0),0)</f>
        <v>0</v>
      </c>
      <c r="M489" s="99" t="b">
        <f t="shared" si="1"/>
        <v>0</v>
      </c>
      <c r="N489" s="99"/>
      <c r="O489" s="85"/>
      <c r="P489" s="68"/>
    </row>
    <row r="490" hidden="1">
      <c r="A490" s="68"/>
      <c r="B490" s="79"/>
      <c r="C490" s="77"/>
      <c r="D490" s="79"/>
      <c r="E490" s="79"/>
      <c r="F490" s="93"/>
      <c r="G490" s="93"/>
      <c r="H490" s="103"/>
      <c r="I490" s="79"/>
      <c r="J490" s="100"/>
      <c r="K490" s="97" t="b">
        <f>IF(AND($M490=TRUE,$N490=TRUE),VLOOKUP($E490,RH!$B$47:$S$67,MONTH($G490)+6,FALSE))</f>
        <v>0</v>
      </c>
      <c r="L490" s="98">
        <f>IFERROR(IF(AND($M490=TRUE,$N490=TRUE),VLOOKUP($E490,RH!$B$47:$S$67,MONTH($G490)+6,FALSE)*$H490,0),0)</f>
        <v>0</v>
      </c>
      <c r="M490" s="99" t="b">
        <f t="shared" si="1"/>
        <v>0</v>
      </c>
      <c r="N490" s="99"/>
      <c r="O490" s="85"/>
      <c r="P490" s="68"/>
    </row>
    <row r="491" hidden="1">
      <c r="A491" s="68"/>
      <c r="B491" s="79"/>
      <c r="C491" s="77"/>
      <c r="D491" s="79"/>
      <c r="E491" s="79"/>
      <c r="F491" s="93"/>
      <c r="G491" s="93"/>
      <c r="H491" s="103"/>
      <c r="I491" s="79"/>
      <c r="J491" s="100"/>
      <c r="K491" s="97" t="b">
        <f>IF(AND($M491=TRUE,$N491=TRUE),VLOOKUP($E491,RH!$B$47:$S$67,MONTH($G491)+6,FALSE))</f>
        <v>0</v>
      </c>
      <c r="L491" s="98">
        <f>IFERROR(IF(AND($M491=TRUE,$N491=TRUE),VLOOKUP($E491,RH!$B$47:$S$67,MONTH($G491)+6,FALSE)*$H491,0),0)</f>
        <v>0</v>
      </c>
      <c r="M491" s="99" t="b">
        <f t="shared" si="1"/>
        <v>0</v>
      </c>
      <c r="N491" s="99"/>
      <c r="O491" s="85"/>
      <c r="P491" s="68"/>
    </row>
    <row r="492" hidden="1">
      <c r="A492" s="68"/>
      <c r="B492" s="79"/>
      <c r="C492" s="77"/>
      <c r="D492" s="79"/>
      <c r="E492" s="79"/>
      <c r="F492" s="93"/>
      <c r="G492" s="93"/>
      <c r="H492" s="103"/>
      <c r="I492" s="79"/>
      <c r="J492" s="100"/>
      <c r="K492" s="97" t="b">
        <f>IF(AND($M492=TRUE,$N492=TRUE),VLOOKUP($E492,RH!$B$47:$S$67,MONTH($G492)+6,FALSE))</f>
        <v>0</v>
      </c>
      <c r="L492" s="98">
        <f>IFERROR(IF(AND($M492=TRUE,$N492=TRUE),VLOOKUP($E492,RH!$B$47:$S$67,MONTH($G492)+6,FALSE)*$H492,0),0)</f>
        <v>0</v>
      </c>
      <c r="M492" s="99" t="b">
        <f t="shared" si="1"/>
        <v>0</v>
      </c>
      <c r="N492" s="99"/>
      <c r="O492" s="85"/>
      <c r="P492" s="68"/>
    </row>
    <row r="493" hidden="1">
      <c r="A493" s="68"/>
      <c r="B493" s="79"/>
      <c r="C493" s="77"/>
      <c r="D493" s="79"/>
      <c r="E493" s="79"/>
      <c r="F493" s="93"/>
      <c r="G493" s="93"/>
      <c r="H493" s="103"/>
      <c r="I493" s="79"/>
      <c r="J493" s="100"/>
      <c r="K493" s="97" t="b">
        <f>IF(AND($M493=TRUE,$N493=TRUE),VLOOKUP($E493,RH!$B$47:$S$67,MONTH($G493)+6,FALSE))</f>
        <v>0</v>
      </c>
      <c r="L493" s="98">
        <f>IFERROR(IF(AND($M493=TRUE,$N493=TRUE),VLOOKUP($E493,RH!$B$47:$S$67,MONTH($G493)+6,FALSE)*$H493,0),0)</f>
        <v>0</v>
      </c>
      <c r="M493" s="99" t="b">
        <f t="shared" si="1"/>
        <v>0</v>
      </c>
      <c r="N493" s="99"/>
      <c r="O493" s="85"/>
      <c r="P493" s="68"/>
    </row>
    <row r="494" hidden="1">
      <c r="A494" s="68"/>
      <c r="B494" s="79"/>
      <c r="C494" s="77"/>
      <c r="D494" s="79"/>
      <c r="E494" s="79"/>
      <c r="F494" s="93"/>
      <c r="G494" s="93"/>
      <c r="H494" s="103"/>
      <c r="I494" s="79"/>
      <c r="J494" s="100"/>
      <c r="K494" s="97" t="b">
        <f>IF(AND($M494=TRUE,$N494=TRUE),VLOOKUP($E494,RH!$B$47:$S$67,MONTH($G494)+6,FALSE))</f>
        <v>0</v>
      </c>
      <c r="L494" s="98">
        <f>IFERROR(IF(AND($M494=TRUE,$N494=TRUE),VLOOKUP($E494,RH!$B$47:$S$67,MONTH($G494)+6,FALSE)*$H494,0),0)</f>
        <v>0</v>
      </c>
      <c r="M494" s="99" t="b">
        <f t="shared" si="1"/>
        <v>0</v>
      </c>
      <c r="N494" s="99"/>
      <c r="O494" s="85"/>
      <c r="P494" s="68"/>
    </row>
    <row r="495" hidden="1">
      <c r="A495" s="68"/>
      <c r="B495" s="79"/>
      <c r="C495" s="77"/>
      <c r="D495" s="79"/>
      <c r="E495" s="79"/>
      <c r="F495" s="93"/>
      <c r="G495" s="93"/>
      <c r="H495" s="103"/>
      <c r="I495" s="79"/>
      <c r="J495" s="100"/>
      <c r="K495" s="97" t="b">
        <f>IF(AND($M495=TRUE,$N495=TRUE),VLOOKUP($E495,RH!$B$47:$S$67,MONTH($G495)+6,FALSE))</f>
        <v>0</v>
      </c>
      <c r="L495" s="98">
        <f>IFERROR(IF(AND($M495=TRUE,$N495=TRUE),VLOOKUP($E495,RH!$B$47:$S$67,MONTH($G495)+6,FALSE)*$H495,0),0)</f>
        <v>0</v>
      </c>
      <c r="M495" s="99" t="b">
        <f t="shared" si="1"/>
        <v>0</v>
      </c>
      <c r="N495" s="99"/>
      <c r="O495" s="85"/>
      <c r="P495" s="68"/>
    </row>
    <row r="496" hidden="1">
      <c r="A496" s="68"/>
      <c r="B496" s="79"/>
      <c r="C496" s="77"/>
      <c r="D496" s="79"/>
      <c r="E496" s="79"/>
      <c r="F496" s="93"/>
      <c r="G496" s="93"/>
      <c r="H496" s="103"/>
      <c r="I496" s="79"/>
      <c r="J496" s="100"/>
      <c r="K496" s="97" t="b">
        <f>IF(AND($M496=TRUE,$N496=TRUE),VLOOKUP($E496,RH!$B$47:$S$67,MONTH($G496)+6,FALSE))</f>
        <v>0</v>
      </c>
      <c r="L496" s="98">
        <f>IFERROR(IF(AND($M496=TRUE,$N496=TRUE),VLOOKUP($E496,RH!$B$47:$S$67,MONTH($G496)+6,FALSE)*$H496,0),0)</f>
        <v>0</v>
      </c>
      <c r="M496" s="99" t="b">
        <f t="shared" si="1"/>
        <v>0</v>
      </c>
      <c r="N496" s="99"/>
      <c r="O496" s="85"/>
      <c r="P496" s="68"/>
    </row>
    <row r="497" hidden="1">
      <c r="A497" s="68"/>
      <c r="B497" s="79"/>
      <c r="C497" s="77"/>
      <c r="D497" s="79"/>
      <c r="E497" s="79"/>
      <c r="F497" s="93"/>
      <c r="G497" s="93"/>
      <c r="H497" s="103"/>
      <c r="I497" s="79"/>
      <c r="J497" s="100"/>
      <c r="K497" s="97" t="b">
        <f>IF(AND($M497=TRUE,$N497=TRUE),VLOOKUP($E497,RH!$B$47:$S$67,MONTH($G497)+6,FALSE))</f>
        <v>0</v>
      </c>
      <c r="L497" s="98">
        <f>IFERROR(IF(AND($M497=TRUE,$N497=TRUE),VLOOKUP($E497,RH!$B$47:$S$67,MONTH($G497)+6,FALSE)*$H497,0),0)</f>
        <v>0</v>
      </c>
      <c r="M497" s="99" t="b">
        <f t="shared" si="1"/>
        <v>0</v>
      </c>
      <c r="N497" s="99"/>
      <c r="O497" s="85"/>
      <c r="P497" s="68"/>
    </row>
    <row r="498" hidden="1">
      <c r="A498" s="68"/>
      <c r="B498" s="79"/>
      <c r="C498" s="77"/>
      <c r="D498" s="79"/>
      <c r="E498" s="79"/>
      <c r="F498" s="93"/>
      <c r="G498" s="93"/>
      <c r="H498" s="103"/>
      <c r="I498" s="79"/>
      <c r="J498" s="100"/>
      <c r="K498" s="97" t="b">
        <f>IF(AND($M498=TRUE,$N498=TRUE),VLOOKUP($E498,RH!$B$47:$S$67,MONTH($G498)+6,FALSE))</f>
        <v>0</v>
      </c>
      <c r="L498" s="98">
        <f>IFERROR(IF(AND($M498=TRUE,$N498=TRUE),VLOOKUP($E498,RH!$B$47:$S$67,MONTH($G498)+6,FALSE)*$H498,0),0)</f>
        <v>0</v>
      </c>
      <c r="M498" s="99" t="b">
        <f t="shared" si="1"/>
        <v>0</v>
      </c>
      <c r="N498" s="99"/>
      <c r="O498" s="85"/>
      <c r="P498" s="68"/>
    </row>
    <row r="499" hidden="1">
      <c r="A499" s="68"/>
      <c r="B499" s="79"/>
      <c r="C499" s="77"/>
      <c r="D499" s="79"/>
      <c r="E499" s="79"/>
      <c r="F499" s="93"/>
      <c r="G499" s="93"/>
      <c r="H499" s="103"/>
      <c r="I499" s="79"/>
      <c r="J499" s="100"/>
      <c r="K499" s="97" t="b">
        <f>IF(AND($M499=TRUE,$N499=TRUE),VLOOKUP($E499,RH!$B$47:$S$67,MONTH($G499)+6,FALSE))</f>
        <v>0</v>
      </c>
      <c r="L499" s="98">
        <f>IFERROR(IF(AND($M499=TRUE,$N499=TRUE),VLOOKUP($E499,RH!$B$47:$S$67,MONTH($G499)+6,FALSE)*$H499,0),0)</f>
        <v>0</v>
      </c>
      <c r="M499" s="99" t="b">
        <f t="shared" si="1"/>
        <v>0</v>
      </c>
      <c r="N499" s="99"/>
      <c r="O499" s="85"/>
      <c r="P499" s="68"/>
    </row>
    <row r="500" hidden="1">
      <c r="A500" s="68"/>
      <c r="B500" s="79"/>
      <c r="C500" s="77"/>
      <c r="D500" s="79"/>
      <c r="E500" s="79"/>
      <c r="F500" s="93"/>
      <c r="G500" s="93"/>
      <c r="H500" s="103"/>
      <c r="I500" s="79"/>
      <c r="J500" s="100"/>
      <c r="K500" s="97" t="b">
        <f>IF(AND($M500=TRUE,$N500=TRUE),VLOOKUP($E500,RH!$B$47:$S$67,MONTH($G500)+6,FALSE))</f>
        <v>0</v>
      </c>
      <c r="L500" s="98">
        <f>IFERROR(IF(AND($M500=TRUE,$N500=TRUE),VLOOKUP($E500,RH!$B$47:$S$67,MONTH($G500)+6,FALSE)*$H500,0),0)</f>
        <v>0</v>
      </c>
      <c r="M500" s="99" t="b">
        <f t="shared" si="1"/>
        <v>0</v>
      </c>
      <c r="N500" s="99"/>
      <c r="O500" s="85"/>
      <c r="P500" s="68"/>
    </row>
    <row r="501" hidden="1">
      <c r="A501" s="68"/>
      <c r="B501" s="79"/>
      <c r="C501" s="77"/>
      <c r="D501" s="79"/>
      <c r="E501" s="79"/>
      <c r="F501" s="93"/>
      <c r="G501" s="93"/>
      <c r="H501" s="103"/>
      <c r="I501" s="79"/>
      <c r="J501" s="100"/>
      <c r="K501" s="97" t="b">
        <f>IF(AND($M501=TRUE,$N501=TRUE),VLOOKUP($E501,RH!$B$47:$S$67,MONTH($G501)+6,FALSE))</f>
        <v>0</v>
      </c>
      <c r="L501" s="98">
        <f>IFERROR(IF(AND($M501=TRUE,$N501=TRUE),VLOOKUP($E501,RH!$B$47:$S$67,MONTH($G501)+6,FALSE)*$H501,0),0)</f>
        <v>0</v>
      </c>
      <c r="M501" s="99" t="b">
        <f t="shared" si="1"/>
        <v>0</v>
      </c>
      <c r="N501" s="99"/>
      <c r="O501" s="85"/>
      <c r="P501" s="68"/>
    </row>
    <row r="502" hidden="1">
      <c r="A502" s="68"/>
      <c r="B502" s="79"/>
      <c r="C502" s="77"/>
      <c r="D502" s="79"/>
      <c r="E502" s="79"/>
      <c r="F502" s="93"/>
      <c r="G502" s="93"/>
      <c r="H502" s="103"/>
      <c r="I502" s="79"/>
      <c r="J502" s="100"/>
      <c r="K502" s="97" t="b">
        <f>IF(AND($M502=TRUE,$N502=TRUE),VLOOKUP($E502,RH!$B$47:$S$67,MONTH($G502)+6,FALSE))</f>
        <v>0</v>
      </c>
      <c r="L502" s="98">
        <f>IFERROR(IF(AND($M502=TRUE,$N502=TRUE),VLOOKUP($E502,RH!$B$47:$S$67,MONTH($G502)+6,FALSE)*$H502,0),0)</f>
        <v>0</v>
      </c>
      <c r="M502" s="99" t="b">
        <f t="shared" si="1"/>
        <v>0</v>
      </c>
      <c r="N502" s="99"/>
      <c r="O502" s="85"/>
      <c r="P502" s="68"/>
    </row>
    <row r="503" hidden="1">
      <c r="A503" s="68"/>
      <c r="B503" s="79"/>
      <c r="C503" s="77"/>
      <c r="D503" s="79"/>
      <c r="E503" s="79"/>
      <c r="F503" s="93"/>
      <c r="G503" s="93"/>
      <c r="H503" s="103"/>
      <c r="I503" s="79"/>
      <c r="J503" s="100"/>
      <c r="K503" s="97" t="b">
        <f>IF(AND($M503=TRUE,$N503=TRUE),VLOOKUP($E503,RH!$B$47:$S$67,MONTH($G503)+6,FALSE))</f>
        <v>0</v>
      </c>
      <c r="L503" s="98">
        <f>IFERROR(IF(AND($M503=TRUE,$N503=TRUE),VLOOKUP($E503,RH!$B$47:$S$67,MONTH($G503)+6,FALSE)*$H503,0),0)</f>
        <v>0</v>
      </c>
      <c r="M503" s="99" t="b">
        <f t="shared" si="1"/>
        <v>0</v>
      </c>
      <c r="N503" s="99"/>
      <c r="O503" s="85"/>
      <c r="P503" s="68"/>
    </row>
    <row r="504" hidden="1">
      <c r="A504" s="68"/>
      <c r="B504" s="79"/>
      <c r="C504" s="77"/>
      <c r="D504" s="79"/>
      <c r="E504" s="79"/>
      <c r="F504" s="93"/>
      <c r="G504" s="93"/>
      <c r="H504" s="103"/>
      <c r="I504" s="79"/>
      <c r="J504" s="100"/>
      <c r="K504" s="97" t="b">
        <f>IF(AND($M504=TRUE,$N504=TRUE),VLOOKUP($E504,RH!$B$47:$S$67,MONTH($G504)+6,FALSE))</f>
        <v>0</v>
      </c>
      <c r="L504" s="98">
        <f>IFERROR(IF(AND($M504=TRUE,$N504=TRUE),VLOOKUP($E504,RH!$B$47:$S$67,MONTH($G504)+6,FALSE)*$H504,0),0)</f>
        <v>0</v>
      </c>
      <c r="M504" s="99" t="b">
        <f t="shared" si="1"/>
        <v>0</v>
      </c>
      <c r="N504" s="99"/>
      <c r="O504" s="85"/>
      <c r="P504" s="68"/>
    </row>
    <row r="505" hidden="1">
      <c r="A505" s="68"/>
      <c r="B505" s="79"/>
      <c r="C505" s="77"/>
      <c r="D505" s="79"/>
      <c r="E505" s="79"/>
      <c r="F505" s="93"/>
      <c r="G505" s="93"/>
      <c r="H505" s="103"/>
      <c r="I505" s="79"/>
      <c r="J505" s="100"/>
      <c r="K505" s="97" t="b">
        <f>IF(AND($M505=TRUE,$N505=TRUE),VLOOKUP($E505,RH!$B$47:$S$67,MONTH($G505)+6,FALSE))</f>
        <v>0</v>
      </c>
      <c r="L505" s="98">
        <f>IFERROR(IF(AND($M505=TRUE,$N505=TRUE),VLOOKUP($E505,RH!$B$47:$S$67,MONTH($G505)+6,FALSE)*$H505,0),0)</f>
        <v>0</v>
      </c>
      <c r="M505" s="99" t="b">
        <f t="shared" si="1"/>
        <v>0</v>
      </c>
      <c r="N505" s="99"/>
      <c r="O505" s="85"/>
      <c r="P505" s="68"/>
    </row>
    <row r="506" hidden="1">
      <c r="A506" s="68"/>
      <c r="B506" s="79"/>
      <c r="C506" s="77"/>
      <c r="D506" s="79"/>
      <c r="E506" s="79"/>
      <c r="F506" s="93"/>
      <c r="G506" s="93"/>
      <c r="H506" s="103"/>
      <c r="I506" s="79"/>
      <c r="J506" s="100"/>
      <c r="K506" s="97" t="b">
        <f>IF(AND($M506=TRUE,$N506=TRUE),VLOOKUP($E506,RH!$B$47:$S$67,MONTH($G506)+6,FALSE))</f>
        <v>0</v>
      </c>
      <c r="L506" s="98">
        <f>IFERROR(IF(AND($M506=TRUE,$N506=TRUE),VLOOKUP($E506,RH!$B$47:$S$67,MONTH($G506)+6,FALSE)*$H506,0),0)</f>
        <v>0</v>
      </c>
      <c r="M506" s="99" t="b">
        <f t="shared" si="1"/>
        <v>0</v>
      </c>
      <c r="N506" s="99"/>
      <c r="O506" s="85"/>
      <c r="P506" s="68"/>
    </row>
    <row r="507" hidden="1">
      <c r="A507" s="68"/>
      <c r="B507" s="79"/>
      <c r="C507" s="77"/>
      <c r="D507" s="79"/>
      <c r="E507" s="79"/>
      <c r="F507" s="93"/>
      <c r="G507" s="93"/>
      <c r="H507" s="103"/>
      <c r="I507" s="79"/>
      <c r="J507" s="100"/>
      <c r="K507" s="97" t="b">
        <f>IF(AND($M507=TRUE,$N507=TRUE),VLOOKUP($E507,RH!$B$47:$S$67,MONTH($G507)+6,FALSE))</f>
        <v>0</v>
      </c>
      <c r="L507" s="98">
        <f>IFERROR(IF(AND($M507=TRUE,$N507=TRUE),VLOOKUP($E507,RH!$B$47:$S$67,MONTH($G507)+6,FALSE)*$H507,0),0)</f>
        <v>0</v>
      </c>
      <c r="M507" s="99" t="b">
        <f t="shared" si="1"/>
        <v>0</v>
      </c>
      <c r="N507" s="99"/>
      <c r="O507" s="85"/>
      <c r="P507" s="68"/>
    </row>
    <row r="508" hidden="1">
      <c r="A508" s="68"/>
      <c r="B508" s="79"/>
      <c r="C508" s="77"/>
      <c r="D508" s="79"/>
      <c r="E508" s="79"/>
      <c r="F508" s="93"/>
      <c r="G508" s="93"/>
      <c r="H508" s="103"/>
      <c r="I508" s="79"/>
      <c r="J508" s="100"/>
      <c r="K508" s="97" t="b">
        <f>IF(AND($M508=TRUE,$N508=TRUE),VLOOKUP($E508,RH!$B$47:$S$67,MONTH($G508)+6,FALSE))</f>
        <v>0</v>
      </c>
      <c r="L508" s="98">
        <f>IFERROR(IF(AND($M508=TRUE,$N508=TRUE),VLOOKUP($E508,RH!$B$47:$S$67,MONTH($G508)+6,FALSE)*$H508,0),0)</f>
        <v>0</v>
      </c>
      <c r="M508" s="99" t="b">
        <f t="shared" si="1"/>
        <v>0</v>
      </c>
      <c r="N508" s="99"/>
      <c r="O508" s="85"/>
      <c r="P508" s="68"/>
    </row>
    <row r="509" hidden="1">
      <c r="A509" s="68"/>
      <c r="B509" s="79"/>
      <c r="C509" s="77"/>
      <c r="D509" s="79"/>
      <c r="E509" s="79"/>
      <c r="F509" s="93"/>
      <c r="G509" s="93"/>
      <c r="H509" s="103"/>
      <c r="I509" s="79"/>
      <c r="J509" s="100"/>
      <c r="K509" s="97" t="b">
        <f>IF(AND($M509=TRUE,$N509=TRUE),VLOOKUP($E509,RH!$B$47:$S$67,MONTH($G509)+6,FALSE))</f>
        <v>0</v>
      </c>
      <c r="L509" s="98">
        <f>IFERROR(IF(AND($M509=TRUE,$N509=TRUE),VLOOKUP($E509,RH!$B$47:$S$67,MONTH($G509)+6,FALSE)*$H509,0),0)</f>
        <v>0</v>
      </c>
      <c r="M509" s="99" t="b">
        <f t="shared" si="1"/>
        <v>0</v>
      </c>
      <c r="N509" s="99"/>
      <c r="O509" s="85"/>
      <c r="P509" s="68"/>
    </row>
    <row r="510" hidden="1">
      <c r="A510" s="68"/>
      <c r="B510" s="79"/>
      <c r="C510" s="77"/>
      <c r="D510" s="79"/>
      <c r="E510" s="79"/>
      <c r="F510" s="93"/>
      <c r="G510" s="93"/>
      <c r="H510" s="103"/>
      <c r="I510" s="79"/>
      <c r="J510" s="100"/>
      <c r="K510" s="97" t="b">
        <f>IF(AND($M510=TRUE,$N510=TRUE),VLOOKUP($E510,RH!$B$47:$S$67,MONTH($G510)+6,FALSE))</f>
        <v>0</v>
      </c>
      <c r="L510" s="98">
        <f>IFERROR(IF(AND($M510=TRUE,$N510=TRUE),VLOOKUP($E510,RH!$B$47:$S$67,MONTH($G510)+6,FALSE)*$H510,0),0)</f>
        <v>0</v>
      </c>
      <c r="M510" s="99" t="b">
        <f t="shared" si="1"/>
        <v>0</v>
      </c>
      <c r="N510" s="99"/>
      <c r="O510" s="85"/>
      <c r="P510" s="68"/>
    </row>
    <row r="511" hidden="1">
      <c r="A511" s="68"/>
      <c r="B511" s="79"/>
      <c r="C511" s="77"/>
      <c r="D511" s="79"/>
      <c r="E511" s="79"/>
      <c r="F511" s="93"/>
      <c r="G511" s="93"/>
      <c r="H511" s="103"/>
      <c r="I511" s="79"/>
      <c r="J511" s="100"/>
      <c r="K511" s="97" t="b">
        <f>IF(AND($M511=TRUE,$N511=TRUE),VLOOKUP($E511,RH!$B$47:$S$67,MONTH($G511)+6,FALSE))</f>
        <v>0</v>
      </c>
      <c r="L511" s="98">
        <f>IFERROR(IF(AND($M511=TRUE,$N511=TRUE),VLOOKUP($E511,RH!$B$47:$S$67,MONTH($G511)+6,FALSE)*$H511,0),0)</f>
        <v>0</v>
      </c>
      <c r="M511" s="99" t="b">
        <f t="shared" si="1"/>
        <v>0</v>
      </c>
      <c r="N511" s="99"/>
      <c r="O511" s="85"/>
      <c r="P511" s="68"/>
    </row>
    <row r="512" hidden="1">
      <c r="A512" s="68"/>
      <c r="B512" s="79"/>
      <c r="C512" s="77"/>
      <c r="D512" s="79"/>
      <c r="E512" s="79"/>
      <c r="F512" s="93"/>
      <c r="G512" s="93"/>
      <c r="H512" s="103"/>
      <c r="I512" s="79"/>
      <c r="J512" s="100"/>
      <c r="K512" s="97" t="b">
        <f>IF(AND($M512=TRUE,$N512=TRUE),VLOOKUP($E512,RH!$B$47:$S$67,MONTH($G512)+6,FALSE))</f>
        <v>0</v>
      </c>
      <c r="L512" s="98">
        <f>IFERROR(IF(AND($M512=TRUE,$N512=TRUE),VLOOKUP($E512,RH!$B$47:$S$67,MONTH($G512)+6,FALSE)*$H512,0),0)</f>
        <v>0</v>
      </c>
      <c r="M512" s="99" t="b">
        <f t="shared" si="1"/>
        <v>0</v>
      </c>
      <c r="N512" s="99"/>
      <c r="O512" s="85"/>
      <c r="P512" s="68"/>
    </row>
    <row r="513" hidden="1">
      <c r="A513" s="68"/>
      <c r="B513" s="79"/>
      <c r="C513" s="77"/>
      <c r="D513" s="79"/>
      <c r="E513" s="79"/>
      <c r="F513" s="93"/>
      <c r="G513" s="93"/>
      <c r="H513" s="103"/>
      <c r="I513" s="79"/>
      <c r="J513" s="100"/>
      <c r="K513" s="97" t="b">
        <f>IF(AND($M513=TRUE,$N513=TRUE),VLOOKUP($E513,RH!$B$47:$S$67,MONTH($G513)+6,FALSE))</f>
        <v>0</v>
      </c>
      <c r="L513" s="98">
        <f>IFERROR(IF(AND($M513=TRUE,$N513=TRUE),VLOOKUP($E513,RH!$B$47:$S$67,MONTH($G513)+6,FALSE)*$H513,0),0)</f>
        <v>0</v>
      </c>
      <c r="M513" s="99" t="b">
        <f t="shared" si="1"/>
        <v>0</v>
      </c>
      <c r="N513" s="99"/>
      <c r="O513" s="85"/>
      <c r="P513" s="68"/>
    </row>
    <row r="514" hidden="1">
      <c r="A514" s="68"/>
      <c r="B514" s="79"/>
      <c r="C514" s="77"/>
      <c r="D514" s="79"/>
      <c r="E514" s="79"/>
      <c r="F514" s="93"/>
      <c r="G514" s="93"/>
      <c r="H514" s="103"/>
      <c r="I514" s="79"/>
      <c r="J514" s="100"/>
      <c r="K514" s="97" t="b">
        <f>IF(AND($M514=TRUE,$N514=TRUE),VLOOKUP($E514,RH!$B$47:$S$67,MONTH($G514)+6,FALSE))</f>
        <v>0</v>
      </c>
      <c r="L514" s="98">
        <f>IFERROR(IF(AND($M514=TRUE,$N514=TRUE),VLOOKUP($E514,RH!$B$47:$S$67,MONTH($G514)+6,FALSE)*$H514,0),0)</f>
        <v>0</v>
      </c>
      <c r="M514" s="99" t="b">
        <f t="shared" si="1"/>
        <v>0</v>
      </c>
      <c r="N514" s="99"/>
      <c r="O514" s="85"/>
      <c r="P514" s="68"/>
    </row>
    <row r="515" hidden="1">
      <c r="A515" s="68"/>
      <c r="B515" s="79"/>
      <c r="C515" s="77"/>
      <c r="D515" s="79"/>
      <c r="E515" s="79"/>
      <c r="F515" s="93"/>
      <c r="G515" s="93"/>
      <c r="H515" s="103"/>
      <c r="I515" s="79"/>
      <c r="J515" s="100"/>
      <c r="K515" s="97" t="b">
        <f>IF(AND($M515=TRUE,$N515=TRUE),VLOOKUP($E515,RH!$B$47:$S$67,MONTH($G515)+6,FALSE))</f>
        <v>0</v>
      </c>
      <c r="L515" s="98">
        <f>IFERROR(IF(AND($M515=TRUE,$N515=TRUE),VLOOKUP($E515,RH!$B$47:$S$67,MONTH($G515)+6,FALSE)*$H515,0),0)</f>
        <v>0</v>
      </c>
      <c r="M515" s="99" t="b">
        <f t="shared" si="1"/>
        <v>0</v>
      </c>
      <c r="N515" s="99"/>
      <c r="O515" s="85"/>
      <c r="P515" s="68"/>
    </row>
    <row r="516" hidden="1">
      <c r="A516" s="68"/>
      <c r="B516" s="79"/>
      <c r="C516" s="77"/>
      <c r="D516" s="79"/>
      <c r="E516" s="79"/>
      <c r="F516" s="93"/>
      <c r="G516" s="93"/>
      <c r="H516" s="103"/>
      <c r="I516" s="79"/>
      <c r="J516" s="100"/>
      <c r="K516" s="97" t="b">
        <f>IF(AND($M516=TRUE,$N516=TRUE),VLOOKUP($E516,RH!$B$47:$S$67,MONTH($G516)+6,FALSE))</f>
        <v>0</v>
      </c>
      <c r="L516" s="98">
        <f>IFERROR(IF(AND($M516=TRUE,$N516=TRUE),VLOOKUP($E516,RH!$B$47:$S$67,MONTH($G516)+6,FALSE)*$H516,0),0)</f>
        <v>0</v>
      </c>
      <c r="M516" s="99" t="b">
        <f t="shared" si="1"/>
        <v>0</v>
      </c>
      <c r="N516" s="99"/>
      <c r="O516" s="85"/>
      <c r="P516" s="68"/>
    </row>
    <row r="517" hidden="1">
      <c r="A517" s="68"/>
      <c r="B517" s="79"/>
      <c r="C517" s="77"/>
      <c r="D517" s="79"/>
      <c r="E517" s="79"/>
      <c r="F517" s="93"/>
      <c r="G517" s="93"/>
      <c r="H517" s="103"/>
      <c r="I517" s="79"/>
      <c r="J517" s="100"/>
      <c r="K517" s="97" t="b">
        <f>IF(AND($M517=TRUE,$N517=TRUE),VLOOKUP($E517,RH!$B$47:$S$67,MONTH($G517)+6,FALSE))</f>
        <v>0</v>
      </c>
      <c r="L517" s="98">
        <f>IFERROR(IF(AND($M517=TRUE,$N517=TRUE),VLOOKUP($E517,RH!$B$47:$S$67,MONTH($G517)+6,FALSE)*$H517,0),0)</f>
        <v>0</v>
      </c>
      <c r="M517" s="99" t="b">
        <f t="shared" si="1"/>
        <v>0</v>
      </c>
      <c r="N517" s="99"/>
      <c r="O517" s="85"/>
      <c r="P517" s="68"/>
    </row>
    <row r="518" hidden="1">
      <c r="A518" s="68"/>
      <c r="B518" s="79"/>
      <c r="C518" s="77"/>
      <c r="D518" s="79"/>
      <c r="E518" s="79"/>
      <c r="F518" s="93"/>
      <c r="G518" s="93"/>
      <c r="H518" s="103"/>
      <c r="I518" s="79"/>
      <c r="J518" s="100"/>
      <c r="K518" s="97" t="b">
        <f>IF(AND($M518=TRUE,$N518=TRUE),VLOOKUP($E518,RH!$B$47:$S$67,MONTH($G518)+6,FALSE))</f>
        <v>0</v>
      </c>
      <c r="L518" s="98">
        <f>IFERROR(IF(AND($M518=TRUE,$N518=TRUE),VLOOKUP($E518,RH!$B$47:$S$67,MONTH($G518)+6,FALSE)*$H518,0),0)</f>
        <v>0</v>
      </c>
      <c r="M518" s="99" t="b">
        <f t="shared" si="1"/>
        <v>0</v>
      </c>
      <c r="N518" s="99"/>
      <c r="O518" s="85"/>
      <c r="P518" s="68"/>
    </row>
    <row r="519" hidden="1">
      <c r="A519" s="68"/>
      <c r="B519" s="79"/>
      <c r="C519" s="77"/>
      <c r="D519" s="79"/>
      <c r="E519" s="79"/>
      <c r="F519" s="93"/>
      <c r="G519" s="93"/>
      <c r="H519" s="103"/>
      <c r="I519" s="79"/>
      <c r="J519" s="100"/>
      <c r="K519" s="97" t="b">
        <f>IF(AND($M519=TRUE,$N519=TRUE),VLOOKUP($E519,RH!$B$47:$S$67,MONTH($G519)+6,FALSE))</f>
        <v>0</v>
      </c>
      <c r="L519" s="98">
        <f>IFERROR(IF(AND($M519=TRUE,$N519=TRUE),VLOOKUP($E519,RH!$B$47:$S$67,MONTH($G519)+6,FALSE)*$H519,0),0)</f>
        <v>0</v>
      </c>
      <c r="M519" s="99" t="b">
        <f t="shared" si="1"/>
        <v>0</v>
      </c>
      <c r="N519" s="99"/>
      <c r="O519" s="85"/>
      <c r="P519" s="68"/>
    </row>
    <row r="520" hidden="1">
      <c r="A520" s="68"/>
      <c r="B520" s="79"/>
      <c r="C520" s="77"/>
      <c r="D520" s="79"/>
      <c r="E520" s="79"/>
      <c r="F520" s="93"/>
      <c r="G520" s="93"/>
      <c r="H520" s="103"/>
      <c r="I520" s="79"/>
      <c r="J520" s="100"/>
      <c r="K520" s="97" t="b">
        <f>IF(AND($M520=TRUE,$N520=TRUE),VLOOKUP($E520,RH!$B$47:$S$67,MONTH($G520)+6,FALSE))</f>
        <v>0</v>
      </c>
      <c r="L520" s="98">
        <f>IFERROR(IF(AND($M520=TRUE,$N520=TRUE),VLOOKUP($E520,RH!$B$47:$S$67,MONTH($G520)+6,FALSE)*$H520,0),0)</f>
        <v>0</v>
      </c>
      <c r="M520" s="99" t="b">
        <f t="shared" si="1"/>
        <v>0</v>
      </c>
      <c r="N520" s="99"/>
      <c r="O520" s="85"/>
      <c r="P520" s="68"/>
    </row>
    <row r="521" hidden="1">
      <c r="A521" s="68"/>
      <c r="B521" s="79"/>
      <c r="C521" s="77"/>
      <c r="D521" s="79"/>
      <c r="E521" s="79"/>
      <c r="F521" s="93"/>
      <c r="G521" s="93"/>
      <c r="H521" s="103"/>
      <c r="I521" s="79"/>
      <c r="J521" s="100"/>
      <c r="K521" s="97" t="b">
        <f>IF(AND($M521=TRUE,$N521=TRUE),VLOOKUP($E521,RH!$B$47:$S$67,MONTH($G521)+6,FALSE))</f>
        <v>0</v>
      </c>
      <c r="L521" s="98">
        <f>IFERROR(IF(AND($M521=TRUE,$N521=TRUE),VLOOKUP($E521,RH!$B$47:$S$67,MONTH($G521)+6,FALSE)*$H521,0),0)</f>
        <v>0</v>
      </c>
      <c r="M521" s="99" t="b">
        <f t="shared" si="1"/>
        <v>0</v>
      </c>
      <c r="N521" s="99"/>
      <c r="O521" s="85"/>
      <c r="P521" s="68"/>
    </row>
    <row r="522" hidden="1">
      <c r="A522" s="68"/>
      <c r="B522" s="79"/>
      <c r="C522" s="77"/>
      <c r="D522" s="79"/>
      <c r="E522" s="79"/>
      <c r="F522" s="93"/>
      <c r="G522" s="93"/>
      <c r="H522" s="103"/>
      <c r="I522" s="79"/>
      <c r="J522" s="100"/>
      <c r="K522" s="97" t="b">
        <f>IF(AND($M522=TRUE,$N522=TRUE),VLOOKUP($E522,RH!$B$47:$S$67,MONTH($G522)+6,FALSE))</f>
        <v>0</v>
      </c>
      <c r="L522" s="98">
        <f>IFERROR(IF(AND($M522=TRUE,$N522=TRUE),VLOOKUP($E522,RH!$B$47:$S$67,MONTH($G522)+6,FALSE)*$H522,0),0)</f>
        <v>0</v>
      </c>
      <c r="M522" s="99" t="b">
        <f t="shared" si="1"/>
        <v>0</v>
      </c>
      <c r="N522" s="99"/>
      <c r="O522" s="85"/>
      <c r="P522" s="68"/>
    </row>
    <row r="523" hidden="1">
      <c r="A523" s="68"/>
      <c r="B523" s="79"/>
      <c r="C523" s="77"/>
      <c r="D523" s="79"/>
      <c r="E523" s="79"/>
      <c r="F523" s="93"/>
      <c r="G523" s="93"/>
      <c r="H523" s="103"/>
      <c r="I523" s="79"/>
      <c r="J523" s="100"/>
      <c r="K523" s="97" t="b">
        <f>IF(AND($M523=TRUE,$N523=TRUE),VLOOKUP($E523,RH!$B$47:$S$67,MONTH($G523)+6,FALSE))</f>
        <v>0</v>
      </c>
      <c r="L523" s="98">
        <f>IFERROR(IF(AND($M523=TRUE,$N523=TRUE),VLOOKUP($E523,RH!$B$47:$S$67,MONTH($G523)+6,FALSE)*$H523,0),0)</f>
        <v>0</v>
      </c>
      <c r="M523" s="99" t="b">
        <f t="shared" si="1"/>
        <v>0</v>
      </c>
      <c r="N523" s="99"/>
      <c r="O523" s="85"/>
      <c r="P523" s="68"/>
    </row>
    <row r="524" hidden="1">
      <c r="A524" s="68"/>
      <c r="B524" s="79"/>
      <c r="C524" s="77"/>
      <c r="D524" s="79"/>
      <c r="E524" s="79"/>
      <c r="F524" s="93"/>
      <c r="G524" s="93"/>
      <c r="H524" s="103"/>
      <c r="I524" s="79"/>
      <c r="J524" s="100"/>
      <c r="K524" s="97" t="b">
        <f>IF(AND($M524=TRUE,$N524=TRUE),VLOOKUP($E524,RH!$B$47:$S$67,MONTH($G524)+6,FALSE))</f>
        <v>0</v>
      </c>
      <c r="L524" s="98">
        <f>IFERROR(IF(AND($M524=TRUE,$N524=TRUE),VLOOKUP($E524,RH!$B$47:$S$67,MONTH($G524)+6,FALSE)*$H524,0),0)</f>
        <v>0</v>
      </c>
      <c r="M524" s="99" t="b">
        <f t="shared" si="1"/>
        <v>0</v>
      </c>
      <c r="N524" s="99"/>
      <c r="O524" s="85"/>
      <c r="P524" s="68"/>
    </row>
    <row r="525" hidden="1">
      <c r="A525" s="68"/>
      <c r="B525" s="79"/>
      <c r="C525" s="77"/>
      <c r="D525" s="79"/>
      <c r="E525" s="79"/>
      <c r="F525" s="93"/>
      <c r="G525" s="93"/>
      <c r="H525" s="103"/>
      <c r="I525" s="79"/>
      <c r="J525" s="100"/>
      <c r="K525" s="97" t="b">
        <f>IF(AND($M525=TRUE,$N525=TRUE),VLOOKUP($E525,RH!$B$47:$S$67,MONTH($G525)+6,FALSE))</f>
        <v>0</v>
      </c>
      <c r="L525" s="98">
        <f>IFERROR(IF(AND($M525=TRUE,$N525=TRUE),VLOOKUP($E525,RH!$B$47:$S$67,MONTH($G525)+6,FALSE)*$H525,0),0)</f>
        <v>0</v>
      </c>
      <c r="M525" s="99" t="b">
        <f t="shared" si="1"/>
        <v>0</v>
      </c>
      <c r="N525" s="99"/>
      <c r="O525" s="85"/>
      <c r="P525" s="68"/>
    </row>
    <row r="526" hidden="1">
      <c r="A526" s="68"/>
      <c r="B526" s="79"/>
      <c r="C526" s="77"/>
      <c r="D526" s="79"/>
      <c r="E526" s="79"/>
      <c r="F526" s="93"/>
      <c r="G526" s="93"/>
      <c r="H526" s="103"/>
      <c r="I526" s="79"/>
      <c r="J526" s="100"/>
      <c r="K526" s="97" t="b">
        <f>IF(AND($M526=TRUE,$N526=TRUE),VLOOKUP($E526,RH!$B$47:$S$67,MONTH($G526)+6,FALSE))</f>
        <v>0</v>
      </c>
      <c r="L526" s="98">
        <f>IFERROR(IF(AND($M526=TRUE,$N526=TRUE),VLOOKUP($E526,RH!$B$47:$S$67,MONTH($G526)+6,FALSE)*$H526,0),0)</f>
        <v>0</v>
      </c>
      <c r="M526" s="99" t="b">
        <f t="shared" si="1"/>
        <v>0</v>
      </c>
      <c r="N526" s="99"/>
      <c r="O526" s="85"/>
      <c r="P526" s="68"/>
    </row>
    <row r="527" hidden="1">
      <c r="A527" s="68"/>
      <c r="B527" s="79"/>
      <c r="C527" s="77"/>
      <c r="D527" s="79"/>
      <c r="E527" s="79"/>
      <c r="F527" s="93"/>
      <c r="G527" s="93"/>
      <c r="H527" s="103"/>
      <c r="I527" s="79"/>
      <c r="J527" s="100"/>
      <c r="K527" s="97" t="b">
        <f>IF(AND($M527=TRUE,$N527=TRUE),VLOOKUP($E527,RH!$B$47:$S$67,MONTH($G527)+6,FALSE))</f>
        <v>0</v>
      </c>
      <c r="L527" s="98">
        <f>IFERROR(IF(AND($M527=TRUE,$N527=TRUE),VLOOKUP($E527,RH!$B$47:$S$67,MONTH($G527)+6,FALSE)*$H527,0),0)</f>
        <v>0</v>
      </c>
      <c r="M527" s="99" t="b">
        <f t="shared" si="1"/>
        <v>0</v>
      </c>
      <c r="N527" s="99"/>
      <c r="O527" s="85"/>
      <c r="P527" s="68"/>
    </row>
    <row r="528" hidden="1">
      <c r="A528" s="68"/>
      <c r="B528" s="79"/>
      <c r="C528" s="77"/>
      <c r="D528" s="79"/>
      <c r="E528" s="79"/>
      <c r="F528" s="93"/>
      <c r="G528" s="93"/>
      <c r="H528" s="103"/>
      <c r="I528" s="79"/>
      <c r="J528" s="100"/>
      <c r="K528" s="97" t="b">
        <f>IF(AND($M528=TRUE,$N528=TRUE),VLOOKUP($E528,RH!$B$47:$S$67,MONTH($G528)+6,FALSE))</f>
        <v>0</v>
      </c>
      <c r="L528" s="98">
        <f>IFERROR(IF(AND($M528=TRUE,$N528=TRUE),VLOOKUP($E528,RH!$B$47:$S$67,MONTH($G528)+6,FALSE)*$H528,0),0)</f>
        <v>0</v>
      </c>
      <c r="M528" s="99" t="b">
        <f t="shared" si="1"/>
        <v>0</v>
      </c>
      <c r="N528" s="99"/>
      <c r="O528" s="85"/>
      <c r="P528" s="68"/>
    </row>
    <row r="529" hidden="1">
      <c r="A529" s="68"/>
      <c r="B529" s="79"/>
      <c r="C529" s="77"/>
      <c r="D529" s="79"/>
      <c r="E529" s="79"/>
      <c r="F529" s="93"/>
      <c r="G529" s="93"/>
      <c r="H529" s="103"/>
      <c r="I529" s="79"/>
      <c r="J529" s="100"/>
      <c r="K529" s="97" t="b">
        <f>IF(AND($M529=TRUE,$N529=TRUE),VLOOKUP($E529,RH!$B$47:$S$67,MONTH($G529)+6,FALSE))</f>
        <v>0</v>
      </c>
      <c r="L529" s="98">
        <f>IFERROR(IF(AND($M529=TRUE,$N529=TRUE),VLOOKUP($E529,RH!$B$47:$S$67,MONTH($G529)+6,FALSE)*$H529,0),0)</f>
        <v>0</v>
      </c>
      <c r="M529" s="99" t="b">
        <f t="shared" si="1"/>
        <v>0</v>
      </c>
      <c r="N529" s="99"/>
      <c r="O529" s="85"/>
      <c r="P529" s="68"/>
    </row>
    <row r="530" hidden="1">
      <c r="A530" s="68"/>
      <c r="B530" s="79"/>
      <c r="C530" s="77"/>
      <c r="D530" s="79"/>
      <c r="E530" s="79"/>
      <c r="F530" s="93"/>
      <c r="G530" s="93"/>
      <c r="H530" s="103"/>
      <c r="I530" s="79"/>
      <c r="J530" s="100"/>
      <c r="K530" s="97" t="b">
        <f>IF(AND($M530=TRUE,$N530=TRUE),VLOOKUP($E530,RH!$B$47:$S$67,MONTH($G530)+6,FALSE))</f>
        <v>0</v>
      </c>
      <c r="L530" s="98">
        <f>IFERROR(IF(AND($M530=TRUE,$N530=TRUE),VLOOKUP($E530,RH!$B$47:$S$67,MONTH($G530)+6,FALSE)*$H530,0),0)</f>
        <v>0</v>
      </c>
      <c r="M530" s="99" t="b">
        <f t="shared" si="1"/>
        <v>0</v>
      </c>
      <c r="N530" s="99"/>
      <c r="O530" s="85"/>
      <c r="P530" s="68"/>
    </row>
    <row r="531" hidden="1">
      <c r="A531" s="68"/>
      <c r="B531" s="79"/>
      <c r="C531" s="77"/>
      <c r="D531" s="79"/>
      <c r="E531" s="79"/>
      <c r="F531" s="93"/>
      <c r="G531" s="93"/>
      <c r="H531" s="103"/>
      <c r="I531" s="79"/>
      <c r="J531" s="100"/>
      <c r="K531" s="97" t="b">
        <f>IF(AND($M531=TRUE,$N531=TRUE),VLOOKUP($E531,RH!$B$47:$S$67,MONTH($G531)+6,FALSE))</f>
        <v>0</v>
      </c>
      <c r="L531" s="98">
        <f>IFERROR(IF(AND($M531=TRUE,$N531=TRUE),VLOOKUP($E531,RH!$B$47:$S$67,MONTH($G531)+6,FALSE)*$H531,0),0)</f>
        <v>0</v>
      </c>
      <c r="M531" s="99" t="b">
        <f t="shared" si="1"/>
        <v>0</v>
      </c>
      <c r="N531" s="99"/>
      <c r="O531" s="85"/>
      <c r="P531" s="68"/>
    </row>
    <row r="532" hidden="1">
      <c r="A532" s="68"/>
      <c r="B532" s="79"/>
      <c r="C532" s="77"/>
      <c r="D532" s="79"/>
      <c r="E532" s="79"/>
      <c r="F532" s="93"/>
      <c r="G532" s="93"/>
      <c r="H532" s="103"/>
      <c r="I532" s="79"/>
      <c r="J532" s="100"/>
      <c r="K532" s="97" t="b">
        <f>IF(AND($M532=TRUE,$N532=TRUE),VLOOKUP($E532,RH!$B$47:$S$67,MONTH($G532)+6,FALSE))</f>
        <v>0</v>
      </c>
      <c r="L532" s="98">
        <f>IFERROR(IF(AND($M532=TRUE,$N532=TRUE),VLOOKUP($E532,RH!$B$47:$S$67,MONTH($G532)+6,FALSE)*$H532,0),0)</f>
        <v>0</v>
      </c>
      <c r="M532" s="99" t="b">
        <f t="shared" si="1"/>
        <v>0</v>
      </c>
      <c r="N532" s="99"/>
      <c r="O532" s="85"/>
      <c r="P532" s="68"/>
    </row>
    <row r="533" hidden="1">
      <c r="A533" s="68"/>
      <c r="B533" s="79"/>
      <c r="C533" s="77"/>
      <c r="D533" s="79"/>
      <c r="E533" s="79"/>
      <c r="F533" s="93"/>
      <c r="G533" s="93"/>
      <c r="H533" s="103"/>
      <c r="I533" s="79"/>
      <c r="J533" s="100"/>
      <c r="K533" s="97" t="b">
        <f>IF(AND($M533=TRUE,$N533=TRUE),VLOOKUP($E533,RH!$B$47:$S$67,MONTH($G533)+6,FALSE))</f>
        <v>0</v>
      </c>
      <c r="L533" s="98">
        <f>IFERROR(IF(AND($M533=TRUE,$N533=TRUE),VLOOKUP($E533,RH!$B$47:$S$67,MONTH($G533)+6,FALSE)*$H533,0),0)</f>
        <v>0</v>
      </c>
      <c r="M533" s="99" t="b">
        <f t="shared" si="1"/>
        <v>0</v>
      </c>
      <c r="N533" s="99"/>
      <c r="O533" s="85"/>
      <c r="P533" s="68"/>
    </row>
    <row r="534" hidden="1">
      <c r="A534" s="68"/>
      <c r="B534" s="79"/>
      <c r="C534" s="77"/>
      <c r="D534" s="79"/>
      <c r="E534" s="79"/>
      <c r="F534" s="93"/>
      <c r="G534" s="93"/>
      <c r="H534" s="103"/>
      <c r="I534" s="79"/>
      <c r="J534" s="100"/>
      <c r="K534" s="97" t="b">
        <f>IF(AND($M534=TRUE,$N534=TRUE),VLOOKUP($E534,RH!$B$47:$S$67,MONTH($G534)+6,FALSE))</f>
        <v>0</v>
      </c>
      <c r="L534" s="98">
        <f>IFERROR(IF(AND($M534=TRUE,$N534=TRUE),VLOOKUP($E534,RH!$B$47:$S$67,MONTH($G534)+6,FALSE)*$H534,0),0)</f>
        <v>0</v>
      </c>
      <c r="M534" s="99" t="b">
        <f t="shared" si="1"/>
        <v>0</v>
      </c>
      <c r="N534" s="99"/>
      <c r="O534" s="85"/>
      <c r="P534" s="68"/>
    </row>
    <row r="535" hidden="1">
      <c r="A535" s="68"/>
      <c r="B535" s="79"/>
      <c r="C535" s="77"/>
      <c r="D535" s="79"/>
      <c r="E535" s="79"/>
      <c r="F535" s="93"/>
      <c r="G535" s="93"/>
      <c r="H535" s="103"/>
      <c r="I535" s="79"/>
      <c r="J535" s="100"/>
      <c r="K535" s="97" t="b">
        <f>IF(AND($M535=TRUE,$N535=TRUE),VLOOKUP($E535,RH!$B$47:$S$67,MONTH($G535)+6,FALSE))</f>
        <v>0</v>
      </c>
      <c r="L535" s="98">
        <f>IFERROR(IF(AND($M535=TRUE,$N535=TRUE),VLOOKUP($E535,RH!$B$47:$S$67,MONTH($G535)+6,FALSE)*$H535,0),0)</f>
        <v>0</v>
      </c>
      <c r="M535" s="99" t="b">
        <f t="shared" si="1"/>
        <v>0</v>
      </c>
      <c r="N535" s="99"/>
      <c r="O535" s="85"/>
      <c r="P535" s="68"/>
    </row>
    <row r="536" hidden="1">
      <c r="A536" s="68"/>
      <c r="B536" s="79"/>
      <c r="C536" s="77"/>
      <c r="D536" s="79"/>
      <c r="E536" s="79"/>
      <c r="F536" s="93"/>
      <c r="G536" s="93"/>
      <c r="H536" s="103"/>
      <c r="I536" s="79"/>
      <c r="J536" s="100"/>
      <c r="K536" s="97" t="b">
        <f>IF(AND($M536=TRUE,$N536=TRUE),VLOOKUP($E536,RH!$B$47:$S$67,MONTH($G536)+6,FALSE))</f>
        <v>0</v>
      </c>
      <c r="L536" s="98">
        <f>IFERROR(IF(AND($M536=TRUE,$N536=TRUE),VLOOKUP($E536,RH!$B$47:$S$67,MONTH($G536)+6,FALSE)*$H536,0),0)</f>
        <v>0</v>
      </c>
      <c r="M536" s="99" t="b">
        <f t="shared" si="1"/>
        <v>0</v>
      </c>
      <c r="N536" s="99"/>
      <c r="O536" s="85"/>
      <c r="P536" s="68"/>
    </row>
    <row r="537" hidden="1">
      <c r="A537" s="68"/>
      <c r="B537" s="79"/>
      <c r="C537" s="77"/>
      <c r="D537" s="79"/>
      <c r="E537" s="79"/>
      <c r="F537" s="93"/>
      <c r="G537" s="93"/>
      <c r="H537" s="103"/>
      <c r="I537" s="79"/>
      <c r="J537" s="100"/>
      <c r="K537" s="97" t="b">
        <f>IF(AND($M537=TRUE,$N537=TRUE),VLOOKUP($E537,RH!$B$47:$S$67,MONTH($G537)+6,FALSE))</f>
        <v>0</v>
      </c>
      <c r="L537" s="98">
        <f>IFERROR(IF(AND($M537=TRUE,$N537=TRUE),VLOOKUP($E537,RH!$B$47:$S$67,MONTH($G537)+6,FALSE)*$H537,0),0)</f>
        <v>0</v>
      </c>
      <c r="M537" s="99" t="b">
        <f t="shared" si="1"/>
        <v>0</v>
      </c>
      <c r="N537" s="99"/>
      <c r="O537" s="85"/>
      <c r="P537" s="68"/>
    </row>
    <row r="538" hidden="1">
      <c r="A538" s="68"/>
      <c r="B538" s="79"/>
      <c r="C538" s="77"/>
      <c r="D538" s="79"/>
      <c r="E538" s="79"/>
      <c r="F538" s="93"/>
      <c r="G538" s="93"/>
      <c r="H538" s="103"/>
      <c r="I538" s="79"/>
      <c r="J538" s="100"/>
      <c r="K538" s="97" t="b">
        <f>IF(AND($M538=TRUE,$N538=TRUE),VLOOKUP($E538,RH!$B$47:$S$67,MONTH($G538)+6,FALSE))</f>
        <v>0</v>
      </c>
      <c r="L538" s="98">
        <f>IFERROR(IF(AND($M538=TRUE,$N538=TRUE),VLOOKUP($E538,RH!$B$47:$S$67,MONTH($G538)+6,FALSE)*$H538,0),0)</f>
        <v>0</v>
      </c>
      <c r="M538" s="99" t="b">
        <f t="shared" si="1"/>
        <v>0</v>
      </c>
      <c r="N538" s="99"/>
      <c r="O538" s="85"/>
      <c r="P538" s="68"/>
    </row>
    <row r="539" hidden="1">
      <c r="A539" s="68"/>
      <c r="B539" s="79"/>
      <c r="C539" s="77"/>
      <c r="D539" s="79"/>
      <c r="E539" s="79"/>
      <c r="F539" s="93"/>
      <c r="G539" s="93"/>
      <c r="H539" s="103"/>
      <c r="I539" s="79"/>
      <c r="J539" s="100"/>
      <c r="K539" s="97" t="b">
        <f>IF(AND($M539=TRUE,$N539=TRUE),VLOOKUP($E539,RH!$B$47:$S$67,MONTH($G539)+6,FALSE))</f>
        <v>0</v>
      </c>
      <c r="L539" s="98">
        <f>IFERROR(IF(AND($M539=TRUE,$N539=TRUE),VLOOKUP($E539,RH!$B$47:$S$67,MONTH($G539)+6,FALSE)*$H539,0),0)</f>
        <v>0</v>
      </c>
      <c r="M539" s="99" t="b">
        <f t="shared" si="1"/>
        <v>0</v>
      </c>
      <c r="N539" s="99"/>
      <c r="O539" s="85"/>
      <c r="P539" s="68"/>
    </row>
    <row r="540" hidden="1">
      <c r="A540" s="68"/>
      <c r="B540" s="79"/>
      <c r="C540" s="77"/>
      <c r="D540" s="79"/>
      <c r="E540" s="79"/>
      <c r="F540" s="93"/>
      <c r="G540" s="93"/>
      <c r="H540" s="103"/>
      <c r="I540" s="79"/>
      <c r="J540" s="100"/>
      <c r="K540" s="97" t="b">
        <f>IF(AND($M540=TRUE,$N540=TRUE),VLOOKUP($E540,RH!$B$47:$S$67,MONTH($G540)+6,FALSE))</f>
        <v>0</v>
      </c>
      <c r="L540" s="98">
        <f>IFERROR(IF(AND($M540=TRUE,$N540=TRUE),VLOOKUP($E540,RH!$B$47:$S$67,MONTH($G540)+6,FALSE)*$H540,0),0)</f>
        <v>0</v>
      </c>
      <c r="M540" s="99" t="b">
        <f t="shared" si="1"/>
        <v>0</v>
      </c>
      <c r="N540" s="99"/>
      <c r="O540" s="85"/>
      <c r="P540" s="68"/>
    </row>
    <row r="541" hidden="1">
      <c r="A541" s="68"/>
      <c r="B541" s="79"/>
      <c r="C541" s="77"/>
      <c r="D541" s="79"/>
      <c r="E541" s="79"/>
      <c r="F541" s="93"/>
      <c r="G541" s="93"/>
      <c r="H541" s="103"/>
      <c r="I541" s="79"/>
      <c r="J541" s="100"/>
      <c r="K541" s="97" t="b">
        <f>IF(AND($M541=TRUE,$N541=TRUE),VLOOKUP($E541,RH!$B$47:$S$67,MONTH($G541)+6,FALSE))</f>
        <v>0</v>
      </c>
      <c r="L541" s="98">
        <f>IFERROR(IF(AND($M541=TRUE,$N541=TRUE),VLOOKUP($E541,RH!$B$47:$S$67,MONTH($G541)+6,FALSE)*$H541,0),0)</f>
        <v>0</v>
      </c>
      <c r="M541" s="99" t="b">
        <f t="shared" si="1"/>
        <v>0</v>
      </c>
      <c r="N541" s="99"/>
      <c r="O541" s="85"/>
      <c r="P541" s="68"/>
    </row>
    <row r="542" hidden="1">
      <c r="A542" s="68"/>
      <c r="B542" s="79"/>
      <c r="C542" s="77"/>
      <c r="D542" s="79"/>
      <c r="E542" s="79"/>
      <c r="F542" s="93"/>
      <c r="G542" s="93"/>
      <c r="H542" s="103"/>
      <c r="I542" s="79"/>
      <c r="J542" s="100"/>
      <c r="K542" s="97" t="b">
        <f>IF(AND($M542=TRUE,$N542=TRUE),VLOOKUP($E542,RH!$B$47:$S$67,MONTH($G542)+6,FALSE))</f>
        <v>0</v>
      </c>
      <c r="L542" s="98">
        <f>IFERROR(IF(AND($M542=TRUE,$N542=TRUE),VLOOKUP($E542,RH!$B$47:$S$67,MONTH($G542)+6,FALSE)*$H542,0),0)</f>
        <v>0</v>
      </c>
      <c r="M542" s="99" t="b">
        <f t="shared" si="1"/>
        <v>0</v>
      </c>
      <c r="N542" s="99"/>
      <c r="O542" s="85"/>
      <c r="P542" s="68"/>
    </row>
    <row r="543" hidden="1">
      <c r="A543" s="68"/>
      <c r="B543" s="79"/>
      <c r="C543" s="77"/>
      <c r="D543" s="79"/>
      <c r="E543" s="79"/>
      <c r="F543" s="93"/>
      <c r="G543" s="93"/>
      <c r="H543" s="103"/>
      <c r="I543" s="79"/>
      <c r="J543" s="100"/>
      <c r="K543" s="97" t="b">
        <f>IF(AND($M543=TRUE,$N543=TRUE),VLOOKUP($E543,RH!$B$47:$S$67,MONTH($G543)+6,FALSE))</f>
        <v>0</v>
      </c>
      <c r="L543" s="98">
        <f>IFERROR(IF(AND($M543=TRUE,$N543=TRUE),VLOOKUP($E543,RH!$B$47:$S$67,MONTH($G543)+6,FALSE)*$H543,0),0)</f>
        <v>0</v>
      </c>
      <c r="M543" s="99" t="b">
        <f t="shared" si="1"/>
        <v>0</v>
      </c>
      <c r="N543" s="99"/>
      <c r="O543" s="85"/>
      <c r="P543" s="68"/>
    </row>
    <row r="544" hidden="1">
      <c r="A544" s="68"/>
      <c r="B544" s="79"/>
      <c r="C544" s="77"/>
      <c r="D544" s="79"/>
      <c r="E544" s="79"/>
      <c r="F544" s="93"/>
      <c r="G544" s="93"/>
      <c r="H544" s="103"/>
      <c r="I544" s="79"/>
      <c r="J544" s="100"/>
      <c r="K544" s="97" t="b">
        <f>IF(AND($M544=TRUE,$N544=TRUE),VLOOKUP($E544,RH!$B$47:$S$67,MONTH($G544)+6,FALSE))</f>
        <v>0</v>
      </c>
      <c r="L544" s="98">
        <f>IFERROR(IF(AND($M544=TRUE,$N544=TRUE),VLOOKUP($E544,RH!$B$47:$S$67,MONTH($G544)+6,FALSE)*$H544,0),0)</f>
        <v>0</v>
      </c>
      <c r="M544" s="99" t="b">
        <f t="shared" si="1"/>
        <v>0</v>
      </c>
      <c r="N544" s="99"/>
      <c r="O544" s="85"/>
      <c r="P544" s="68"/>
    </row>
    <row r="545" hidden="1">
      <c r="A545" s="68"/>
      <c r="B545" s="79"/>
      <c r="C545" s="77"/>
      <c r="D545" s="79"/>
      <c r="E545" s="79"/>
      <c r="F545" s="93"/>
      <c r="G545" s="93"/>
      <c r="H545" s="103"/>
      <c r="I545" s="79"/>
      <c r="J545" s="100"/>
      <c r="K545" s="97" t="b">
        <f>IF(AND($M545=TRUE,$N545=TRUE),VLOOKUP($E545,RH!$B$47:$S$67,MONTH($G545)+6,FALSE))</f>
        <v>0</v>
      </c>
      <c r="L545" s="98">
        <f>IFERROR(IF(AND($M545=TRUE,$N545=TRUE),VLOOKUP($E545,RH!$B$47:$S$67,MONTH($G545)+6,FALSE)*$H545,0),0)</f>
        <v>0</v>
      </c>
      <c r="M545" s="99" t="b">
        <f t="shared" si="1"/>
        <v>0</v>
      </c>
      <c r="N545" s="99"/>
      <c r="O545" s="85"/>
      <c r="P545" s="68"/>
    </row>
    <row r="546" hidden="1">
      <c r="A546" s="68"/>
      <c r="B546" s="79"/>
      <c r="C546" s="77"/>
      <c r="D546" s="79"/>
      <c r="E546" s="79"/>
      <c r="F546" s="93"/>
      <c r="G546" s="93"/>
      <c r="H546" s="103"/>
      <c r="I546" s="79"/>
      <c r="J546" s="100"/>
      <c r="K546" s="97" t="b">
        <f>IF(AND($M546=TRUE,$N546=TRUE),VLOOKUP($E546,RH!$B$47:$S$67,MONTH($G546)+6,FALSE))</f>
        <v>0</v>
      </c>
      <c r="L546" s="98">
        <f>IFERROR(IF(AND($M546=TRUE,$N546=TRUE),VLOOKUP($E546,RH!$B$47:$S$67,MONTH($G546)+6,FALSE)*$H546,0),0)</f>
        <v>0</v>
      </c>
      <c r="M546" s="99" t="b">
        <f t="shared" si="1"/>
        <v>0</v>
      </c>
      <c r="N546" s="99"/>
      <c r="O546" s="85"/>
      <c r="P546" s="68"/>
    </row>
    <row r="547" hidden="1">
      <c r="A547" s="68"/>
      <c r="B547" s="79"/>
      <c r="C547" s="77"/>
      <c r="D547" s="79"/>
      <c r="E547" s="79"/>
      <c r="F547" s="93"/>
      <c r="G547" s="93"/>
      <c r="H547" s="103"/>
      <c r="I547" s="79"/>
      <c r="J547" s="100"/>
      <c r="K547" s="97" t="b">
        <f>IF(AND($M547=TRUE,$N547=TRUE),VLOOKUP($E547,RH!$B$47:$S$67,MONTH($G547)+6,FALSE))</f>
        <v>0</v>
      </c>
      <c r="L547" s="98">
        <f>IFERROR(IF(AND($M547=TRUE,$N547=TRUE),VLOOKUP($E547,RH!$B$47:$S$67,MONTH($G547)+6,FALSE)*$H547,0),0)</f>
        <v>0</v>
      </c>
      <c r="M547" s="99" t="b">
        <f t="shared" si="1"/>
        <v>0</v>
      </c>
      <c r="N547" s="99"/>
      <c r="O547" s="85"/>
      <c r="P547" s="68"/>
    </row>
    <row r="548" hidden="1">
      <c r="A548" s="68"/>
      <c r="B548" s="79"/>
      <c r="C548" s="77"/>
      <c r="D548" s="79"/>
      <c r="E548" s="79"/>
      <c r="F548" s="93"/>
      <c r="G548" s="93"/>
      <c r="H548" s="103"/>
      <c r="I548" s="79"/>
      <c r="J548" s="100"/>
      <c r="K548" s="97" t="b">
        <f>IF(AND($M548=TRUE,$N548=TRUE),VLOOKUP($E548,RH!$B$47:$S$67,MONTH($G548)+6,FALSE))</f>
        <v>0</v>
      </c>
      <c r="L548" s="98">
        <f>IFERROR(IF(AND($M548=TRUE,$N548=TRUE),VLOOKUP($E548,RH!$B$47:$S$67,MONTH($G548)+6,FALSE)*$H548,0),0)</f>
        <v>0</v>
      </c>
      <c r="M548" s="99" t="b">
        <f t="shared" si="1"/>
        <v>0</v>
      </c>
      <c r="N548" s="99"/>
      <c r="O548" s="85"/>
      <c r="P548" s="68"/>
    </row>
    <row r="549" hidden="1">
      <c r="A549" s="68"/>
      <c r="B549" s="79"/>
      <c r="C549" s="77"/>
      <c r="D549" s="79"/>
      <c r="E549" s="79"/>
      <c r="F549" s="93"/>
      <c r="G549" s="93"/>
      <c r="H549" s="103"/>
      <c r="I549" s="79"/>
      <c r="J549" s="100"/>
      <c r="K549" s="97" t="b">
        <f>IF(AND($M549=TRUE,$N549=TRUE),VLOOKUP($E549,RH!$B$47:$S$67,MONTH($G549)+6,FALSE))</f>
        <v>0</v>
      </c>
      <c r="L549" s="98">
        <f>IFERROR(IF(AND($M549=TRUE,$N549=TRUE),VLOOKUP($E549,RH!$B$47:$S$67,MONTH($G549)+6,FALSE)*$H549,0),0)</f>
        <v>0</v>
      </c>
      <c r="M549" s="99" t="b">
        <f t="shared" si="1"/>
        <v>0</v>
      </c>
      <c r="N549" s="99"/>
      <c r="O549" s="85"/>
      <c r="P549" s="68"/>
    </row>
    <row r="550" hidden="1">
      <c r="A550" s="68"/>
      <c r="B550" s="79"/>
      <c r="C550" s="77"/>
      <c r="D550" s="79"/>
      <c r="E550" s="79"/>
      <c r="F550" s="93"/>
      <c r="G550" s="93"/>
      <c r="H550" s="103"/>
      <c r="I550" s="79"/>
      <c r="J550" s="100"/>
      <c r="K550" s="97" t="b">
        <f>IF(AND($M550=TRUE,$N550=TRUE),VLOOKUP($E550,RH!$B$47:$S$67,MONTH($G550)+6,FALSE))</f>
        <v>0</v>
      </c>
      <c r="L550" s="98">
        <f>IFERROR(IF(AND($M550=TRUE,$N550=TRUE),VLOOKUP($E550,RH!$B$47:$S$67,MONTH($G550)+6,FALSE)*$H550,0),0)</f>
        <v>0</v>
      </c>
      <c r="M550" s="99" t="b">
        <f t="shared" si="1"/>
        <v>0</v>
      </c>
      <c r="N550" s="99"/>
      <c r="O550" s="85"/>
      <c r="P550" s="68"/>
    </row>
    <row r="551" hidden="1">
      <c r="A551" s="68"/>
      <c r="B551" s="79"/>
      <c r="C551" s="77"/>
      <c r="D551" s="79"/>
      <c r="E551" s="79"/>
      <c r="F551" s="93"/>
      <c r="G551" s="93"/>
      <c r="H551" s="103"/>
      <c r="I551" s="79"/>
      <c r="J551" s="100"/>
      <c r="K551" s="97" t="b">
        <f>IF(AND($M551=TRUE,$N551=TRUE),VLOOKUP($E551,RH!$B$47:$S$67,MONTH($G551)+6,FALSE))</f>
        <v>0</v>
      </c>
      <c r="L551" s="98">
        <f>IFERROR(IF(AND($M551=TRUE,$N551=TRUE),VLOOKUP($E551,RH!$B$47:$S$67,MONTH($G551)+6,FALSE)*$H551,0),0)</f>
        <v>0</v>
      </c>
      <c r="M551" s="99" t="b">
        <f t="shared" si="1"/>
        <v>0</v>
      </c>
      <c r="N551" s="99"/>
      <c r="O551" s="85"/>
      <c r="P551" s="68"/>
    </row>
    <row r="552" hidden="1">
      <c r="A552" s="68"/>
      <c r="B552" s="79"/>
      <c r="C552" s="77"/>
      <c r="D552" s="79"/>
      <c r="E552" s="79"/>
      <c r="F552" s="93"/>
      <c r="G552" s="93"/>
      <c r="H552" s="103"/>
      <c r="I552" s="79"/>
      <c r="J552" s="100"/>
      <c r="K552" s="97" t="b">
        <f>IF(AND($M552=TRUE,$N552=TRUE),VLOOKUP($E552,RH!$B$47:$S$67,MONTH($G552)+6,FALSE))</f>
        <v>0</v>
      </c>
      <c r="L552" s="98">
        <f>IFERROR(IF(AND($M552=TRUE,$N552=TRUE),VLOOKUP($E552,RH!$B$47:$S$67,MONTH($G552)+6,FALSE)*$H552,0),0)</f>
        <v>0</v>
      </c>
      <c r="M552" s="99" t="b">
        <f t="shared" si="1"/>
        <v>0</v>
      </c>
      <c r="N552" s="99"/>
      <c r="O552" s="85"/>
      <c r="P552" s="68"/>
    </row>
    <row r="553" hidden="1">
      <c r="A553" s="68"/>
      <c r="B553" s="79"/>
      <c r="C553" s="77"/>
      <c r="D553" s="79"/>
      <c r="E553" s="79"/>
      <c r="F553" s="93"/>
      <c r="G553" s="93"/>
      <c r="H553" s="103"/>
      <c r="I553" s="79"/>
      <c r="J553" s="100"/>
      <c r="K553" s="97" t="b">
        <f>IF(AND($M553=TRUE,$N553=TRUE),VLOOKUP($E553,RH!$B$47:$S$67,MONTH($G553)+6,FALSE))</f>
        <v>0</v>
      </c>
      <c r="L553" s="98">
        <f>IFERROR(IF(AND($M553=TRUE,$N553=TRUE),VLOOKUP($E553,RH!$B$47:$S$67,MONTH($G553)+6,FALSE)*$H553,0),0)</f>
        <v>0</v>
      </c>
      <c r="M553" s="99" t="b">
        <f t="shared" si="1"/>
        <v>0</v>
      </c>
      <c r="N553" s="99"/>
      <c r="O553" s="85"/>
      <c r="P553" s="68"/>
    </row>
    <row r="554" hidden="1">
      <c r="A554" s="68"/>
      <c r="B554" s="79"/>
      <c r="C554" s="77"/>
      <c r="D554" s="79"/>
      <c r="E554" s="79"/>
      <c r="F554" s="93"/>
      <c r="G554" s="93"/>
      <c r="H554" s="103"/>
      <c r="I554" s="79"/>
      <c r="J554" s="100"/>
      <c r="K554" s="97" t="b">
        <f>IF(AND($M554=TRUE,$N554=TRUE),VLOOKUP($E554,RH!$B$47:$S$67,MONTH($G554)+6,FALSE))</f>
        <v>0</v>
      </c>
      <c r="L554" s="98">
        <f>IFERROR(IF(AND($M554=TRUE,$N554=TRUE),VLOOKUP($E554,RH!$B$47:$S$67,MONTH($G554)+6,FALSE)*$H554,0),0)</f>
        <v>0</v>
      </c>
      <c r="M554" s="99" t="b">
        <f t="shared" si="1"/>
        <v>0</v>
      </c>
      <c r="N554" s="99"/>
      <c r="O554" s="85"/>
      <c r="P554" s="68"/>
    </row>
    <row r="555" hidden="1">
      <c r="A555" s="68"/>
      <c r="B555" s="79"/>
      <c r="C555" s="77"/>
      <c r="D555" s="79"/>
      <c r="E555" s="79"/>
      <c r="F555" s="93"/>
      <c r="G555" s="93"/>
      <c r="H555" s="103"/>
      <c r="I555" s="79"/>
      <c r="J555" s="100"/>
      <c r="K555" s="97" t="b">
        <f>IF(AND($M555=TRUE,$N555=TRUE),VLOOKUP($E555,RH!$B$47:$S$67,MONTH($G555)+6,FALSE))</f>
        <v>0</v>
      </c>
      <c r="L555" s="98">
        <f>IFERROR(IF(AND($M555=TRUE,$N555=TRUE),VLOOKUP($E555,RH!$B$47:$S$67,MONTH($G555)+6,FALSE)*$H555,0),0)</f>
        <v>0</v>
      </c>
      <c r="M555" s="99" t="b">
        <f t="shared" si="1"/>
        <v>0</v>
      </c>
      <c r="N555" s="99"/>
      <c r="O555" s="85"/>
      <c r="P555" s="68"/>
    </row>
    <row r="556" hidden="1">
      <c r="A556" s="68"/>
      <c r="B556" s="79"/>
      <c r="C556" s="77"/>
      <c r="D556" s="79"/>
      <c r="E556" s="79"/>
      <c r="F556" s="93"/>
      <c r="G556" s="93"/>
      <c r="H556" s="103"/>
      <c r="I556" s="79"/>
      <c r="J556" s="100"/>
      <c r="K556" s="97" t="b">
        <f>IF(AND($M556=TRUE,$N556=TRUE),VLOOKUP($E556,RH!$B$47:$S$67,MONTH($G556)+6,FALSE))</f>
        <v>0</v>
      </c>
      <c r="L556" s="98">
        <f>IFERROR(IF(AND($M556=TRUE,$N556=TRUE),VLOOKUP($E556,RH!$B$47:$S$67,MONTH($G556)+6,FALSE)*$H556,0),0)</f>
        <v>0</v>
      </c>
      <c r="M556" s="99" t="b">
        <f t="shared" si="1"/>
        <v>0</v>
      </c>
      <c r="N556" s="99"/>
      <c r="O556" s="85"/>
      <c r="P556" s="68"/>
    </row>
    <row r="557" hidden="1">
      <c r="A557" s="68"/>
      <c r="B557" s="79"/>
      <c r="C557" s="77"/>
      <c r="D557" s="79"/>
      <c r="E557" s="79"/>
      <c r="F557" s="93"/>
      <c r="G557" s="93"/>
      <c r="H557" s="103"/>
      <c r="I557" s="79"/>
      <c r="J557" s="100"/>
      <c r="K557" s="97" t="b">
        <f>IF(AND($M557=TRUE,$N557=TRUE),VLOOKUP($E557,RH!$B$47:$S$67,MONTH($G557)+6,FALSE))</f>
        <v>0</v>
      </c>
      <c r="L557" s="98">
        <f>IFERROR(IF(AND($M557=TRUE,$N557=TRUE),VLOOKUP($E557,RH!$B$47:$S$67,MONTH($G557)+6,FALSE)*$H557,0),0)</f>
        <v>0</v>
      </c>
      <c r="M557" s="99" t="b">
        <f t="shared" si="1"/>
        <v>0</v>
      </c>
      <c r="N557" s="99"/>
      <c r="O557" s="85"/>
      <c r="P557" s="68"/>
    </row>
    <row r="558" hidden="1">
      <c r="A558" s="68"/>
      <c r="B558" s="79"/>
      <c r="C558" s="77"/>
      <c r="D558" s="79"/>
      <c r="E558" s="79"/>
      <c r="F558" s="93"/>
      <c r="G558" s="93"/>
      <c r="H558" s="103"/>
      <c r="I558" s="79"/>
      <c r="J558" s="100"/>
      <c r="K558" s="97" t="b">
        <f>IF(AND($M558=TRUE,$N558=TRUE),VLOOKUP($E558,RH!$B$47:$S$67,MONTH($G558)+6,FALSE))</f>
        <v>0</v>
      </c>
      <c r="L558" s="98">
        <f>IFERROR(IF(AND($M558=TRUE,$N558=TRUE),VLOOKUP($E558,RH!$B$47:$S$67,MONTH($G558)+6,FALSE)*$H558,0),0)</f>
        <v>0</v>
      </c>
      <c r="M558" s="99" t="b">
        <f t="shared" si="1"/>
        <v>0</v>
      </c>
      <c r="N558" s="99"/>
      <c r="O558" s="85"/>
      <c r="P558" s="68"/>
    </row>
    <row r="559" hidden="1">
      <c r="A559" s="68"/>
      <c r="B559" s="79"/>
      <c r="C559" s="77"/>
      <c r="D559" s="79"/>
      <c r="E559" s="79"/>
      <c r="F559" s="93"/>
      <c r="G559" s="93"/>
      <c r="H559" s="103"/>
      <c r="I559" s="79"/>
      <c r="J559" s="100"/>
      <c r="K559" s="97" t="b">
        <f>IF(AND($M559=TRUE,$N559=TRUE),VLOOKUP($E559,RH!$B$47:$S$67,MONTH($G559)+6,FALSE))</f>
        <v>0</v>
      </c>
      <c r="L559" s="98">
        <f>IFERROR(IF(AND($M559=TRUE,$N559=TRUE),VLOOKUP($E559,RH!$B$47:$S$67,MONTH($G559)+6,FALSE)*$H559,0),0)</f>
        <v>0</v>
      </c>
      <c r="M559" s="99" t="b">
        <f t="shared" si="1"/>
        <v>0</v>
      </c>
      <c r="N559" s="99"/>
      <c r="O559" s="85"/>
      <c r="P559" s="68"/>
    </row>
    <row r="560" hidden="1">
      <c r="A560" s="68"/>
      <c r="B560" s="79"/>
      <c r="C560" s="77"/>
      <c r="D560" s="79"/>
      <c r="E560" s="79"/>
      <c r="F560" s="93"/>
      <c r="G560" s="93"/>
      <c r="H560" s="103"/>
      <c r="I560" s="79"/>
      <c r="J560" s="100"/>
      <c r="K560" s="97" t="b">
        <f>IF(AND($M560=TRUE,$N560=TRUE),VLOOKUP($E560,RH!$B$47:$S$67,MONTH($G560)+6,FALSE))</f>
        <v>0</v>
      </c>
      <c r="L560" s="98">
        <f>IFERROR(IF(AND($M560=TRUE,$N560=TRUE),VLOOKUP($E560,RH!$B$47:$S$67,MONTH($G560)+6,FALSE)*$H560,0),0)</f>
        <v>0</v>
      </c>
      <c r="M560" s="99" t="b">
        <f t="shared" si="1"/>
        <v>0</v>
      </c>
      <c r="N560" s="99"/>
      <c r="O560" s="85"/>
      <c r="P560" s="68"/>
    </row>
    <row r="561" hidden="1">
      <c r="A561" s="68"/>
      <c r="B561" s="79"/>
      <c r="C561" s="77"/>
      <c r="D561" s="79"/>
      <c r="E561" s="79"/>
      <c r="F561" s="93"/>
      <c r="G561" s="93"/>
      <c r="H561" s="103"/>
      <c r="I561" s="79"/>
      <c r="J561" s="100"/>
      <c r="K561" s="97" t="b">
        <f>IF(AND($M561=TRUE,$N561=TRUE),VLOOKUP($E561,RH!$B$47:$S$67,MONTH($G561)+6,FALSE))</f>
        <v>0</v>
      </c>
      <c r="L561" s="98">
        <f>IFERROR(IF(AND($M561=TRUE,$N561=TRUE),VLOOKUP($E561,RH!$B$47:$S$67,MONTH($G561)+6,FALSE)*$H561,0),0)</f>
        <v>0</v>
      </c>
      <c r="M561" s="99" t="b">
        <f t="shared" si="1"/>
        <v>0</v>
      </c>
      <c r="N561" s="99"/>
      <c r="O561" s="85"/>
      <c r="P561" s="68"/>
    </row>
    <row r="562" hidden="1">
      <c r="A562" s="68"/>
      <c r="B562" s="79"/>
      <c r="C562" s="77"/>
      <c r="D562" s="79"/>
      <c r="E562" s="79"/>
      <c r="F562" s="93"/>
      <c r="G562" s="93"/>
      <c r="H562" s="103"/>
      <c r="I562" s="79"/>
      <c r="J562" s="100"/>
      <c r="K562" s="97" t="b">
        <f>IF(AND($M562=TRUE,$N562=TRUE),VLOOKUP($E562,RH!$B$47:$S$67,MONTH($G562)+6,FALSE))</f>
        <v>0</v>
      </c>
      <c r="L562" s="98">
        <f>IFERROR(IF(AND($M562=TRUE,$N562=TRUE),VLOOKUP($E562,RH!$B$47:$S$67,MONTH($G562)+6,FALSE)*$H562,0),0)</f>
        <v>0</v>
      </c>
      <c r="M562" s="99" t="b">
        <f t="shared" si="1"/>
        <v>0</v>
      </c>
      <c r="N562" s="99"/>
      <c r="O562" s="85"/>
      <c r="P562" s="68"/>
    </row>
    <row r="563" hidden="1">
      <c r="A563" s="68"/>
      <c r="B563" s="79"/>
      <c r="C563" s="77"/>
      <c r="D563" s="79"/>
      <c r="E563" s="79"/>
      <c r="F563" s="93"/>
      <c r="G563" s="93"/>
      <c r="H563" s="103"/>
      <c r="I563" s="79"/>
      <c r="J563" s="100"/>
      <c r="K563" s="97" t="b">
        <f>IF(AND($M563=TRUE,$N563=TRUE),VLOOKUP($E563,RH!$B$47:$S$67,MONTH($G563)+6,FALSE))</f>
        <v>0</v>
      </c>
      <c r="L563" s="98">
        <f>IFERROR(IF(AND($M563=TRUE,$N563=TRUE),VLOOKUP($E563,RH!$B$47:$S$67,MONTH($G563)+6,FALSE)*$H563,0),0)</f>
        <v>0</v>
      </c>
      <c r="M563" s="99" t="b">
        <f t="shared" si="1"/>
        <v>0</v>
      </c>
      <c r="N563" s="99"/>
      <c r="O563" s="85"/>
      <c r="P563" s="68"/>
    </row>
    <row r="564" hidden="1">
      <c r="A564" s="68"/>
      <c r="B564" s="79"/>
      <c r="C564" s="77"/>
      <c r="D564" s="79"/>
      <c r="E564" s="79"/>
      <c r="F564" s="93"/>
      <c r="G564" s="93"/>
      <c r="H564" s="103"/>
      <c r="I564" s="79"/>
      <c r="J564" s="100"/>
      <c r="K564" s="97" t="b">
        <f>IF(AND($M564=TRUE,$N564=TRUE),VLOOKUP($E564,RH!$B$47:$S$67,MONTH($G564)+6,FALSE))</f>
        <v>0</v>
      </c>
      <c r="L564" s="98">
        <f>IFERROR(IF(AND($M564=TRUE,$N564=TRUE),VLOOKUP($E564,RH!$B$47:$S$67,MONTH($G564)+6,FALSE)*$H564,0),0)</f>
        <v>0</v>
      </c>
      <c r="M564" s="99" t="b">
        <f t="shared" si="1"/>
        <v>0</v>
      </c>
      <c r="N564" s="99"/>
      <c r="O564" s="85"/>
      <c r="P564" s="68"/>
    </row>
    <row r="565" hidden="1">
      <c r="A565" s="68"/>
      <c r="B565" s="79"/>
      <c r="C565" s="77"/>
      <c r="D565" s="79"/>
      <c r="E565" s="79"/>
      <c r="F565" s="93"/>
      <c r="G565" s="93"/>
      <c r="H565" s="103"/>
      <c r="I565" s="79"/>
      <c r="J565" s="100"/>
      <c r="K565" s="97" t="b">
        <f>IF(AND($M565=TRUE,$N565=TRUE),VLOOKUP($E565,RH!$B$47:$S$67,MONTH($G565)+6,FALSE))</f>
        <v>0</v>
      </c>
      <c r="L565" s="98">
        <f>IFERROR(IF(AND($M565=TRUE,$N565=TRUE),VLOOKUP($E565,RH!$B$47:$S$67,MONTH($G565)+6,FALSE)*$H565,0),0)</f>
        <v>0</v>
      </c>
      <c r="M565" s="99" t="b">
        <f t="shared" si="1"/>
        <v>0</v>
      </c>
      <c r="N565" s="99"/>
      <c r="O565" s="85"/>
      <c r="P565" s="68"/>
    </row>
    <row r="566" hidden="1">
      <c r="A566" s="68"/>
      <c r="B566" s="79"/>
      <c r="C566" s="77"/>
      <c r="D566" s="79"/>
      <c r="E566" s="79"/>
      <c r="F566" s="93"/>
      <c r="G566" s="93"/>
      <c r="H566" s="103"/>
      <c r="I566" s="79"/>
      <c r="J566" s="100"/>
      <c r="K566" s="97" t="b">
        <f>IF(AND($M566=TRUE,$N566=TRUE),VLOOKUP($E566,RH!$B$47:$S$67,MONTH($G566)+6,FALSE))</f>
        <v>0</v>
      </c>
      <c r="L566" s="98">
        <f>IFERROR(IF(AND($M566=TRUE,$N566=TRUE),VLOOKUP($E566,RH!$B$47:$S$67,MONTH($G566)+6,FALSE)*$H566,0),0)</f>
        <v>0</v>
      </c>
      <c r="M566" s="99" t="b">
        <f t="shared" si="1"/>
        <v>0</v>
      </c>
      <c r="N566" s="99"/>
      <c r="O566" s="85"/>
      <c r="P566" s="68"/>
    </row>
    <row r="567" hidden="1">
      <c r="A567" s="68"/>
      <c r="B567" s="79"/>
      <c r="C567" s="77"/>
      <c r="D567" s="79"/>
      <c r="E567" s="79"/>
      <c r="F567" s="93"/>
      <c r="G567" s="93"/>
      <c r="H567" s="103"/>
      <c r="I567" s="79"/>
      <c r="J567" s="100"/>
      <c r="K567" s="97" t="b">
        <f>IF(AND($M567=TRUE,$N567=TRUE),VLOOKUP($E567,RH!$B$47:$S$67,MONTH($G567)+6,FALSE))</f>
        <v>0</v>
      </c>
      <c r="L567" s="98">
        <f>IFERROR(IF(AND($M567=TRUE,$N567=TRUE),VLOOKUP($E567,RH!$B$47:$S$67,MONTH($G567)+6,FALSE)*$H567,0),0)</f>
        <v>0</v>
      </c>
      <c r="M567" s="99" t="b">
        <f t="shared" si="1"/>
        <v>0</v>
      </c>
      <c r="N567" s="99"/>
      <c r="O567" s="85"/>
      <c r="P567" s="68"/>
    </row>
    <row r="568" hidden="1">
      <c r="A568" s="68"/>
      <c r="B568" s="79"/>
      <c r="C568" s="77"/>
      <c r="D568" s="79"/>
      <c r="E568" s="79"/>
      <c r="F568" s="93"/>
      <c r="G568" s="93"/>
      <c r="H568" s="103"/>
      <c r="I568" s="79"/>
      <c r="J568" s="100"/>
      <c r="K568" s="97" t="b">
        <f>IF(AND($M568=TRUE,$N568=TRUE),VLOOKUP($E568,RH!$B$47:$S$67,MONTH($G568)+6,FALSE))</f>
        <v>0</v>
      </c>
      <c r="L568" s="98">
        <f>IFERROR(IF(AND($M568=TRUE,$N568=TRUE),VLOOKUP($E568,RH!$B$47:$S$67,MONTH($G568)+6,FALSE)*$H568,0),0)</f>
        <v>0</v>
      </c>
      <c r="M568" s="99" t="b">
        <f t="shared" si="1"/>
        <v>0</v>
      </c>
      <c r="N568" s="99"/>
      <c r="O568" s="85"/>
      <c r="P568" s="68"/>
    </row>
    <row r="569" hidden="1">
      <c r="A569" s="68"/>
      <c r="B569" s="79"/>
      <c r="C569" s="77"/>
      <c r="D569" s="79"/>
      <c r="E569" s="79"/>
      <c r="F569" s="93"/>
      <c r="G569" s="93"/>
      <c r="H569" s="103"/>
      <c r="I569" s="79"/>
      <c r="J569" s="100"/>
      <c r="K569" s="97" t="b">
        <f>IF(AND($M569=TRUE,$N569=TRUE),VLOOKUP($E569,RH!$B$47:$S$67,MONTH($G569)+6,FALSE))</f>
        <v>0</v>
      </c>
      <c r="L569" s="98">
        <f>IFERROR(IF(AND($M569=TRUE,$N569=TRUE),VLOOKUP($E569,RH!$B$47:$S$67,MONTH($G569)+6,FALSE)*$H569,0),0)</f>
        <v>0</v>
      </c>
      <c r="M569" s="99" t="b">
        <f t="shared" si="1"/>
        <v>0</v>
      </c>
      <c r="N569" s="99"/>
      <c r="O569" s="85"/>
      <c r="P569" s="68"/>
    </row>
    <row r="570" hidden="1">
      <c r="A570" s="68"/>
      <c r="B570" s="79"/>
      <c r="C570" s="77"/>
      <c r="D570" s="79"/>
      <c r="E570" s="79"/>
      <c r="F570" s="93"/>
      <c r="G570" s="93"/>
      <c r="H570" s="103"/>
      <c r="I570" s="79"/>
      <c r="J570" s="100"/>
      <c r="K570" s="97" t="b">
        <f>IF(AND($M570=TRUE,$N570=TRUE),VLOOKUP($E570,RH!$B$47:$S$67,MONTH($G570)+6,FALSE))</f>
        <v>0</v>
      </c>
      <c r="L570" s="98">
        <f>IFERROR(IF(AND($M570=TRUE,$N570=TRUE),VLOOKUP($E570,RH!$B$47:$S$67,MONTH($G570)+6,FALSE)*$H570,0),0)</f>
        <v>0</v>
      </c>
      <c r="M570" s="99" t="b">
        <f t="shared" si="1"/>
        <v>0</v>
      </c>
      <c r="N570" s="99"/>
      <c r="O570" s="85"/>
      <c r="P570" s="68"/>
    </row>
    <row r="571" hidden="1">
      <c r="A571" s="68"/>
      <c r="B571" s="79"/>
      <c r="C571" s="77"/>
      <c r="D571" s="79"/>
      <c r="E571" s="79"/>
      <c r="F571" s="93"/>
      <c r="G571" s="93"/>
      <c r="H571" s="103"/>
      <c r="I571" s="79"/>
      <c r="J571" s="100"/>
      <c r="K571" s="97" t="b">
        <f>IF(AND($M571=TRUE,$N571=TRUE),VLOOKUP($E571,RH!$B$47:$S$67,MONTH($G571)+6,FALSE))</f>
        <v>0</v>
      </c>
      <c r="L571" s="98">
        <f>IFERROR(IF(AND($M571=TRUE,$N571=TRUE),VLOOKUP($E571,RH!$B$47:$S$67,MONTH($G571)+6,FALSE)*$H571,0),0)</f>
        <v>0</v>
      </c>
      <c r="M571" s="99" t="b">
        <f t="shared" si="1"/>
        <v>0</v>
      </c>
      <c r="N571" s="99"/>
      <c r="O571" s="85"/>
      <c r="P571" s="68"/>
    </row>
    <row r="572" hidden="1">
      <c r="A572" s="68"/>
      <c r="B572" s="79"/>
      <c r="C572" s="77"/>
      <c r="D572" s="79"/>
      <c r="E572" s="79"/>
      <c r="F572" s="93"/>
      <c r="G572" s="93"/>
      <c r="H572" s="103"/>
      <c r="I572" s="79"/>
      <c r="J572" s="100"/>
      <c r="K572" s="97" t="b">
        <f>IF(AND($M572=TRUE,$N572=TRUE),VLOOKUP($E572,RH!$B$47:$S$67,MONTH($G572)+6,FALSE))</f>
        <v>0</v>
      </c>
      <c r="L572" s="98">
        <f>IFERROR(IF(AND($M572=TRUE,$N572=TRUE),VLOOKUP($E572,RH!$B$47:$S$67,MONTH($G572)+6,FALSE)*$H572,0),0)</f>
        <v>0</v>
      </c>
      <c r="M572" s="99" t="b">
        <f t="shared" si="1"/>
        <v>0</v>
      </c>
      <c r="N572" s="99"/>
      <c r="O572" s="85"/>
      <c r="P572" s="68"/>
    </row>
    <row r="573" hidden="1">
      <c r="A573" s="68"/>
      <c r="B573" s="79"/>
      <c r="C573" s="77"/>
      <c r="D573" s="79"/>
      <c r="E573" s="79"/>
      <c r="F573" s="93"/>
      <c r="G573" s="93"/>
      <c r="H573" s="103"/>
      <c r="I573" s="79"/>
      <c r="J573" s="100"/>
      <c r="K573" s="97" t="b">
        <f>IF(AND($M573=TRUE,$N573=TRUE),VLOOKUP($E573,RH!$B$47:$S$67,MONTH($G573)+6,FALSE))</f>
        <v>0</v>
      </c>
      <c r="L573" s="98">
        <f>IFERROR(IF(AND($M573=TRUE,$N573=TRUE),VLOOKUP($E573,RH!$B$47:$S$67,MONTH($G573)+6,FALSE)*$H573,0),0)</f>
        <v>0</v>
      </c>
      <c r="M573" s="99" t="b">
        <f t="shared" si="1"/>
        <v>0</v>
      </c>
      <c r="N573" s="99"/>
      <c r="O573" s="85"/>
      <c r="P573" s="68"/>
    </row>
    <row r="574" hidden="1">
      <c r="A574" s="68"/>
      <c r="B574" s="79"/>
      <c r="C574" s="77"/>
      <c r="D574" s="79"/>
      <c r="E574" s="79"/>
      <c r="F574" s="93"/>
      <c r="G574" s="93"/>
      <c r="H574" s="103"/>
      <c r="I574" s="79"/>
      <c r="J574" s="100"/>
      <c r="K574" s="97" t="b">
        <f>IF(AND($M574=TRUE,$N574=TRUE),VLOOKUP($E574,RH!$B$47:$S$67,MONTH($G574)+6,FALSE))</f>
        <v>0</v>
      </c>
      <c r="L574" s="98">
        <f>IFERROR(IF(AND($M574=TRUE,$N574=TRUE),VLOOKUP($E574,RH!$B$47:$S$67,MONTH($G574)+6,FALSE)*$H574,0),0)</f>
        <v>0</v>
      </c>
      <c r="M574" s="99" t="b">
        <f t="shared" si="1"/>
        <v>0</v>
      </c>
      <c r="N574" s="99"/>
      <c r="O574" s="85"/>
      <c r="P574" s="68"/>
    </row>
    <row r="575" hidden="1">
      <c r="A575" s="68"/>
      <c r="B575" s="79"/>
      <c r="C575" s="77"/>
      <c r="D575" s="79"/>
      <c r="E575" s="79"/>
      <c r="F575" s="93"/>
      <c r="G575" s="93"/>
      <c r="H575" s="103"/>
      <c r="I575" s="79"/>
      <c r="J575" s="100"/>
      <c r="K575" s="97" t="b">
        <f>IF(AND($M575=TRUE,$N575=TRUE),VLOOKUP($E575,RH!$B$47:$S$67,MONTH($G575)+6,FALSE))</f>
        <v>0</v>
      </c>
      <c r="L575" s="98">
        <f>IFERROR(IF(AND($M575=TRUE,$N575=TRUE),VLOOKUP($E575,RH!$B$47:$S$67,MONTH($G575)+6,FALSE)*$H575,0),0)</f>
        <v>0</v>
      </c>
      <c r="M575" s="99" t="b">
        <f t="shared" si="1"/>
        <v>0</v>
      </c>
      <c r="N575" s="99"/>
      <c r="O575" s="85"/>
      <c r="P575" s="68"/>
    </row>
    <row r="576" hidden="1">
      <c r="A576" s="68"/>
      <c r="B576" s="79"/>
      <c r="C576" s="77"/>
      <c r="D576" s="79"/>
      <c r="E576" s="79"/>
      <c r="F576" s="93"/>
      <c r="G576" s="93"/>
      <c r="H576" s="103"/>
      <c r="I576" s="79"/>
      <c r="J576" s="100"/>
      <c r="K576" s="97" t="b">
        <f>IF(AND($M576=TRUE,$N576=TRUE),VLOOKUP($E576,RH!$B$47:$S$67,MONTH($G576)+6,FALSE))</f>
        <v>0</v>
      </c>
      <c r="L576" s="98">
        <f>IFERROR(IF(AND($M576=TRUE,$N576=TRUE),VLOOKUP($E576,RH!$B$47:$S$67,MONTH($G576)+6,FALSE)*$H576,0),0)</f>
        <v>0</v>
      </c>
      <c r="M576" s="99" t="b">
        <f t="shared" si="1"/>
        <v>0</v>
      </c>
      <c r="N576" s="99"/>
      <c r="O576" s="85"/>
      <c r="P576" s="68"/>
    </row>
    <row r="577" hidden="1">
      <c r="A577" s="68"/>
      <c r="B577" s="79"/>
      <c r="C577" s="77"/>
      <c r="D577" s="79"/>
      <c r="E577" s="79"/>
      <c r="F577" s="93"/>
      <c r="G577" s="93"/>
      <c r="H577" s="103"/>
      <c r="I577" s="79"/>
      <c r="J577" s="100"/>
      <c r="K577" s="97" t="b">
        <f>IF(AND($M577=TRUE,$N577=TRUE),VLOOKUP($E577,RH!$B$47:$S$67,MONTH($G577)+6,FALSE))</f>
        <v>0</v>
      </c>
      <c r="L577" s="98">
        <f>IFERROR(IF(AND($M577=TRUE,$N577=TRUE),VLOOKUP($E577,RH!$B$47:$S$67,MONTH($G577)+6,FALSE)*$H577,0),0)</f>
        <v>0</v>
      </c>
      <c r="M577" s="99" t="b">
        <f t="shared" si="1"/>
        <v>0</v>
      </c>
      <c r="N577" s="99"/>
      <c r="O577" s="85"/>
      <c r="P577" s="68"/>
    </row>
    <row r="578" hidden="1">
      <c r="A578" s="68"/>
      <c r="B578" s="79"/>
      <c r="C578" s="77"/>
      <c r="D578" s="79"/>
      <c r="E578" s="79"/>
      <c r="F578" s="93"/>
      <c r="G578" s="93"/>
      <c r="H578" s="103"/>
      <c r="I578" s="79"/>
      <c r="J578" s="100"/>
      <c r="K578" s="97" t="b">
        <f>IF(AND($M578=TRUE,$N578=TRUE),VLOOKUP($E578,RH!$B$47:$S$67,MONTH($G578)+6,FALSE))</f>
        <v>0</v>
      </c>
      <c r="L578" s="98">
        <f>IFERROR(IF(AND($M578=TRUE,$N578=TRUE),VLOOKUP($E578,RH!$B$47:$S$67,MONTH($G578)+6,FALSE)*$H578,0),0)</f>
        <v>0</v>
      </c>
      <c r="M578" s="99" t="b">
        <f t="shared" si="1"/>
        <v>0</v>
      </c>
      <c r="N578" s="99"/>
      <c r="O578" s="85"/>
      <c r="P578" s="68"/>
    </row>
    <row r="579" hidden="1">
      <c r="A579" s="68"/>
      <c r="B579" s="79"/>
      <c r="C579" s="77"/>
      <c r="D579" s="79"/>
      <c r="E579" s="79"/>
      <c r="F579" s="93"/>
      <c r="G579" s="93"/>
      <c r="H579" s="103"/>
      <c r="I579" s="79"/>
      <c r="J579" s="100"/>
      <c r="K579" s="97" t="b">
        <f>IF(AND($M579=TRUE,$N579=TRUE),VLOOKUP($E579,RH!$B$47:$S$67,MONTH($G579)+6,FALSE))</f>
        <v>0</v>
      </c>
      <c r="L579" s="98">
        <f>IFERROR(IF(AND($M579=TRUE,$N579=TRUE),VLOOKUP($E579,RH!$B$47:$S$67,MONTH($G579)+6,FALSE)*$H579,0),0)</f>
        <v>0</v>
      </c>
      <c r="M579" s="99" t="b">
        <f t="shared" si="1"/>
        <v>0</v>
      </c>
      <c r="N579" s="99"/>
      <c r="O579" s="85"/>
      <c r="P579" s="68"/>
    </row>
    <row r="580" hidden="1">
      <c r="A580" s="68"/>
      <c r="B580" s="79"/>
      <c r="C580" s="77"/>
      <c r="D580" s="79"/>
      <c r="E580" s="79"/>
      <c r="F580" s="93"/>
      <c r="G580" s="93"/>
      <c r="H580" s="103"/>
      <c r="I580" s="79"/>
      <c r="J580" s="100"/>
      <c r="K580" s="97" t="b">
        <f>IF(AND($M580=TRUE,$N580=TRUE),VLOOKUP($E580,RH!$B$47:$S$67,MONTH($G580)+6,FALSE))</f>
        <v>0</v>
      </c>
      <c r="L580" s="98">
        <f>IFERROR(IF(AND($M580=TRUE,$N580=TRUE),VLOOKUP($E580,RH!$B$47:$S$67,MONTH($G580)+6,FALSE)*$H580,0),0)</f>
        <v>0</v>
      </c>
      <c r="M580" s="99" t="b">
        <f t="shared" si="1"/>
        <v>0</v>
      </c>
      <c r="N580" s="99"/>
      <c r="O580" s="85"/>
      <c r="P580" s="68"/>
    </row>
    <row r="581" hidden="1">
      <c r="A581" s="68"/>
      <c r="B581" s="79"/>
      <c r="C581" s="77"/>
      <c r="D581" s="79"/>
      <c r="E581" s="79"/>
      <c r="F581" s="93"/>
      <c r="G581" s="93"/>
      <c r="H581" s="103"/>
      <c r="I581" s="79"/>
      <c r="J581" s="100"/>
      <c r="K581" s="97" t="b">
        <f>IF(AND($M581=TRUE,$N581=TRUE),VLOOKUP($E581,RH!$B$47:$S$67,MONTH($G581)+6,FALSE))</f>
        <v>0</v>
      </c>
      <c r="L581" s="98">
        <f>IFERROR(IF(AND($M581=TRUE,$N581=TRUE),VLOOKUP($E581,RH!$B$47:$S$67,MONTH($G581)+6,FALSE)*$H581,0),0)</f>
        <v>0</v>
      </c>
      <c r="M581" s="99" t="b">
        <f t="shared" si="1"/>
        <v>0</v>
      </c>
      <c r="N581" s="99"/>
      <c r="O581" s="85"/>
      <c r="P581" s="68"/>
    </row>
    <row r="582" hidden="1">
      <c r="A582" s="68"/>
      <c r="B582" s="79"/>
      <c r="C582" s="77"/>
      <c r="D582" s="79"/>
      <c r="E582" s="79"/>
      <c r="F582" s="93"/>
      <c r="G582" s="93"/>
      <c r="H582" s="103"/>
      <c r="I582" s="79"/>
      <c r="J582" s="100"/>
      <c r="K582" s="97" t="b">
        <f>IF(AND($M582=TRUE,$N582=TRUE),VLOOKUP($E582,RH!$B$47:$S$67,MONTH($G582)+6,FALSE))</f>
        <v>0</v>
      </c>
      <c r="L582" s="98">
        <f>IFERROR(IF(AND($M582=TRUE,$N582=TRUE),VLOOKUP($E582,RH!$B$47:$S$67,MONTH($G582)+6,FALSE)*$H582,0),0)</f>
        <v>0</v>
      </c>
      <c r="M582" s="99" t="b">
        <f t="shared" si="1"/>
        <v>0</v>
      </c>
      <c r="N582" s="99"/>
      <c r="O582" s="85"/>
      <c r="P582" s="68"/>
    </row>
    <row r="583" hidden="1">
      <c r="A583" s="68"/>
      <c r="B583" s="79"/>
      <c r="C583" s="77"/>
      <c r="D583" s="79"/>
      <c r="E583" s="79"/>
      <c r="F583" s="93"/>
      <c r="G583" s="93"/>
      <c r="H583" s="103"/>
      <c r="I583" s="79"/>
      <c r="J583" s="100"/>
      <c r="K583" s="97" t="b">
        <f>IF(AND($M583=TRUE,$N583=TRUE),VLOOKUP($E583,RH!$B$47:$S$67,MONTH($G583)+6,FALSE))</f>
        <v>0</v>
      </c>
      <c r="L583" s="98">
        <f>IFERROR(IF(AND($M583=TRUE,$N583=TRUE),VLOOKUP($E583,RH!$B$47:$S$67,MONTH($G583)+6,FALSE)*$H583,0),0)</f>
        <v>0</v>
      </c>
      <c r="M583" s="99" t="b">
        <f t="shared" si="1"/>
        <v>0</v>
      </c>
      <c r="N583" s="99"/>
      <c r="O583" s="85"/>
      <c r="P583" s="68"/>
    </row>
    <row r="584" hidden="1">
      <c r="A584" s="68"/>
      <c r="B584" s="79"/>
      <c r="C584" s="77"/>
      <c r="D584" s="79"/>
      <c r="E584" s="79"/>
      <c r="F584" s="93"/>
      <c r="G584" s="93"/>
      <c r="H584" s="103"/>
      <c r="I584" s="79"/>
      <c r="J584" s="100"/>
      <c r="K584" s="97" t="b">
        <f>IF(AND($M584=TRUE,$N584=TRUE),VLOOKUP($E584,RH!$B$47:$S$67,MONTH($G584)+6,FALSE))</f>
        <v>0</v>
      </c>
      <c r="L584" s="98">
        <f>IFERROR(IF(AND($M584=TRUE,$N584=TRUE),VLOOKUP($E584,RH!$B$47:$S$67,MONTH($G584)+6,FALSE)*$H584,0),0)</f>
        <v>0</v>
      </c>
      <c r="M584" s="99" t="b">
        <f t="shared" si="1"/>
        <v>0</v>
      </c>
      <c r="N584" s="99"/>
      <c r="O584" s="85"/>
      <c r="P584" s="68"/>
    </row>
    <row r="585" hidden="1">
      <c r="A585" s="68"/>
      <c r="B585" s="79"/>
      <c r="C585" s="77"/>
      <c r="D585" s="79"/>
      <c r="E585" s="79"/>
      <c r="F585" s="93"/>
      <c r="G585" s="93"/>
      <c r="H585" s="103"/>
      <c r="I585" s="79"/>
      <c r="J585" s="100"/>
      <c r="K585" s="97" t="b">
        <f>IF(AND($M585=TRUE,$N585=TRUE),VLOOKUP($E585,RH!$B$47:$S$67,MONTH($G585)+6,FALSE))</f>
        <v>0</v>
      </c>
      <c r="L585" s="98">
        <f>IFERROR(IF(AND($M585=TRUE,$N585=TRUE),VLOOKUP($E585,RH!$B$47:$S$67,MONTH($G585)+6,FALSE)*$H585,0),0)</f>
        <v>0</v>
      </c>
      <c r="M585" s="99" t="b">
        <f t="shared" si="1"/>
        <v>0</v>
      </c>
      <c r="N585" s="99"/>
      <c r="O585" s="85"/>
      <c r="P585" s="68"/>
    </row>
    <row r="586" hidden="1">
      <c r="A586" s="68"/>
      <c r="B586" s="79"/>
      <c r="C586" s="77"/>
      <c r="D586" s="79"/>
      <c r="E586" s="79"/>
      <c r="F586" s="93"/>
      <c r="G586" s="93"/>
      <c r="H586" s="103"/>
      <c r="I586" s="79"/>
      <c r="J586" s="100"/>
      <c r="K586" s="97" t="b">
        <f>IF(AND($M586=TRUE,$N586=TRUE),VLOOKUP($E586,RH!$B$47:$S$67,MONTH($G586)+6,FALSE))</f>
        <v>0</v>
      </c>
      <c r="L586" s="98">
        <f>IFERROR(IF(AND($M586=TRUE,$N586=TRUE),VLOOKUP($E586,RH!$B$47:$S$67,MONTH($G586)+6,FALSE)*$H586,0),0)</f>
        <v>0</v>
      </c>
      <c r="M586" s="99" t="b">
        <f t="shared" si="1"/>
        <v>0</v>
      </c>
      <c r="N586" s="99"/>
      <c r="O586" s="85"/>
      <c r="P586" s="68"/>
    </row>
    <row r="587" hidden="1">
      <c r="A587" s="68"/>
      <c r="B587" s="79"/>
      <c r="C587" s="77"/>
      <c r="D587" s="79"/>
      <c r="E587" s="79"/>
      <c r="F587" s="93"/>
      <c r="G587" s="93"/>
      <c r="H587" s="103"/>
      <c r="I587" s="79"/>
      <c r="J587" s="100"/>
      <c r="K587" s="97" t="b">
        <f>IF(AND($M587=TRUE,$N587=TRUE),VLOOKUP($E587,RH!$B$47:$S$67,MONTH($G587)+6,FALSE))</f>
        <v>0</v>
      </c>
      <c r="L587" s="98">
        <f>IFERROR(IF(AND($M587=TRUE,$N587=TRUE),VLOOKUP($E587,RH!$B$47:$S$67,MONTH($G587)+6,FALSE)*$H587,0),0)</f>
        <v>0</v>
      </c>
      <c r="M587" s="99" t="b">
        <f t="shared" si="1"/>
        <v>0</v>
      </c>
      <c r="N587" s="99"/>
      <c r="O587" s="85"/>
      <c r="P587" s="68"/>
    </row>
    <row r="588" hidden="1">
      <c r="A588" s="68"/>
      <c r="B588" s="79"/>
      <c r="C588" s="77"/>
      <c r="D588" s="79"/>
      <c r="E588" s="79"/>
      <c r="F588" s="93"/>
      <c r="G588" s="93"/>
      <c r="H588" s="103"/>
      <c r="I588" s="79"/>
      <c r="J588" s="100"/>
      <c r="K588" s="97" t="b">
        <f>IF(AND($M588=TRUE,$N588=TRUE),VLOOKUP($E588,RH!$B$47:$S$67,MONTH($G588)+6,FALSE))</f>
        <v>0</v>
      </c>
      <c r="L588" s="98">
        <f>IFERROR(IF(AND($M588=TRUE,$N588=TRUE),VLOOKUP($E588,RH!$B$47:$S$67,MONTH($G588)+6,FALSE)*$H588,0),0)</f>
        <v>0</v>
      </c>
      <c r="M588" s="99" t="b">
        <f t="shared" si="1"/>
        <v>0</v>
      </c>
      <c r="N588" s="99"/>
      <c r="O588" s="85"/>
      <c r="P588" s="68"/>
    </row>
    <row r="589" hidden="1">
      <c r="A589" s="68"/>
      <c r="B589" s="79"/>
      <c r="C589" s="77"/>
      <c r="D589" s="79"/>
      <c r="E589" s="79"/>
      <c r="F589" s="93"/>
      <c r="G589" s="93"/>
      <c r="H589" s="103"/>
      <c r="I589" s="79"/>
      <c r="J589" s="100"/>
      <c r="K589" s="97" t="b">
        <f>IF(AND($M589=TRUE,$N589=TRUE),VLOOKUP($E589,RH!$B$47:$S$67,MONTH($G589)+6,FALSE))</f>
        <v>0</v>
      </c>
      <c r="L589" s="98">
        <f>IFERROR(IF(AND($M589=TRUE,$N589=TRUE),VLOOKUP($E589,RH!$B$47:$S$67,MONTH($G589)+6,FALSE)*$H589,0),0)</f>
        <v>0</v>
      </c>
      <c r="M589" s="99" t="b">
        <f t="shared" si="1"/>
        <v>0</v>
      </c>
      <c r="N589" s="99"/>
      <c r="O589" s="85"/>
      <c r="P589" s="68"/>
    </row>
    <row r="590" hidden="1">
      <c r="A590" s="68"/>
      <c r="B590" s="79"/>
      <c r="C590" s="77"/>
      <c r="D590" s="79"/>
      <c r="E590" s="79"/>
      <c r="F590" s="93"/>
      <c r="G590" s="93"/>
      <c r="H590" s="103"/>
      <c r="I590" s="79"/>
      <c r="J590" s="100"/>
      <c r="K590" s="97" t="b">
        <f>IF(AND($M590=TRUE,$N590=TRUE),VLOOKUP($E590,RH!$B$47:$S$67,MONTH($G590)+6,FALSE))</f>
        <v>0</v>
      </c>
      <c r="L590" s="98">
        <f>IFERROR(IF(AND($M590=TRUE,$N590=TRUE),VLOOKUP($E590,RH!$B$47:$S$67,MONTH($G590)+6,FALSE)*$H590,0),0)</f>
        <v>0</v>
      </c>
      <c r="M590" s="99" t="b">
        <f t="shared" si="1"/>
        <v>0</v>
      </c>
      <c r="N590" s="99"/>
      <c r="O590" s="85"/>
      <c r="P590" s="68"/>
    </row>
    <row r="591" hidden="1">
      <c r="A591" s="68"/>
      <c r="B591" s="79"/>
      <c r="C591" s="77"/>
      <c r="D591" s="79"/>
      <c r="E591" s="79"/>
      <c r="F591" s="93"/>
      <c r="G591" s="93"/>
      <c r="H591" s="103"/>
      <c r="I591" s="79"/>
      <c r="J591" s="100"/>
      <c r="K591" s="97" t="b">
        <f>IF(AND($M591=TRUE,$N591=TRUE),VLOOKUP($E591,RH!$B$47:$S$67,MONTH($G591)+6,FALSE))</f>
        <v>0</v>
      </c>
      <c r="L591" s="98">
        <f>IFERROR(IF(AND($M591=TRUE,$N591=TRUE),VLOOKUP($E591,RH!$B$47:$S$67,MONTH($G591)+6,FALSE)*$H591,0),0)</f>
        <v>0</v>
      </c>
      <c r="M591" s="99" t="b">
        <f t="shared" si="1"/>
        <v>0</v>
      </c>
      <c r="N591" s="99"/>
      <c r="O591" s="85"/>
      <c r="P591" s="68"/>
    </row>
    <row r="592" hidden="1">
      <c r="A592" s="68"/>
      <c r="B592" s="79"/>
      <c r="C592" s="77"/>
      <c r="D592" s="79"/>
      <c r="E592" s="79"/>
      <c r="F592" s="93"/>
      <c r="G592" s="93"/>
      <c r="H592" s="103"/>
      <c r="I592" s="79"/>
      <c r="J592" s="100"/>
      <c r="K592" s="97" t="b">
        <f>IF(AND($M592=TRUE,$N592=TRUE),VLOOKUP($E592,RH!$B$47:$S$67,MONTH($G592)+6,FALSE))</f>
        <v>0</v>
      </c>
      <c r="L592" s="98">
        <f>IFERROR(IF(AND($M592=TRUE,$N592=TRUE),VLOOKUP($E592,RH!$B$47:$S$67,MONTH($G592)+6,FALSE)*$H592,0),0)</f>
        <v>0</v>
      </c>
      <c r="M592" s="99" t="b">
        <f t="shared" si="1"/>
        <v>0</v>
      </c>
      <c r="N592" s="99"/>
      <c r="O592" s="85"/>
      <c r="P592" s="68"/>
    </row>
    <row r="593" hidden="1">
      <c r="A593" s="68"/>
      <c r="B593" s="79"/>
      <c r="C593" s="77"/>
      <c r="D593" s="79"/>
      <c r="E593" s="79"/>
      <c r="F593" s="93"/>
      <c r="G593" s="93"/>
      <c r="H593" s="103"/>
      <c r="I593" s="79"/>
      <c r="J593" s="100"/>
      <c r="K593" s="97" t="b">
        <f>IF(AND($M593=TRUE,$N593=TRUE),VLOOKUP($E593,RH!$B$47:$S$67,MONTH($G593)+6,FALSE))</f>
        <v>0</v>
      </c>
      <c r="L593" s="98">
        <f>IFERROR(IF(AND($M593=TRUE,$N593=TRUE),VLOOKUP($E593,RH!$B$47:$S$67,MONTH($G593)+6,FALSE)*$H593,0),0)</f>
        <v>0</v>
      </c>
      <c r="M593" s="99" t="b">
        <f t="shared" si="1"/>
        <v>0</v>
      </c>
      <c r="N593" s="99"/>
      <c r="O593" s="85"/>
      <c r="P593" s="68"/>
    </row>
    <row r="594" hidden="1">
      <c r="A594" s="68"/>
      <c r="B594" s="79"/>
      <c r="C594" s="77"/>
      <c r="D594" s="79"/>
      <c r="E594" s="79"/>
      <c r="F594" s="93"/>
      <c r="G594" s="93"/>
      <c r="H594" s="103"/>
      <c r="I594" s="79"/>
      <c r="J594" s="100"/>
      <c r="K594" s="97" t="b">
        <f>IF(AND($M594=TRUE,$N594=TRUE),VLOOKUP($E594,RH!$B$47:$S$67,MONTH($G594)+6,FALSE))</f>
        <v>0</v>
      </c>
      <c r="L594" s="98">
        <f>IFERROR(IF(AND($M594=TRUE,$N594=TRUE),VLOOKUP($E594,RH!$B$47:$S$67,MONTH($G594)+6,FALSE)*$H594,0),0)</f>
        <v>0</v>
      </c>
      <c r="M594" s="99" t="b">
        <f t="shared" si="1"/>
        <v>0</v>
      </c>
      <c r="N594" s="99"/>
      <c r="O594" s="85"/>
      <c r="P594" s="68"/>
    </row>
    <row r="595" hidden="1">
      <c r="A595" s="68"/>
      <c r="B595" s="79"/>
      <c r="C595" s="77"/>
      <c r="D595" s="79"/>
      <c r="E595" s="79"/>
      <c r="F595" s="93"/>
      <c r="G595" s="93"/>
      <c r="H595" s="103"/>
      <c r="I595" s="79"/>
      <c r="J595" s="100"/>
      <c r="K595" s="97" t="b">
        <f>IF(AND($M595=TRUE,$N595=TRUE),VLOOKUP($E595,RH!$B$47:$S$67,MONTH($G595)+6,FALSE))</f>
        <v>0</v>
      </c>
      <c r="L595" s="98">
        <f>IFERROR(IF(AND($M595=TRUE,$N595=TRUE),VLOOKUP($E595,RH!$B$47:$S$67,MONTH($G595)+6,FALSE)*$H595,0),0)</f>
        <v>0</v>
      </c>
      <c r="M595" s="99" t="b">
        <f t="shared" si="1"/>
        <v>0</v>
      </c>
      <c r="N595" s="99"/>
      <c r="O595" s="85"/>
      <c r="P595" s="68"/>
    </row>
    <row r="596" hidden="1">
      <c r="A596" s="68"/>
      <c r="B596" s="79"/>
      <c r="C596" s="77"/>
      <c r="D596" s="79"/>
      <c r="E596" s="79"/>
      <c r="F596" s="93"/>
      <c r="G596" s="93"/>
      <c r="H596" s="103"/>
      <c r="I596" s="79"/>
      <c r="J596" s="100"/>
      <c r="K596" s="97" t="b">
        <f>IF(AND($M596=TRUE,$N596=TRUE),VLOOKUP($E596,RH!$B$47:$S$67,MONTH($G596)+6,FALSE))</f>
        <v>0</v>
      </c>
      <c r="L596" s="98">
        <f>IFERROR(IF(AND($M596=TRUE,$N596=TRUE),VLOOKUP($E596,RH!$B$47:$S$67,MONTH($G596)+6,FALSE)*$H596,0),0)</f>
        <v>0</v>
      </c>
      <c r="M596" s="99" t="b">
        <f t="shared" si="1"/>
        <v>0</v>
      </c>
      <c r="N596" s="99"/>
      <c r="O596" s="85"/>
      <c r="P596" s="68"/>
    </row>
    <row r="597" hidden="1">
      <c r="A597" s="68"/>
      <c r="B597" s="79"/>
      <c r="C597" s="77"/>
      <c r="D597" s="79"/>
      <c r="E597" s="79"/>
      <c r="F597" s="93"/>
      <c r="G597" s="93"/>
      <c r="H597" s="103"/>
      <c r="I597" s="79"/>
      <c r="J597" s="100"/>
      <c r="K597" s="97" t="b">
        <f>IF(AND($M597=TRUE,$N597=TRUE),VLOOKUP($E597,RH!$B$47:$S$67,MONTH($G597)+6,FALSE))</f>
        <v>0</v>
      </c>
      <c r="L597" s="98">
        <f>IFERROR(IF(AND($M597=TRUE,$N597=TRUE),VLOOKUP($E597,RH!$B$47:$S$67,MONTH($G597)+6,FALSE)*$H597,0),0)</f>
        <v>0</v>
      </c>
      <c r="M597" s="99" t="b">
        <f t="shared" si="1"/>
        <v>0</v>
      </c>
      <c r="N597" s="99"/>
      <c r="O597" s="85"/>
      <c r="P597" s="68"/>
    </row>
    <row r="598" hidden="1">
      <c r="A598" s="68"/>
      <c r="B598" s="79"/>
      <c r="C598" s="77"/>
      <c r="D598" s="79"/>
      <c r="E598" s="79"/>
      <c r="F598" s="93"/>
      <c r="G598" s="93"/>
      <c r="H598" s="103"/>
      <c r="I598" s="79"/>
      <c r="J598" s="100"/>
      <c r="K598" s="97" t="b">
        <f>IF(AND($M598=TRUE,$N598=TRUE),VLOOKUP($E598,RH!$B$47:$S$67,MONTH($G598)+6,FALSE))</f>
        <v>0</v>
      </c>
      <c r="L598" s="98">
        <f>IFERROR(IF(AND($M598=TRUE,$N598=TRUE),VLOOKUP($E598,RH!$B$47:$S$67,MONTH($G598)+6,FALSE)*$H598,0),0)</f>
        <v>0</v>
      </c>
      <c r="M598" s="99" t="b">
        <f t="shared" si="1"/>
        <v>0</v>
      </c>
      <c r="N598" s="99"/>
      <c r="O598" s="85"/>
      <c r="P598" s="68"/>
    </row>
    <row r="599" hidden="1">
      <c r="A599" s="68"/>
      <c r="B599" s="79"/>
      <c r="C599" s="77"/>
      <c r="D599" s="79"/>
      <c r="E599" s="79"/>
      <c r="F599" s="93"/>
      <c r="G599" s="93"/>
      <c r="H599" s="103"/>
      <c r="I599" s="79"/>
      <c r="J599" s="100"/>
      <c r="K599" s="97" t="b">
        <f>IF(AND($M599=TRUE,$N599=TRUE),VLOOKUP($E599,RH!$B$47:$S$67,MONTH($G599)+6,FALSE))</f>
        <v>0</v>
      </c>
      <c r="L599" s="98">
        <f>IFERROR(IF(AND($M599=TRUE,$N599=TRUE),VLOOKUP($E599,RH!$B$47:$S$67,MONTH($G599)+6,FALSE)*$H599,0),0)</f>
        <v>0</v>
      </c>
      <c r="M599" s="99" t="b">
        <f t="shared" si="1"/>
        <v>0</v>
      </c>
      <c r="N599" s="99"/>
      <c r="O599" s="85"/>
      <c r="P599" s="68"/>
    </row>
    <row r="600" hidden="1">
      <c r="A600" s="68"/>
      <c r="B600" s="79"/>
      <c r="C600" s="77"/>
      <c r="D600" s="79"/>
      <c r="E600" s="79"/>
      <c r="F600" s="93"/>
      <c r="G600" s="93"/>
      <c r="H600" s="103"/>
      <c r="I600" s="79"/>
      <c r="J600" s="100"/>
      <c r="K600" s="97" t="b">
        <f>IF(AND($M600=TRUE,$N600=TRUE),VLOOKUP($E600,RH!$B$47:$S$67,MONTH($G600)+6,FALSE))</f>
        <v>0</v>
      </c>
      <c r="L600" s="98">
        <f>IFERROR(IF(AND($M600=TRUE,$N600=TRUE),VLOOKUP($E600,RH!$B$47:$S$67,MONTH($G600)+6,FALSE)*$H600,0),0)</f>
        <v>0</v>
      </c>
      <c r="M600" s="99" t="b">
        <f t="shared" si="1"/>
        <v>0</v>
      </c>
      <c r="N600" s="99"/>
      <c r="O600" s="85"/>
      <c r="P600" s="68"/>
    </row>
    <row r="601" hidden="1">
      <c r="A601" s="68"/>
      <c r="B601" s="79"/>
      <c r="C601" s="77"/>
      <c r="D601" s="79"/>
      <c r="E601" s="79"/>
      <c r="F601" s="93"/>
      <c r="G601" s="93"/>
      <c r="H601" s="103"/>
      <c r="I601" s="79"/>
      <c r="J601" s="100"/>
      <c r="K601" s="97" t="b">
        <f>IF(AND($M601=TRUE,$N601=TRUE),VLOOKUP($E601,RH!$B$47:$S$67,MONTH($G601)+6,FALSE))</f>
        <v>0</v>
      </c>
      <c r="L601" s="98">
        <f>IFERROR(IF(AND($M601=TRUE,$N601=TRUE),VLOOKUP($E601,RH!$B$47:$S$67,MONTH($G601)+6,FALSE)*$H601,0),0)</f>
        <v>0</v>
      </c>
      <c r="M601" s="99" t="b">
        <f t="shared" si="1"/>
        <v>0</v>
      </c>
      <c r="N601" s="99"/>
      <c r="O601" s="85"/>
      <c r="P601" s="68"/>
    </row>
    <row r="602" hidden="1">
      <c r="A602" s="68"/>
      <c r="B602" s="79"/>
      <c r="C602" s="77"/>
      <c r="D602" s="79"/>
      <c r="E602" s="79"/>
      <c r="F602" s="93"/>
      <c r="G602" s="93"/>
      <c r="H602" s="103"/>
      <c r="I602" s="79"/>
      <c r="J602" s="100"/>
      <c r="K602" s="97" t="b">
        <f>IF(AND($M602=TRUE,$N602=TRUE),VLOOKUP($E602,RH!$B$47:$S$67,MONTH($G602)+6,FALSE))</f>
        <v>0</v>
      </c>
      <c r="L602" s="98">
        <f>IFERROR(IF(AND($M602=TRUE,$N602=TRUE),VLOOKUP($E602,RH!$B$47:$S$67,MONTH($G602)+6,FALSE)*$H602,0),0)</f>
        <v>0</v>
      </c>
      <c r="M602" s="99" t="b">
        <f t="shared" si="1"/>
        <v>0</v>
      </c>
      <c r="N602" s="99"/>
      <c r="O602" s="85"/>
      <c r="P602" s="68"/>
    </row>
    <row r="603" hidden="1">
      <c r="A603" s="68"/>
      <c r="B603" s="79"/>
      <c r="C603" s="77"/>
      <c r="D603" s="79"/>
      <c r="E603" s="79"/>
      <c r="F603" s="93"/>
      <c r="G603" s="93"/>
      <c r="H603" s="103"/>
      <c r="I603" s="79"/>
      <c r="J603" s="100"/>
      <c r="K603" s="97" t="b">
        <f>IF(AND($M603=TRUE,$N603=TRUE),VLOOKUP($E603,RH!$B$47:$S$67,MONTH($G603)+6,FALSE))</f>
        <v>0</v>
      </c>
      <c r="L603" s="98">
        <f>IFERROR(IF(AND($M603=TRUE,$N603=TRUE),VLOOKUP($E603,RH!$B$47:$S$67,MONTH($G603)+6,FALSE)*$H603,0),0)</f>
        <v>0</v>
      </c>
      <c r="M603" s="99" t="b">
        <f t="shared" si="1"/>
        <v>0</v>
      </c>
      <c r="N603" s="99"/>
      <c r="O603" s="85"/>
      <c r="P603" s="68"/>
    </row>
    <row r="604" hidden="1">
      <c r="A604" s="68"/>
      <c r="B604" s="79"/>
      <c r="C604" s="77"/>
      <c r="D604" s="79"/>
      <c r="E604" s="79"/>
      <c r="F604" s="93"/>
      <c r="G604" s="93"/>
      <c r="H604" s="103"/>
      <c r="I604" s="79"/>
      <c r="J604" s="100"/>
      <c r="K604" s="97" t="b">
        <f>IF(AND($M604=TRUE,$N604=TRUE),VLOOKUP($E604,RH!$B$47:$S$67,MONTH($G604)+6,FALSE))</f>
        <v>0</v>
      </c>
      <c r="L604" s="98">
        <f>IFERROR(IF(AND($M604=TRUE,$N604=TRUE),VLOOKUP($E604,RH!$B$47:$S$67,MONTH($G604)+6,FALSE)*$H604,0),0)</f>
        <v>0</v>
      </c>
      <c r="M604" s="99" t="b">
        <f t="shared" si="1"/>
        <v>0</v>
      </c>
      <c r="N604" s="99"/>
      <c r="O604" s="85"/>
      <c r="P604" s="68"/>
    </row>
    <row r="605" hidden="1">
      <c r="A605" s="68"/>
      <c r="B605" s="79"/>
      <c r="C605" s="77"/>
      <c r="D605" s="79"/>
      <c r="E605" s="79"/>
      <c r="F605" s="93"/>
      <c r="G605" s="93"/>
      <c r="H605" s="103"/>
      <c r="I605" s="79"/>
      <c r="J605" s="100"/>
      <c r="K605" s="97" t="b">
        <f>IF(AND($M605=TRUE,$N605=TRUE),VLOOKUP($E605,RH!$B$47:$S$67,MONTH($G605)+6,FALSE))</f>
        <v>0</v>
      </c>
      <c r="L605" s="98">
        <f>IFERROR(IF(AND($M605=TRUE,$N605=TRUE),VLOOKUP($E605,RH!$B$47:$S$67,MONTH($G605)+6,FALSE)*$H605,0),0)</f>
        <v>0</v>
      </c>
      <c r="M605" s="99" t="b">
        <f t="shared" si="1"/>
        <v>0</v>
      </c>
      <c r="N605" s="99"/>
      <c r="O605" s="85"/>
      <c r="P605" s="68"/>
    </row>
    <row r="606" hidden="1">
      <c r="A606" s="68"/>
      <c r="B606" s="79"/>
      <c r="C606" s="77"/>
      <c r="D606" s="79"/>
      <c r="E606" s="79"/>
      <c r="F606" s="93"/>
      <c r="G606" s="93"/>
      <c r="H606" s="103"/>
      <c r="I606" s="79"/>
      <c r="J606" s="100"/>
      <c r="K606" s="97" t="b">
        <f>IF(AND($M606=TRUE,$N606=TRUE),VLOOKUP($E606,RH!$B$47:$S$67,MONTH($G606)+6,FALSE))</f>
        <v>0</v>
      </c>
      <c r="L606" s="98">
        <f>IFERROR(IF(AND($M606=TRUE,$N606=TRUE),VLOOKUP($E606,RH!$B$47:$S$67,MONTH($G606)+6,FALSE)*$H606,0),0)</f>
        <v>0</v>
      </c>
      <c r="M606" s="99" t="b">
        <f t="shared" si="1"/>
        <v>0</v>
      </c>
      <c r="N606" s="99"/>
      <c r="O606" s="85"/>
      <c r="P606" s="68"/>
    </row>
    <row r="607" hidden="1">
      <c r="A607" s="68"/>
      <c r="B607" s="79"/>
      <c r="C607" s="77"/>
      <c r="D607" s="79"/>
      <c r="E607" s="79"/>
      <c r="F607" s="93"/>
      <c r="G607" s="93"/>
      <c r="H607" s="103"/>
      <c r="I607" s="79"/>
      <c r="J607" s="100"/>
      <c r="K607" s="97" t="b">
        <f>IF(AND($M607=TRUE,$N607=TRUE),VLOOKUP($E607,RH!$B$47:$S$67,MONTH($G607)+6,FALSE))</f>
        <v>0</v>
      </c>
      <c r="L607" s="98">
        <f>IFERROR(IF(AND($M607=TRUE,$N607=TRUE),VLOOKUP($E607,RH!$B$47:$S$67,MONTH($G607)+6,FALSE)*$H607,0),0)</f>
        <v>0</v>
      </c>
      <c r="M607" s="99" t="b">
        <f t="shared" si="1"/>
        <v>0</v>
      </c>
      <c r="N607" s="99"/>
      <c r="O607" s="85"/>
      <c r="P607" s="68"/>
    </row>
    <row r="608" hidden="1">
      <c r="A608" s="68"/>
      <c r="B608" s="79"/>
      <c r="C608" s="77"/>
      <c r="D608" s="79"/>
      <c r="E608" s="79"/>
      <c r="F608" s="93"/>
      <c r="G608" s="93"/>
      <c r="H608" s="103"/>
      <c r="I608" s="79"/>
      <c r="J608" s="100"/>
      <c r="K608" s="97" t="b">
        <f>IF(AND($M608=TRUE,$N608=TRUE),VLOOKUP($E608,RH!$B$47:$S$67,MONTH($G608)+6,FALSE))</f>
        <v>0</v>
      </c>
      <c r="L608" s="98">
        <f>IFERROR(IF(AND($M608=TRUE,$N608=TRUE),VLOOKUP($E608,RH!$B$47:$S$67,MONTH($G608)+6,FALSE)*$H608,0),0)</f>
        <v>0</v>
      </c>
      <c r="M608" s="99" t="b">
        <f t="shared" si="1"/>
        <v>0</v>
      </c>
      <c r="N608" s="99"/>
      <c r="O608" s="85"/>
      <c r="P608" s="68"/>
    </row>
    <row r="609" hidden="1">
      <c r="A609" s="68"/>
      <c r="B609" s="79"/>
      <c r="C609" s="77"/>
      <c r="D609" s="79"/>
      <c r="E609" s="79"/>
      <c r="F609" s="93"/>
      <c r="G609" s="93"/>
      <c r="H609" s="103"/>
      <c r="I609" s="79"/>
      <c r="J609" s="100"/>
      <c r="K609" s="97" t="b">
        <f>IF(AND($M609=TRUE,$N609=TRUE),VLOOKUP($E609,RH!$B$47:$S$67,MONTH($G609)+6,FALSE))</f>
        <v>0</v>
      </c>
      <c r="L609" s="98">
        <f>IFERROR(IF(AND($M609=TRUE,$N609=TRUE),VLOOKUP($E609,RH!$B$47:$S$67,MONTH($G609)+6,FALSE)*$H609,0),0)</f>
        <v>0</v>
      </c>
      <c r="M609" s="99" t="b">
        <f t="shared" si="1"/>
        <v>0</v>
      </c>
      <c r="N609" s="99"/>
      <c r="O609" s="85"/>
      <c r="P609" s="68"/>
    </row>
    <row r="610" hidden="1">
      <c r="A610" s="68"/>
      <c r="B610" s="79"/>
      <c r="C610" s="77"/>
      <c r="D610" s="79"/>
      <c r="E610" s="79"/>
      <c r="F610" s="93"/>
      <c r="G610" s="93"/>
      <c r="H610" s="103"/>
      <c r="I610" s="79"/>
      <c r="J610" s="100"/>
      <c r="K610" s="97" t="b">
        <f>IF(AND($M610=TRUE,$N610=TRUE),VLOOKUP($E610,RH!$B$47:$S$67,MONTH($G610)+6,FALSE))</f>
        <v>0</v>
      </c>
      <c r="L610" s="98">
        <f>IFERROR(IF(AND($M610=TRUE,$N610=TRUE),VLOOKUP($E610,RH!$B$47:$S$67,MONTH($G610)+6,FALSE)*$H610,0),0)</f>
        <v>0</v>
      </c>
      <c r="M610" s="99" t="b">
        <f t="shared" si="1"/>
        <v>0</v>
      </c>
      <c r="N610" s="99"/>
      <c r="O610" s="85"/>
      <c r="P610" s="68"/>
    </row>
    <row r="611" hidden="1">
      <c r="A611" s="68"/>
      <c r="B611" s="79"/>
      <c r="C611" s="77"/>
      <c r="D611" s="79"/>
      <c r="E611" s="79"/>
      <c r="F611" s="93"/>
      <c r="G611" s="93"/>
      <c r="H611" s="103"/>
      <c r="I611" s="79"/>
      <c r="J611" s="100"/>
      <c r="K611" s="97" t="b">
        <f>IF(AND($M611=TRUE,$N611=TRUE),VLOOKUP($E611,RH!$B$47:$S$67,MONTH($G611)+6,FALSE))</f>
        <v>0</v>
      </c>
      <c r="L611" s="98">
        <f>IFERROR(IF(AND($M611=TRUE,$N611=TRUE),VLOOKUP($E611,RH!$B$47:$S$67,MONTH($G611)+6,FALSE)*$H611,0),0)</f>
        <v>0</v>
      </c>
      <c r="M611" s="99" t="b">
        <f t="shared" si="1"/>
        <v>0</v>
      </c>
      <c r="N611" s="99"/>
      <c r="O611" s="85"/>
      <c r="P611" s="68"/>
    </row>
    <row r="612" hidden="1">
      <c r="A612" s="68"/>
      <c r="B612" s="79"/>
      <c r="C612" s="77"/>
      <c r="D612" s="79"/>
      <c r="E612" s="79"/>
      <c r="F612" s="93"/>
      <c r="G612" s="93"/>
      <c r="H612" s="103"/>
      <c r="I612" s="79"/>
      <c r="J612" s="100"/>
      <c r="K612" s="97" t="b">
        <f>IF(AND($M612=TRUE,$N612=TRUE),VLOOKUP($E612,RH!$B$47:$S$67,MONTH($G612)+6,FALSE))</f>
        <v>0</v>
      </c>
      <c r="L612" s="98">
        <f>IFERROR(IF(AND($M612=TRUE,$N612=TRUE),VLOOKUP($E612,RH!$B$47:$S$67,MONTH($G612)+6,FALSE)*$H612,0),0)</f>
        <v>0</v>
      </c>
      <c r="M612" s="99" t="b">
        <f t="shared" si="1"/>
        <v>0</v>
      </c>
      <c r="N612" s="99"/>
      <c r="O612" s="85"/>
      <c r="P612" s="68"/>
    </row>
    <row r="613" hidden="1">
      <c r="A613" s="68"/>
      <c r="B613" s="79"/>
      <c r="C613" s="77"/>
      <c r="D613" s="79"/>
      <c r="E613" s="79"/>
      <c r="F613" s="93"/>
      <c r="G613" s="93"/>
      <c r="H613" s="103"/>
      <c r="I613" s="79"/>
      <c r="J613" s="100"/>
      <c r="K613" s="97" t="b">
        <f>IF(AND($M613=TRUE,$N613=TRUE),VLOOKUP($E613,RH!$B$47:$S$67,MONTH($G613)+6,FALSE))</f>
        <v>0</v>
      </c>
      <c r="L613" s="98">
        <f>IFERROR(IF(AND($M613=TRUE,$N613=TRUE),VLOOKUP($E613,RH!$B$47:$S$67,MONTH($G613)+6,FALSE)*$H613,0),0)</f>
        <v>0</v>
      </c>
      <c r="M613" s="99" t="b">
        <f t="shared" si="1"/>
        <v>0</v>
      </c>
      <c r="N613" s="99"/>
      <c r="O613" s="85"/>
      <c r="P613" s="68"/>
    </row>
    <row r="614" hidden="1">
      <c r="A614" s="68"/>
      <c r="B614" s="79"/>
      <c r="C614" s="77"/>
      <c r="D614" s="79"/>
      <c r="E614" s="79"/>
      <c r="F614" s="93"/>
      <c r="G614" s="93"/>
      <c r="H614" s="103"/>
      <c r="I614" s="79"/>
      <c r="J614" s="100"/>
      <c r="K614" s="97" t="b">
        <f>IF(AND($M614=TRUE,$N614=TRUE),VLOOKUP($E614,RH!$B$47:$S$67,MONTH($G614)+6,FALSE))</f>
        <v>0</v>
      </c>
      <c r="L614" s="98">
        <f>IFERROR(IF(AND($M614=TRUE,$N614=TRUE),VLOOKUP($E614,RH!$B$47:$S$67,MONTH($G614)+6,FALSE)*$H614,0),0)</f>
        <v>0</v>
      </c>
      <c r="M614" s="99" t="b">
        <f t="shared" si="1"/>
        <v>0</v>
      </c>
      <c r="N614" s="99"/>
      <c r="O614" s="85"/>
      <c r="P614" s="68"/>
    </row>
    <row r="615" hidden="1">
      <c r="A615" s="68"/>
      <c r="B615" s="79"/>
      <c r="C615" s="77"/>
      <c r="D615" s="79"/>
      <c r="E615" s="79"/>
      <c r="F615" s="93"/>
      <c r="G615" s="93"/>
      <c r="H615" s="103"/>
      <c r="I615" s="79"/>
      <c r="J615" s="100"/>
      <c r="K615" s="97" t="b">
        <f>IF(AND($M615=TRUE,$N615=TRUE),VLOOKUP($E615,RH!$B$47:$S$67,MONTH($G615)+6,FALSE))</f>
        <v>0</v>
      </c>
      <c r="L615" s="98">
        <f>IFERROR(IF(AND($M615=TRUE,$N615=TRUE),VLOOKUP($E615,RH!$B$47:$S$67,MONTH($G615)+6,FALSE)*$H615,0),0)</f>
        <v>0</v>
      </c>
      <c r="M615" s="99" t="b">
        <f t="shared" si="1"/>
        <v>0</v>
      </c>
      <c r="N615" s="99"/>
      <c r="O615" s="85"/>
      <c r="P615" s="68"/>
    </row>
    <row r="616" hidden="1">
      <c r="A616" s="68"/>
      <c r="B616" s="79"/>
      <c r="C616" s="77"/>
      <c r="D616" s="79"/>
      <c r="E616" s="79"/>
      <c r="F616" s="93"/>
      <c r="G616" s="93"/>
      <c r="H616" s="103"/>
      <c r="I616" s="79"/>
      <c r="J616" s="100"/>
      <c r="K616" s="97" t="b">
        <f>IF(AND($M616=TRUE,$N616=TRUE),VLOOKUP($E616,RH!$B$47:$S$67,MONTH($G616)+6,FALSE))</f>
        <v>0</v>
      </c>
      <c r="L616" s="98">
        <f>IFERROR(IF(AND($M616=TRUE,$N616=TRUE),VLOOKUP($E616,RH!$B$47:$S$67,MONTH($G616)+6,FALSE)*$H616,0),0)</f>
        <v>0</v>
      </c>
      <c r="M616" s="99" t="b">
        <f t="shared" si="1"/>
        <v>0</v>
      </c>
      <c r="N616" s="99"/>
      <c r="O616" s="85"/>
      <c r="P616" s="68"/>
    </row>
    <row r="617" hidden="1">
      <c r="A617" s="68"/>
      <c r="B617" s="79"/>
      <c r="C617" s="77"/>
      <c r="D617" s="79"/>
      <c r="E617" s="79"/>
      <c r="F617" s="93"/>
      <c r="G617" s="93"/>
      <c r="H617" s="103"/>
      <c r="I617" s="79"/>
      <c r="J617" s="100"/>
      <c r="K617" s="97" t="b">
        <f>IF(AND($M617=TRUE,$N617=TRUE),VLOOKUP($E617,RH!$B$47:$S$67,MONTH($G617)+6,FALSE))</f>
        <v>0</v>
      </c>
      <c r="L617" s="98">
        <f>IFERROR(IF(AND($M617=TRUE,$N617=TRUE),VLOOKUP($E617,RH!$B$47:$S$67,MONTH($G617)+6,FALSE)*$H617,0),0)</f>
        <v>0</v>
      </c>
      <c r="M617" s="99" t="b">
        <f t="shared" si="1"/>
        <v>0</v>
      </c>
      <c r="N617" s="99"/>
      <c r="O617" s="85"/>
      <c r="P617" s="68"/>
    </row>
    <row r="618" hidden="1">
      <c r="A618" s="68"/>
      <c r="B618" s="79"/>
      <c r="C618" s="77"/>
      <c r="D618" s="79"/>
      <c r="E618" s="79"/>
      <c r="F618" s="93"/>
      <c r="G618" s="93"/>
      <c r="H618" s="103"/>
      <c r="I618" s="79"/>
      <c r="J618" s="100"/>
      <c r="K618" s="97" t="b">
        <f>IF(AND($M618=TRUE,$N618=TRUE),VLOOKUP($E618,RH!$B$47:$S$67,MONTH($G618)+6,FALSE))</f>
        <v>0</v>
      </c>
      <c r="L618" s="98">
        <f>IFERROR(IF(AND($M618=TRUE,$N618=TRUE),VLOOKUP($E618,RH!$B$47:$S$67,MONTH($G618)+6,FALSE)*$H618,0),0)</f>
        <v>0</v>
      </c>
      <c r="M618" s="99" t="b">
        <f t="shared" si="1"/>
        <v>0</v>
      </c>
      <c r="N618" s="99"/>
      <c r="O618" s="85"/>
      <c r="P618" s="68"/>
    </row>
    <row r="619" hidden="1">
      <c r="A619" s="68"/>
      <c r="B619" s="79"/>
      <c r="C619" s="77"/>
      <c r="D619" s="79"/>
      <c r="E619" s="79"/>
      <c r="F619" s="93"/>
      <c r="G619" s="93"/>
      <c r="H619" s="103"/>
      <c r="I619" s="79"/>
      <c r="J619" s="100"/>
      <c r="K619" s="97" t="b">
        <f>IF(AND($M619=TRUE,$N619=TRUE),VLOOKUP($E619,RH!$B$47:$S$67,MONTH($G619)+6,FALSE))</f>
        <v>0</v>
      </c>
      <c r="L619" s="98">
        <f>IFERROR(IF(AND($M619=TRUE,$N619=TRUE),VLOOKUP($E619,RH!$B$47:$S$67,MONTH($G619)+6,FALSE)*$H619,0),0)</f>
        <v>0</v>
      </c>
      <c r="M619" s="99" t="b">
        <f t="shared" si="1"/>
        <v>0</v>
      </c>
      <c r="N619" s="99"/>
      <c r="O619" s="85"/>
      <c r="P619" s="68"/>
    </row>
    <row r="620" hidden="1">
      <c r="A620" s="68"/>
      <c r="B620" s="79"/>
      <c r="C620" s="77"/>
      <c r="D620" s="79"/>
      <c r="E620" s="79"/>
      <c r="F620" s="93"/>
      <c r="G620" s="93"/>
      <c r="H620" s="103"/>
      <c r="I620" s="79"/>
      <c r="J620" s="100"/>
      <c r="K620" s="97" t="b">
        <f>IF(AND($M620=TRUE,$N620=TRUE),VLOOKUP($E620,RH!$B$47:$S$67,MONTH($G620)+6,FALSE))</f>
        <v>0</v>
      </c>
      <c r="L620" s="98">
        <f>IFERROR(IF(AND($M620=TRUE,$N620=TRUE),VLOOKUP($E620,RH!$B$47:$S$67,MONTH($G620)+6,FALSE)*$H620,0),0)</f>
        <v>0</v>
      </c>
      <c r="M620" s="99" t="b">
        <f t="shared" si="1"/>
        <v>0</v>
      </c>
      <c r="N620" s="99"/>
      <c r="O620" s="85"/>
      <c r="P620" s="68"/>
    </row>
    <row r="621" hidden="1">
      <c r="A621" s="68"/>
      <c r="B621" s="79"/>
      <c r="C621" s="77"/>
      <c r="D621" s="79"/>
      <c r="E621" s="79"/>
      <c r="F621" s="93"/>
      <c r="G621" s="93"/>
      <c r="H621" s="103"/>
      <c r="I621" s="79"/>
      <c r="J621" s="100"/>
      <c r="K621" s="97" t="b">
        <f>IF(AND($M621=TRUE,$N621=TRUE),VLOOKUP($E621,RH!$B$47:$S$67,MONTH($G621)+6,FALSE))</f>
        <v>0</v>
      </c>
      <c r="L621" s="98">
        <f>IFERROR(IF(AND($M621=TRUE,$N621=TRUE),VLOOKUP($E621,RH!$B$47:$S$67,MONTH($G621)+6,FALSE)*$H621,0),0)</f>
        <v>0</v>
      </c>
      <c r="M621" s="99" t="b">
        <f t="shared" si="1"/>
        <v>0</v>
      </c>
      <c r="N621" s="99"/>
      <c r="O621" s="85"/>
      <c r="P621" s="68"/>
    </row>
    <row r="622" hidden="1">
      <c r="A622" s="68"/>
      <c r="B622" s="79"/>
      <c r="C622" s="77"/>
      <c r="D622" s="79"/>
      <c r="E622" s="79"/>
      <c r="F622" s="93"/>
      <c r="G622" s="93"/>
      <c r="H622" s="103"/>
      <c r="I622" s="79"/>
      <c r="J622" s="100"/>
      <c r="K622" s="97" t="b">
        <f>IF(AND($M622=TRUE,$N622=TRUE),VLOOKUP($E622,RH!$B$47:$S$67,MONTH($G622)+6,FALSE))</f>
        <v>0</v>
      </c>
      <c r="L622" s="98">
        <f>IFERROR(IF(AND($M622=TRUE,$N622=TRUE),VLOOKUP($E622,RH!$B$47:$S$67,MONTH($G622)+6,FALSE)*$H622,0),0)</f>
        <v>0</v>
      </c>
      <c r="M622" s="99" t="b">
        <f t="shared" si="1"/>
        <v>0</v>
      </c>
      <c r="N622" s="99"/>
      <c r="O622" s="85"/>
      <c r="P622" s="68"/>
    </row>
    <row r="623" hidden="1">
      <c r="A623" s="68"/>
      <c r="B623" s="79"/>
      <c r="C623" s="77"/>
      <c r="D623" s="79"/>
      <c r="E623" s="79"/>
      <c r="F623" s="93"/>
      <c r="G623" s="93"/>
      <c r="H623" s="103"/>
      <c r="I623" s="79"/>
      <c r="J623" s="100"/>
      <c r="K623" s="97" t="b">
        <f>IF(AND($M623=TRUE,$N623=TRUE),VLOOKUP($E623,RH!$B$47:$S$67,MONTH($G623)+6,FALSE))</f>
        <v>0</v>
      </c>
      <c r="L623" s="98">
        <f>IFERROR(IF(AND($M623=TRUE,$N623=TRUE),VLOOKUP($E623,RH!$B$47:$S$67,MONTH($G623)+6,FALSE)*$H623,0),0)</f>
        <v>0</v>
      </c>
      <c r="M623" s="99" t="b">
        <f t="shared" si="1"/>
        <v>0</v>
      </c>
      <c r="N623" s="99"/>
      <c r="O623" s="85"/>
      <c r="P623" s="68"/>
    </row>
    <row r="624" hidden="1">
      <c r="A624" s="68"/>
      <c r="B624" s="79"/>
      <c r="C624" s="77"/>
      <c r="D624" s="79"/>
      <c r="E624" s="79"/>
      <c r="F624" s="93"/>
      <c r="G624" s="93"/>
      <c r="H624" s="103"/>
      <c r="I624" s="79"/>
      <c r="J624" s="100"/>
      <c r="K624" s="97" t="b">
        <f>IF(AND($M624=TRUE,$N624=TRUE),VLOOKUP($E624,RH!$B$47:$S$67,MONTH($G624)+6,FALSE))</f>
        <v>0</v>
      </c>
      <c r="L624" s="98">
        <f>IFERROR(IF(AND($M624=TRUE,$N624=TRUE),VLOOKUP($E624,RH!$B$47:$S$67,MONTH($G624)+6,FALSE)*$H624,0),0)</f>
        <v>0</v>
      </c>
      <c r="M624" s="99" t="b">
        <f t="shared" si="1"/>
        <v>0</v>
      </c>
      <c r="N624" s="99"/>
      <c r="O624" s="85"/>
      <c r="P624" s="68"/>
    </row>
    <row r="625" hidden="1">
      <c r="A625" s="68"/>
      <c r="B625" s="79"/>
      <c r="C625" s="77"/>
      <c r="D625" s="79"/>
      <c r="E625" s="79"/>
      <c r="F625" s="93"/>
      <c r="G625" s="93"/>
      <c r="H625" s="103"/>
      <c r="I625" s="79"/>
      <c r="J625" s="100"/>
      <c r="K625" s="97" t="b">
        <f>IF(AND($M625=TRUE,$N625=TRUE),VLOOKUP($E625,RH!$B$47:$S$67,MONTH($G625)+6,FALSE))</f>
        <v>0</v>
      </c>
      <c r="L625" s="98">
        <f>IFERROR(IF(AND($M625=TRUE,$N625=TRUE),VLOOKUP($E625,RH!$B$47:$S$67,MONTH($G625)+6,FALSE)*$H625,0),0)</f>
        <v>0</v>
      </c>
      <c r="M625" s="99" t="b">
        <f t="shared" si="1"/>
        <v>0</v>
      </c>
      <c r="N625" s="99"/>
      <c r="O625" s="85"/>
      <c r="P625" s="68"/>
    </row>
    <row r="626" hidden="1">
      <c r="A626" s="68"/>
      <c r="B626" s="79"/>
      <c r="C626" s="77"/>
      <c r="D626" s="79"/>
      <c r="E626" s="79"/>
      <c r="F626" s="93"/>
      <c r="G626" s="93"/>
      <c r="H626" s="103"/>
      <c r="I626" s="79"/>
      <c r="J626" s="100"/>
      <c r="K626" s="97" t="b">
        <f>IF(AND($M626=TRUE,$N626=TRUE),VLOOKUP($E626,RH!$B$47:$S$67,MONTH($G626)+6,FALSE))</f>
        <v>0</v>
      </c>
      <c r="L626" s="98">
        <f>IFERROR(IF(AND($M626=TRUE,$N626=TRUE),VLOOKUP($E626,RH!$B$47:$S$67,MONTH($G626)+6,FALSE)*$H626,0),0)</f>
        <v>0</v>
      </c>
      <c r="M626" s="99" t="b">
        <f t="shared" si="1"/>
        <v>0</v>
      </c>
      <c r="N626" s="99"/>
      <c r="O626" s="85"/>
      <c r="P626" s="68"/>
    </row>
    <row r="627" hidden="1">
      <c r="A627" s="68"/>
      <c r="B627" s="79"/>
      <c r="C627" s="77"/>
      <c r="D627" s="79"/>
      <c r="E627" s="79"/>
      <c r="F627" s="93"/>
      <c r="G627" s="93"/>
      <c r="H627" s="103"/>
      <c r="I627" s="79"/>
      <c r="J627" s="100"/>
      <c r="K627" s="97" t="b">
        <f>IF(AND($M627=TRUE,$N627=TRUE),VLOOKUP($E627,RH!$B$47:$S$67,MONTH($G627)+6,FALSE))</f>
        <v>0</v>
      </c>
      <c r="L627" s="98">
        <f>IFERROR(IF(AND($M627=TRUE,$N627=TRUE),VLOOKUP($E627,RH!$B$47:$S$67,MONTH($G627)+6,FALSE)*$H627,0),0)</f>
        <v>0</v>
      </c>
      <c r="M627" s="99" t="b">
        <f t="shared" si="1"/>
        <v>0</v>
      </c>
      <c r="N627" s="99"/>
      <c r="O627" s="85"/>
      <c r="P627" s="68"/>
    </row>
    <row r="628" hidden="1">
      <c r="A628" s="68"/>
      <c r="B628" s="79"/>
      <c r="C628" s="77"/>
      <c r="D628" s="79"/>
      <c r="E628" s="79"/>
      <c r="F628" s="93"/>
      <c r="G628" s="93"/>
      <c r="H628" s="103"/>
      <c r="I628" s="79"/>
      <c r="J628" s="100"/>
      <c r="K628" s="97" t="b">
        <f>IF(AND($M628=TRUE,$N628=TRUE),VLOOKUP($E628,RH!$B$47:$S$67,MONTH($G628)+6,FALSE))</f>
        <v>0</v>
      </c>
      <c r="L628" s="98">
        <f>IFERROR(IF(AND($M628=TRUE,$N628=TRUE),VLOOKUP($E628,RH!$B$47:$S$67,MONTH($G628)+6,FALSE)*$H628,0),0)</f>
        <v>0</v>
      </c>
      <c r="M628" s="99" t="b">
        <f t="shared" si="1"/>
        <v>0</v>
      </c>
      <c r="N628" s="99"/>
      <c r="O628" s="85"/>
      <c r="P628" s="68"/>
    </row>
    <row r="629" hidden="1">
      <c r="A629" s="68"/>
      <c r="B629" s="79"/>
      <c r="C629" s="77"/>
      <c r="D629" s="79"/>
      <c r="E629" s="79"/>
      <c r="F629" s="93"/>
      <c r="G629" s="93"/>
      <c r="H629" s="103"/>
      <c r="I629" s="79"/>
      <c r="J629" s="100"/>
      <c r="K629" s="97" t="b">
        <f>IF(AND($M629=TRUE,$N629=TRUE),VLOOKUP($E629,RH!$B$47:$S$67,MONTH($G629)+6,FALSE))</f>
        <v>0</v>
      </c>
      <c r="L629" s="98">
        <f>IFERROR(IF(AND($M629=TRUE,$N629=TRUE),VLOOKUP($E629,RH!$B$47:$S$67,MONTH($G629)+6,FALSE)*$H629,0),0)</f>
        <v>0</v>
      </c>
      <c r="M629" s="99" t="b">
        <f t="shared" si="1"/>
        <v>0</v>
      </c>
      <c r="N629" s="99"/>
      <c r="O629" s="85"/>
      <c r="P629" s="68"/>
    </row>
    <row r="630" hidden="1">
      <c r="A630" s="68"/>
      <c r="B630" s="79"/>
      <c r="C630" s="77"/>
      <c r="D630" s="79"/>
      <c r="E630" s="79"/>
      <c r="F630" s="93"/>
      <c r="G630" s="93"/>
      <c r="H630" s="103"/>
      <c r="I630" s="79"/>
      <c r="J630" s="100"/>
      <c r="K630" s="97" t="b">
        <f>IF(AND($M630=TRUE,$N630=TRUE),VLOOKUP($E630,RH!$B$47:$S$67,MONTH($G630)+6,FALSE))</f>
        <v>0</v>
      </c>
      <c r="L630" s="98">
        <f>IFERROR(IF(AND($M630=TRUE,$N630=TRUE),VLOOKUP($E630,RH!$B$47:$S$67,MONTH($G630)+6,FALSE)*$H630,0),0)</f>
        <v>0</v>
      </c>
      <c r="M630" s="99" t="b">
        <f t="shared" si="1"/>
        <v>0</v>
      </c>
      <c r="N630" s="99"/>
      <c r="O630" s="85"/>
      <c r="P630" s="68"/>
    </row>
    <row r="631" hidden="1">
      <c r="A631" s="68"/>
      <c r="B631" s="79"/>
      <c r="C631" s="77"/>
      <c r="D631" s="79"/>
      <c r="E631" s="79"/>
      <c r="F631" s="93"/>
      <c r="G631" s="93"/>
      <c r="H631" s="103"/>
      <c r="I631" s="79"/>
      <c r="J631" s="100"/>
      <c r="K631" s="97" t="b">
        <f>IF(AND($M631=TRUE,$N631=TRUE),VLOOKUP($E631,RH!$B$47:$S$67,MONTH($G631)+6,FALSE))</f>
        <v>0</v>
      </c>
      <c r="L631" s="98">
        <f>IFERROR(IF(AND($M631=TRUE,$N631=TRUE),VLOOKUP($E631,RH!$B$47:$S$67,MONTH($G631)+6,FALSE)*$H631,0),0)</f>
        <v>0</v>
      </c>
      <c r="M631" s="99" t="b">
        <f t="shared" si="1"/>
        <v>0</v>
      </c>
      <c r="N631" s="99"/>
      <c r="O631" s="85"/>
      <c r="P631" s="68"/>
    </row>
    <row r="632" hidden="1">
      <c r="A632" s="68"/>
      <c r="B632" s="79"/>
      <c r="C632" s="77"/>
      <c r="D632" s="79"/>
      <c r="E632" s="79"/>
      <c r="F632" s="93"/>
      <c r="G632" s="93"/>
      <c r="H632" s="103"/>
      <c r="I632" s="79"/>
      <c r="J632" s="100"/>
      <c r="K632" s="97" t="b">
        <f>IF(AND($M632=TRUE,$N632=TRUE),VLOOKUP($E632,RH!$B$47:$S$67,MONTH($G632)+6,FALSE))</f>
        <v>0</v>
      </c>
      <c r="L632" s="98">
        <f>IFERROR(IF(AND($M632=TRUE,$N632=TRUE),VLOOKUP($E632,RH!$B$47:$S$67,MONTH($G632)+6,FALSE)*$H632,0),0)</f>
        <v>0</v>
      </c>
      <c r="M632" s="99" t="b">
        <f t="shared" si="1"/>
        <v>0</v>
      </c>
      <c r="N632" s="99"/>
      <c r="O632" s="85"/>
      <c r="P632" s="68"/>
    </row>
    <row r="633" hidden="1">
      <c r="A633" s="68"/>
      <c r="B633" s="79"/>
      <c r="C633" s="77"/>
      <c r="D633" s="79"/>
      <c r="E633" s="79"/>
      <c r="F633" s="93"/>
      <c r="G633" s="93"/>
      <c r="H633" s="103"/>
      <c r="I633" s="79"/>
      <c r="J633" s="100"/>
      <c r="K633" s="97" t="b">
        <f>IF(AND($M633=TRUE,$N633=TRUE),VLOOKUP($E633,RH!$B$47:$S$67,MONTH($G633)+6,FALSE))</f>
        <v>0</v>
      </c>
      <c r="L633" s="98">
        <f>IFERROR(IF(AND($M633=TRUE,$N633=TRUE),VLOOKUP($E633,RH!$B$47:$S$67,MONTH($G633)+6,FALSE)*$H633,0),0)</f>
        <v>0</v>
      </c>
      <c r="M633" s="99" t="b">
        <f t="shared" si="1"/>
        <v>0</v>
      </c>
      <c r="N633" s="99"/>
      <c r="O633" s="85"/>
      <c r="P633" s="68"/>
    </row>
    <row r="634" hidden="1">
      <c r="A634" s="68"/>
      <c r="B634" s="79"/>
      <c r="C634" s="77"/>
      <c r="D634" s="79"/>
      <c r="E634" s="79"/>
      <c r="F634" s="93"/>
      <c r="G634" s="93"/>
      <c r="H634" s="103"/>
      <c r="I634" s="79"/>
      <c r="J634" s="100"/>
      <c r="K634" s="97" t="b">
        <f>IF(AND($M634=TRUE,$N634=TRUE),VLOOKUP($E634,RH!$B$47:$S$67,MONTH($G634)+6,FALSE))</f>
        <v>0</v>
      </c>
      <c r="L634" s="98">
        <f>IFERROR(IF(AND($M634=TRUE,$N634=TRUE),VLOOKUP($E634,RH!$B$47:$S$67,MONTH($G634)+6,FALSE)*$H634,0),0)</f>
        <v>0</v>
      </c>
      <c r="M634" s="99" t="b">
        <f t="shared" si="1"/>
        <v>0</v>
      </c>
      <c r="N634" s="99"/>
      <c r="O634" s="85"/>
      <c r="P634" s="68"/>
    </row>
    <row r="635" hidden="1">
      <c r="A635" s="68"/>
      <c r="B635" s="79"/>
      <c r="C635" s="77"/>
      <c r="D635" s="79"/>
      <c r="E635" s="79"/>
      <c r="F635" s="93"/>
      <c r="G635" s="93"/>
      <c r="H635" s="103"/>
      <c r="I635" s="79"/>
      <c r="J635" s="100"/>
      <c r="K635" s="97" t="b">
        <f>IF(AND($M635=TRUE,$N635=TRUE),VLOOKUP($E635,RH!$B$47:$S$67,MONTH($G635)+6,FALSE))</f>
        <v>0</v>
      </c>
      <c r="L635" s="98">
        <f>IFERROR(IF(AND($M635=TRUE,$N635=TRUE),VLOOKUP($E635,RH!$B$47:$S$67,MONTH($G635)+6,FALSE)*$H635,0),0)</f>
        <v>0</v>
      </c>
      <c r="M635" s="99" t="b">
        <f t="shared" si="1"/>
        <v>0</v>
      </c>
      <c r="N635" s="99"/>
      <c r="O635" s="85"/>
      <c r="P635" s="68"/>
    </row>
    <row r="636" hidden="1">
      <c r="A636" s="68"/>
      <c r="B636" s="79"/>
      <c r="C636" s="77"/>
      <c r="D636" s="79"/>
      <c r="E636" s="79"/>
      <c r="F636" s="93"/>
      <c r="G636" s="93"/>
      <c r="H636" s="103"/>
      <c r="I636" s="79"/>
      <c r="J636" s="100"/>
      <c r="K636" s="97" t="b">
        <f>IF(AND($M636=TRUE,$N636=TRUE),VLOOKUP($E636,RH!$B$47:$S$67,MONTH($G636)+6,FALSE))</f>
        <v>0</v>
      </c>
      <c r="L636" s="98">
        <f>IFERROR(IF(AND($M636=TRUE,$N636=TRUE),VLOOKUP($E636,RH!$B$47:$S$67,MONTH($G636)+6,FALSE)*$H636,0),0)</f>
        <v>0</v>
      </c>
      <c r="M636" s="99" t="b">
        <f t="shared" si="1"/>
        <v>0</v>
      </c>
      <c r="N636" s="99"/>
      <c r="O636" s="85"/>
      <c r="P636" s="68"/>
    </row>
    <row r="637" hidden="1">
      <c r="A637" s="68"/>
      <c r="B637" s="79"/>
      <c r="C637" s="77"/>
      <c r="D637" s="79"/>
      <c r="E637" s="79"/>
      <c r="F637" s="93"/>
      <c r="G637" s="93"/>
      <c r="H637" s="103"/>
      <c r="I637" s="79"/>
      <c r="J637" s="100"/>
      <c r="K637" s="97" t="b">
        <f>IF(AND($M637=TRUE,$N637=TRUE),VLOOKUP($E637,RH!$B$47:$S$67,MONTH($G637)+6,FALSE))</f>
        <v>0</v>
      </c>
      <c r="L637" s="98">
        <f>IFERROR(IF(AND($M637=TRUE,$N637=TRUE),VLOOKUP($E637,RH!$B$47:$S$67,MONTH($G637)+6,FALSE)*$H637,0),0)</f>
        <v>0</v>
      </c>
      <c r="M637" s="99" t="b">
        <f t="shared" si="1"/>
        <v>0</v>
      </c>
      <c r="N637" s="99"/>
      <c r="O637" s="85"/>
      <c r="P637" s="68"/>
    </row>
    <row r="638" hidden="1">
      <c r="A638" s="68"/>
      <c r="B638" s="79"/>
      <c r="C638" s="77"/>
      <c r="D638" s="79"/>
      <c r="E638" s="79"/>
      <c r="F638" s="93"/>
      <c r="G638" s="93"/>
      <c r="H638" s="103"/>
      <c r="I638" s="79"/>
      <c r="J638" s="100"/>
      <c r="K638" s="97" t="b">
        <f>IF(AND($M638=TRUE,$N638=TRUE),VLOOKUP($E638,RH!$B$47:$S$67,MONTH($G638)+6,FALSE))</f>
        <v>0</v>
      </c>
      <c r="L638" s="98">
        <f>IFERROR(IF(AND($M638=TRUE,$N638=TRUE),VLOOKUP($E638,RH!$B$47:$S$67,MONTH($G638)+6,FALSE)*$H638,0),0)</f>
        <v>0</v>
      </c>
      <c r="M638" s="99" t="b">
        <f t="shared" si="1"/>
        <v>0</v>
      </c>
      <c r="N638" s="99"/>
      <c r="O638" s="85"/>
      <c r="P638" s="68"/>
    </row>
    <row r="639" hidden="1">
      <c r="A639" s="68"/>
      <c r="B639" s="79"/>
      <c r="C639" s="77"/>
      <c r="D639" s="79"/>
      <c r="E639" s="79"/>
      <c r="F639" s="93"/>
      <c r="G639" s="93"/>
      <c r="H639" s="103"/>
      <c r="I639" s="79"/>
      <c r="J639" s="100"/>
      <c r="K639" s="97" t="b">
        <f>IF(AND($M639=TRUE,$N639=TRUE),VLOOKUP($E639,RH!$B$47:$S$67,MONTH($G639)+6,FALSE))</f>
        <v>0</v>
      </c>
      <c r="L639" s="98">
        <f>IFERROR(IF(AND($M639=TRUE,$N639=TRUE),VLOOKUP($E639,RH!$B$47:$S$67,MONTH($G639)+6,FALSE)*$H639,0),0)</f>
        <v>0</v>
      </c>
      <c r="M639" s="99" t="b">
        <f t="shared" si="1"/>
        <v>0</v>
      </c>
      <c r="N639" s="99"/>
      <c r="O639" s="85"/>
      <c r="P639" s="68"/>
    </row>
    <row r="640" hidden="1">
      <c r="A640" s="68"/>
      <c r="B640" s="79"/>
      <c r="C640" s="77"/>
      <c r="D640" s="79"/>
      <c r="E640" s="79"/>
      <c r="F640" s="93"/>
      <c r="G640" s="93"/>
      <c r="H640" s="103"/>
      <c r="I640" s="79"/>
      <c r="J640" s="100"/>
      <c r="K640" s="97" t="b">
        <f>IF(AND($M640=TRUE,$N640=TRUE),VLOOKUP($E640,RH!$B$47:$S$67,MONTH($G640)+6,FALSE))</f>
        <v>0</v>
      </c>
      <c r="L640" s="98">
        <f>IFERROR(IF(AND($M640=TRUE,$N640=TRUE),VLOOKUP($E640,RH!$B$47:$S$67,MONTH($G640)+6,FALSE)*$H640,0),0)</f>
        <v>0</v>
      </c>
      <c r="M640" s="99" t="b">
        <f t="shared" si="1"/>
        <v>0</v>
      </c>
      <c r="N640" s="99"/>
      <c r="O640" s="85"/>
      <c r="P640" s="68"/>
    </row>
    <row r="641" hidden="1">
      <c r="A641" s="68"/>
      <c r="B641" s="79"/>
      <c r="C641" s="77"/>
      <c r="D641" s="79"/>
      <c r="E641" s="79"/>
      <c r="F641" s="93"/>
      <c r="G641" s="93"/>
      <c r="H641" s="103"/>
      <c r="I641" s="79"/>
      <c r="J641" s="100"/>
      <c r="K641" s="97" t="b">
        <f>IF(AND($M641=TRUE,$N641=TRUE),VLOOKUP($E641,RH!$B$47:$S$67,MONTH($G641)+6,FALSE))</f>
        <v>0</v>
      </c>
      <c r="L641" s="98">
        <f>IFERROR(IF(AND($M641=TRUE,$N641=TRUE),VLOOKUP($E641,RH!$B$47:$S$67,MONTH($G641)+6,FALSE)*$H641,0),0)</f>
        <v>0</v>
      </c>
      <c r="M641" s="99" t="b">
        <f t="shared" si="1"/>
        <v>0</v>
      </c>
      <c r="N641" s="99"/>
      <c r="O641" s="85"/>
      <c r="P641" s="68"/>
    </row>
    <row r="642" hidden="1">
      <c r="A642" s="68"/>
      <c r="B642" s="79"/>
      <c r="C642" s="77"/>
      <c r="D642" s="79"/>
      <c r="E642" s="79"/>
      <c r="F642" s="93"/>
      <c r="G642" s="93"/>
      <c r="H642" s="103"/>
      <c r="I642" s="79"/>
      <c r="J642" s="100"/>
      <c r="K642" s="97" t="b">
        <f>IF(AND($M642=TRUE,$N642=TRUE),VLOOKUP($E642,RH!$B$47:$S$67,MONTH($G642)+6,FALSE))</f>
        <v>0</v>
      </c>
      <c r="L642" s="98">
        <f>IFERROR(IF(AND($M642=TRUE,$N642=TRUE),VLOOKUP($E642,RH!$B$47:$S$67,MONTH($G642)+6,FALSE)*$H642,0),0)</f>
        <v>0</v>
      </c>
      <c r="M642" s="99" t="b">
        <f t="shared" si="1"/>
        <v>0</v>
      </c>
      <c r="N642" s="99"/>
      <c r="O642" s="85"/>
      <c r="P642" s="68"/>
    </row>
    <row r="643" hidden="1">
      <c r="A643" s="68"/>
      <c r="B643" s="79"/>
      <c r="C643" s="77"/>
      <c r="D643" s="79"/>
      <c r="E643" s="79"/>
      <c r="F643" s="93"/>
      <c r="G643" s="93"/>
      <c r="H643" s="103"/>
      <c r="I643" s="79"/>
      <c r="J643" s="100"/>
      <c r="K643" s="97" t="b">
        <f>IF(AND($M643=TRUE,$N643=TRUE),VLOOKUP($E643,RH!$B$47:$S$67,MONTH($G643)+6,FALSE))</f>
        <v>0</v>
      </c>
      <c r="L643" s="98">
        <f>IFERROR(IF(AND($M643=TRUE,$N643=TRUE),VLOOKUP($E643,RH!$B$47:$S$67,MONTH($G643)+6,FALSE)*$H643,0),0)</f>
        <v>0</v>
      </c>
      <c r="M643" s="99" t="b">
        <f t="shared" si="1"/>
        <v>0</v>
      </c>
      <c r="N643" s="99"/>
      <c r="O643" s="85"/>
      <c r="P643" s="68"/>
    </row>
    <row r="644" hidden="1">
      <c r="A644" s="68"/>
      <c r="B644" s="79"/>
      <c r="C644" s="77"/>
      <c r="D644" s="79"/>
      <c r="E644" s="79"/>
      <c r="F644" s="93"/>
      <c r="G644" s="93"/>
      <c r="H644" s="103"/>
      <c r="I644" s="79"/>
      <c r="J644" s="100"/>
      <c r="K644" s="97" t="b">
        <f>IF(AND($M644=TRUE,$N644=TRUE),VLOOKUP($E644,RH!$B$47:$S$67,MONTH($G644)+6,FALSE))</f>
        <v>0</v>
      </c>
      <c r="L644" s="98">
        <f>IFERROR(IF(AND($M644=TRUE,$N644=TRUE),VLOOKUP($E644,RH!$B$47:$S$67,MONTH($G644)+6,FALSE)*$H644,0),0)</f>
        <v>0</v>
      </c>
      <c r="M644" s="99" t="b">
        <f t="shared" si="1"/>
        <v>0</v>
      </c>
      <c r="N644" s="99"/>
      <c r="O644" s="85"/>
      <c r="P644" s="68"/>
    </row>
    <row r="645" hidden="1">
      <c r="A645" s="68"/>
      <c r="B645" s="79"/>
      <c r="C645" s="77"/>
      <c r="D645" s="79"/>
      <c r="E645" s="79"/>
      <c r="F645" s="93"/>
      <c r="G645" s="93"/>
      <c r="H645" s="103"/>
      <c r="I645" s="79"/>
      <c r="J645" s="100"/>
      <c r="K645" s="97" t="b">
        <f>IF(AND($M645=TRUE,$N645=TRUE),VLOOKUP($E645,RH!$B$47:$S$67,MONTH($G645)+6,FALSE))</f>
        <v>0</v>
      </c>
      <c r="L645" s="98">
        <f>IFERROR(IF(AND($M645=TRUE,$N645=TRUE),VLOOKUP($E645,RH!$B$47:$S$67,MONTH($G645)+6,FALSE)*$H645,0),0)</f>
        <v>0</v>
      </c>
      <c r="M645" s="99" t="b">
        <f t="shared" si="1"/>
        <v>0</v>
      </c>
      <c r="N645" s="99"/>
      <c r="O645" s="85"/>
      <c r="P645" s="68"/>
    </row>
    <row r="646" hidden="1">
      <c r="A646" s="68"/>
      <c r="B646" s="79"/>
      <c r="C646" s="77"/>
      <c r="D646" s="79"/>
      <c r="E646" s="79"/>
      <c r="F646" s="93"/>
      <c r="G646" s="93"/>
      <c r="H646" s="103"/>
      <c r="I646" s="79"/>
      <c r="J646" s="100"/>
      <c r="K646" s="97" t="b">
        <f>IF(AND($M646=TRUE,$N646=TRUE),VLOOKUP($E646,RH!$B$47:$S$67,MONTH($G646)+6,FALSE))</f>
        <v>0</v>
      </c>
      <c r="L646" s="98">
        <f>IFERROR(IF(AND($M646=TRUE,$N646=TRUE),VLOOKUP($E646,RH!$B$47:$S$67,MONTH($G646)+6,FALSE)*$H646,0),0)</f>
        <v>0</v>
      </c>
      <c r="M646" s="99" t="b">
        <f t="shared" si="1"/>
        <v>0</v>
      </c>
      <c r="N646" s="99"/>
      <c r="O646" s="85"/>
      <c r="P646" s="68"/>
    </row>
    <row r="647" hidden="1">
      <c r="A647" s="68"/>
      <c r="B647" s="79"/>
      <c r="C647" s="77"/>
      <c r="D647" s="79"/>
      <c r="E647" s="79"/>
      <c r="F647" s="93"/>
      <c r="G647" s="93"/>
      <c r="H647" s="103"/>
      <c r="I647" s="79"/>
      <c r="J647" s="100"/>
      <c r="K647" s="97" t="b">
        <f>IF(AND($M647=TRUE,$N647=TRUE),VLOOKUP($E647,RH!$B$47:$S$67,MONTH($G647)+6,FALSE))</f>
        <v>0</v>
      </c>
      <c r="L647" s="98">
        <f>IFERROR(IF(AND($M647=TRUE,$N647=TRUE),VLOOKUP($E647,RH!$B$47:$S$67,MONTH($G647)+6,FALSE)*$H647,0),0)</f>
        <v>0</v>
      </c>
      <c r="M647" s="99" t="b">
        <f t="shared" si="1"/>
        <v>0</v>
      </c>
      <c r="N647" s="99"/>
      <c r="O647" s="85"/>
      <c r="P647" s="68"/>
    </row>
    <row r="648" hidden="1">
      <c r="A648" s="68"/>
      <c r="B648" s="79"/>
      <c r="C648" s="77"/>
      <c r="D648" s="79"/>
      <c r="E648" s="79"/>
      <c r="F648" s="93"/>
      <c r="G648" s="93"/>
      <c r="H648" s="103"/>
      <c r="I648" s="79"/>
      <c r="J648" s="100"/>
      <c r="K648" s="97" t="b">
        <f>IF(AND($M648=TRUE,$N648=TRUE),VLOOKUP($E648,RH!$B$47:$S$67,MONTH($G648)+6,FALSE))</f>
        <v>0</v>
      </c>
      <c r="L648" s="98">
        <f>IFERROR(IF(AND($M648=TRUE,$N648=TRUE),VLOOKUP($E648,RH!$B$47:$S$67,MONTH($G648)+6,FALSE)*$H648,0),0)</f>
        <v>0</v>
      </c>
      <c r="M648" s="99" t="b">
        <f t="shared" si="1"/>
        <v>0</v>
      </c>
      <c r="N648" s="99"/>
      <c r="O648" s="85"/>
      <c r="P648" s="68"/>
    </row>
    <row r="649" hidden="1">
      <c r="A649" s="68"/>
      <c r="B649" s="79"/>
      <c r="C649" s="77"/>
      <c r="D649" s="79"/>
      <c r="E649" s="79"/>
      <c r="F649" s="93"/>
      <c r="G649" s="93"/>
      <c r="H649" s="103"/>
      <c r="I649" s="79"/>
      <c r="J649" s="100"/>
      <c r="K649" s="97" t="b">
        <f>IF(AND($M649=TRUE,$N649=TRUE),VLOOKUP($E649,RH!$B$47:$S$67,MONTH($G649)+6,FALSE))</f>
        <v>0</v>
      </c>
      <c r="L649" s="98">
        <f>IFERROR(IF(AND($M649=TRUE,$N649=TRUE),VLOOKUP($E649,RH!$B$47:$S$67,MONTH($G649)+6,FALSE)*$H649,0),0)</f>
        <v>0</v>
      </c>
      <c r="M649" s="99" t="b">
        <f t="shared" si="1"/>
        <v>0</v>
      </c>
      <c r="N649" s="99"/>
      <c r="O649" s="85"/>
      <c r="P649" s="68"/>
    </row>
    <row r="650" hidden="1">
      <c r="A650" s="68"/>
      <c r="B650" s="79"/>
      <c r="C650" s="77"/>
      <c r="D650" s="79"/>
      <c r="E650" s="79"/>
      <c r="F650" s="93"/>
      <c r="G650" s="93"/>
      <c r="H650" s="103"/>
      <c r="I650" s="79"/>
      <c r="J650" s="100"/>
      <c r="K650" s="97" t="b">
        <f>IF(AND($M650=TRUE,$N650=TRUE),VLOOKUP($E650,RH!$B$47:$S$67,MONTH($G650)+6,FALSE))</f>
        <v>0</v>
      </c>
      <c r="L650" s="98">
        <f>IFERROR(IF(AND($M650=TRUE,$N650=TRUE),VLOOKUP($E650,RH!$B$47:$S$67,MONTH($G650)+6,FALSE)*$H650,0),0)</f>
        <v>0</v>
      </c>
      <c r="M650" s="99" t="b">
        <f t="shared" si="1"/>
        <v>0</v>
      </c>
      <c r="N650" s="99"/>
      <c r="O650" s="85"/>
      <c r="P650" s="68"/>
    </row>
    <row r="651" hidden="1">
      <c r="A651" s="68"/>
      <c r="B651" s="79"/>
      <c r="C651" s="77"/>
      <c r="D651" s="79"/>
      <c r="E651" s="79"/>
      <c r="F651" s="93"/>
      <c r="G651" s="93"/>
      <c r="H651" s="103"/>
      <c r="I651" s="79"/>
      <c r="J651" s="100"/>
      <c r="K651" s="97" t="b">
        <f>IF(AND($M651=TRUE,$N651=TRUE),VLOOKUP($E651,RH!$B$47:$S$67,MONTH($G651)+6,FALSE))</f>
        <v>0</v>
      </c>
      <c r="L651" s="98">
        <f>IFERROR(IF(AND($M651=TRUE,$N651=TRUE),VLOOKUP($E651,RH!$B$47:$S$67,MONTH($G651)+6,FALSE)*$H651,0),0)</f>
        <v>0</v>
      </c>
      <c r="M651" s="99" t="b">
        <f t="shared" si="1"/>
        <v>0</v>
      </c>
      <c r="N651" s="99"/>
      <c r="O651" s="85"/>
      <c r="P651" s="68"/>
    </row>
    <row r="652" hidden="1">
      <c r="A652" s="68"/>
      <c r="B652" s="79"/>
      <c r="C652" s="77"/>
      <c r="D652" s="79"/>
      <c r="E652" s="79"/>
      <c r="F652" s="93"/>
      <c r="G652" s="93"/>
      <c r="H652" s="103"/>
      <c r="I652" s="79"/>
      <c r="J652" s="100"/>
      <c r="K652" s="97" t="b">
        <f>IF(AND($M652=TRUE,$N652=TRUE),VLOOKUP($E652,RH!$B$47:$S$67,MONTH($G652)+6,FALSE))</f>
        <v>0</v>
      </c>
      <c r="L652" s="98">
        <f>IFERROR(IF(AND($M652=TRUE,$N652=TRUE),VLOOKUP($E652,RH!$B$47:$S$67,MONTH($G652)+6,FALSE)*$H652,0),0)</f>
        <v>0</v>
      </c>
      <c r="M652" s="99" t="b">
        <f t="shared" si="1"/>
        <v>0</v>
      </c>
      <c r="N652" s="99"/>
      <c r="O652" s="85"/>
      <c r="P652" s="68"/>
    </row>
    <row r="653" hidden="1">
      <c r="A653" s="68"/>
      <c r="B653" s="79"/>
      <c r="C653" s="77"/>
      <c r="D653" s="79"/>
      <c r="E653" s="79"/>
      <c r="F653" s="93"/>
      <c r="G653" s="93"/>
      <c r="H653" s="103"/>
      <c r="I653" s="79"/>
      <c r="J653" s="100"/>
      <c r="K653" s="97" t="b">
        <f>IF(AND($M653=TRUE,$N653=TRUE),VLOOKUP($E653,RH!$B$47:$S$67,MONTH($G653)+6,FALSE))</f>
        <v>0</v>
      </c>
      <c r="L653" s="98">
        <f>IFERROR(IF(AND($M653=TRUE,$N653=TRUE),VLOOKUP($E653,RH!$B$47:$S$67,MONTH($G653)+6,FALSE)*$H653,0),0)</f>
        <v>0</v>
      </c>
      <c r="M653" s="99" t="b">
        <f t="shared" si="1"/>
        <v>0</v>
      </c>
      <c r="N653" s="99"/>
      <c r="O653" s="85"/>
      <c r="P653" s="68"/>
    </row>
    <row r="654" hidden="1">
      <c r="A654" s="68"/>
      <c r="B654" s="79"/>
      <c r="C654" s="77"/>
      <c r="D654" s="79"/>
      <c r="E654" s="79"/>
      <c r="F654" s="93"/>
      <c r="G654" s="93"/>
      <c r="H654" s="103"/>
      <c r="I654" s="79"/>
      <c r="J654" s="100"/>
      <c r="K654" s="97" t="b">
        <f>IF(AND($M654=TRUE,$N654=TRUE),VLOOKUP($E654,RH!$B$47:$S$67,MONTH($G654)+6,FALSE))</f>
        <v>0</v>
      </c>
      <c r="L654" s="98">
        <f>IFERROR(IF(AND($M654=TRUE,$N654=TRUE),VLOOKUP($E654,RH!$B$47:$S$67,MONTH($G654)+6,FALSE)*$H654,0),0)</f>
        <v>0</v>
      </c>
      <c r="M654" s="99" t="b">
        <f t="shared" si="1"/>
        <v>0</v>
      </c>
      <c r="N654" s="99"/>
      <c r="O654" s="85"/>
      <c r="P654" s="68"/>
    </row>
    <row r="655" hidden="1">
      <c r="A655" s="68"/>
      <c r="B655" s="79"/>
      <c r="C655" s="77"/>
      <c r="D655" s="79"/>
      <c r="E655" s="79"/>
      <c r="F655" s="93"/>
      <c r="G655" s="93"/>
      <c r="H655" s="103"/>
      <c r="I655" s="79"/>
      <c r="J655" s="100"/>
      <c r="K655" s="97" t="b">
        <f>IF(AND($M655=TRUE,$N655=TRUE),VLOOKUP($E655,RH!$B$47:$S$67,MONTH($G655)+6,FALSE))</f>
        <v>0</v>
      </c>
      <c r="L655" s="98">
        <f>IFERROR(IF(AND($M655=TRUE,$N655=TRUE),VLOOKUP($E655,RH!$B$47:$S$67,MONTH($G655)+6,FALSE)*$H655,0),0)</f>
        <v>0</v>
      </c>
      <c r="M655" s="99" t="b">
        <f t="shared" si="1"/>
        <v>0</v>
      </c>
      <c r="N655" s="99"/>
      <c r="O655" s="85"/>
      <c r="P655" s="68"/>
    </row>
    <row r="656" hidden="1">
      <c r="A656" s="68"/>
      <c r="B656" s="79"/>
      <c r="C656" s="77"/>
      <c r="D656" s="79"/>
      <c r="E656" s="79"/>
      <c r="F656" s="93"/>
      <c r="G656" s="93"/>
      <c r="H656" s="103"/>
      <c r="I656" s="79"/>
      <c r="J656" s="100"/>
      <c r="K656" s="97" t="b">
        <f>IF(AND($M656=TRUE,$N656=TRUE),VLOOKUP($E656,RH!$B$47:$S$67,MONTH($G656)+6,FALSE))</f>
        <v>0</v>
      </c>
      <c r="L656" s="98">
        <f>IFERROR(IF(AND($M656=TRUE,$N656=TRUE),VLOOKUP($E656,RH!$B$47:$S$67,MONTH($G656)+6,FALSE)*$H656,0),0)</f>
        <v>0</v>
      </c>
      <c r="M656" s="99" t="b">
        <f t="shared" si="1"/>
        <v>0</v>
      </c>
      <c r="N656" s="99"/>
      <c r="O656" s="85"/>
      <c r="P656" s="68"/>
    </row>
    <row r="657" hidden="1">
      <c r="A657" s="68"/>
      <c r="B657" s="79"/>
      <c r="C657" s="77"/>
      <c r="D657" s="79"/>
      <c r="E657" s="79"/>
      <c r="F657" s="93"/>
      <c r="G657" s="93"/>
      <c r="H657" s="103"/>
      <c r="I657" s="79"/>
      <c r="J657" s="100"/>
      <c r="K657" s="97" t="b">
        <f>IF(AND($M657=TRUE,$N657=TRUE),VLOOKUP($E657,RH!$B$47:$S$67,MONTH($G657)+6,FALSE))</f>
        <v>0</v>
      </c>
      <c r="L657" s="98">
        <f>IFERROR(IF(AND($M657=TRUE,$N657=TRUE),VLOOKUP($E657,RH!$B$47:$S$67,MONTH($G657)+6,FALSE)*$H657,0),0)</f>
        <v>0</v>
      </c>
      <c r="M657" s="99" t="b">
        <f t="shared" si="1"/>
        <v>0</v>
      </c>
      <c r="N657" s="99"/>
      <c r="O657" s="85"/>
      <c r="P657" s="68"/>
    </row>
    <row r="658" hidden="1">
      <c r="A658" s="68"/>
      <c r="B658" s="79"/>
      <c r="C658" s="77"/>
      <c r="D658" s="79"/>
      <c r="E658" s="79"/>
      <c r="F658" s="93"/>
      <c r="G658" s="93"/>
      <c r="H658" s="103"/>
      <c r="I658" s="79"/>
      <c r="J658" s="100"/>
      <c r="K658" s="97" t="b">
        <f>IF(AND($M658=TRUE,$N658=TRUE),VLOOKUP($E658,RH!$B$47:$S$67,MONTH($G658)+6,FALSE))</f>
        <v>0</v>
      </c>
      <c r="L658" s="98">
        <f>IFERROR(IF(AND($M658=TRUE,$N658=TRUE),VLOOKUP($E658,RH!$B$47:$S$67,MONTH($G658)+6,FALSE)*$H658,0),0)</f>
        <v>0</v>
      </c>
      <c r="M658" s="99" t="b">
        <f t="shared" si="1"/>
        <v>0</v>
      </c>
      <c r="N658" s="99"/>
      <c r="O658" s="85"/>
      <c r="P658" s="68"/>
    </row>
    <row r="659" hidden="1">
      <c r="A659" s="68"/>
      <c r="B659" s="79"/>
      <c r="C659" s="77"/>
      <c r="D659" s="79"/>
      <c r="E659" s="79"/>
      <c r="F659" s="93"/>
      <c r="G659" s="93"/>
      <c r="H659" s="103"/>
      <c r="I659" s="79"/>
      <c r="J659" s="100"/>
      <c r="K659" s="97" t="b">
        <f>IF(AND($M659=TRUE,$N659=TRUE),VLOOKUP($E659,RH!$B$47:$S$67,MONTH($G659)+6,FALSE))</f>
        <v>0</v>
      </c>
      <c r="L659" s="98">
        <f>IFERROR(IF(AND($M659=TRUE,$N659=TRUE),VLOOKUP($E659,RH!$B$47:$S$67,MONTH($G659)+6,FALSE)*$H659,0),0)</f>
        <v>0</v>
      </c>
      <c r="M659" s="99" t="b">
        <f t="shared" si="1"/>
        <v>0</v>
      </c>
      <c r="N659" s="99"/>
      <c r="O659" s="85"/>
      <c r="P659" s="68"/>
    </row>
    <row r="660" hidden="1">
      <c r="A660" s="68"/>
      <c r="B660" s="79"/>
      <c r="C660" s="77"/>
      <c r="D660" s="79"/>
      <c r="E660" s="79"/>
      <c r="F660" s="93"/>
      <c r="G660" s="93"/>
      <c r="H660" s="103"/>
      <c r="I660" s="79"/>
      <c r="J660" s="100"/>
      <c r="K660" s="97" t="b">
        <f>IF(AND($M660=TRUE,$N660=TRUE),VLOOKUP($E660,RH!$B$47:$S$67,MONTH($G660)+6,FALSE))</f>
        <v>0</v>
      </c>
      <c r="L660" s="98">
        <f>IFERROR(IF(AND($M660=TRUE,$N660=TRUE),VLOOKUP($E660,RH!$B$47:$S$67,MONTH($G660)+6,FALSE)*$H660,0),0)</f>
        <v>0</v>
      </c>
      <c r="M660" s="99" t="b">
        <f t="shared" si="1"/>
        <v>0</v>
      </c>
      <c r="N660" s="99"/>
      <c r="O660" s="85"/>
      <c r="P660" s="68"/>
    </row>
    <row r="661" hidden="1">
      <c r="A661" s="68"/>
      <c r="B661" s="79"/>
      <c r="C661" s="77"/>
      <c r="D661" s="79"/>
      <c r="E661" s="79"/>
      <c r="F661" s="93"/>
      <c r="G661" s="93"/>
      <c r="H661" s="103"/>
      <c r="I661" s="79"/>
      <c r="J661" s="100"/>
      <c r="K661" s="97" t="b">
        <f>IF(AND($M661=TRUE,$N661=TRUE),VLOOKUP($E661,RH!$B$47:$S$67,MONTH($G661)+6,FALSE))</f>
        <v>0</v>
      </c>
      <c r="L661" s="98">
        <f>IFERROR(IF(AND($M661=TRUE,$N661=TRUE),VLOOKUP($E661,RH!$B$47:$S$67,MONTH($G661)+6,FALSE)*$H661,0),0)</f>
        <v>0</v>
      </c>
      <c r="M661" s="99" t="b">
        <f t="shared" si="1"/>
        <v>0</v>
      </c>
      <c r="N661" s="99"/>
      <c r="O661" s="85"/>
      <c r="P661" s="68"/>
    </row>
    <row r="662" hidden="1">
      <c r="A662" s="68"/>
      <c r="B662" s="79"/>
      <c r="C662" s="77"/>
      <c r="D662" s="79"/>
      <c r="E662" s="79"/>
      <c r="F662" s="93"/>
      <c r="G662" s="93"/>
      <c r="H662" s="103"/>
      <c r="I662" s="79"/>
      <c r="J662" s="100"/>
      <c r="K662" s="97" t="b">
        <f>IF(AND($M662=TRUE,$N662=TRUE),VLOOKUP($E662,RH!$B$47:$S$67,MONTH($G662)+6,FALSE))</f>
        <v>0</v>
      </c>
      <c r="L662" s="98">
        <f>IFERROR(IF(AND($M662=TRUE,$N662=TRUE),VLOOKUP($E662,RH!$B$47:$S$67,MONTH($G662)+6,FALSE)*$H662,0),0)</f>
        <v>0</v>
      </c>
      <c r="M662" s="99" t="b">
        <f t="shared" si="1"/>
        <v>0</v>
      </c>
      <c r="N662" s="99"/>
      <c r="O662" s="85"/>
      <c r="P662" s="68"/>
    </row>
    <row r="663" hidden="1">
      <c r="A663" s="68"/>
      <c r="B663" s="79"/>
      <c r="C663" s="77"/>
      <c r="D663" s="79"/>
      <c r="E663" s="79"/>
      <c r="F663" s="93"/>
      <c r="G663" s="93"/>
      <c r="H663" s="103"/>
      <c r="I663" s="79"/>
      <c r="J663" s="100"/>
      <c r="K663" s="97" t="b">
        <f>IF(AND($M663=TRUE,$N663=TRUE),VLOOKUP($E663,RH!$B$47:$S$67,MONTH($G663)+6,FALSE))</f>
        <v>0</v>
      </c>
      <c r="L663" s="98">
        <f>IFERROR(IF(AND($M663=TRUE,$N663=TRUE),VLOOKUP($E663,RH!$B$47:$S$67,MONTH($G663)+6,FALSE)*$H663,0),0)</f>
        <v>0</v>
      </c>
      <c r="M663" s="99" t="b">
        <f t="shared" si="1"/>
        <v>0</v>
      </c>
      <c r="N663" s="99"/>
      <c r="O663" s="85"/>
      <c r="P663" s="68"/>
    </row>
    <row r="664" hidden="1">
      <c r="A664" s="68"/>
      <c r="B664" s="79"/>
      <c r="C664" s="77"/>
      <c r="D664" s="79"/>
      <c r="E664" s="79"/>
      <c r="F664" s="93"/>
      <c r="G664" s="93"/>
      <c r="H664" s="103"/>
      <c r="I664" s="79"/>
      <c r="J664" s="100"/>
      <c r="K664" s="97" t="b">
        <f>IF(AND($M664=TRUE,$N664=TRUE),VLOOKUP($E664,RH!$B$47:$S$67,MONTH($G664)+6,FALSE))</f>
        <v>0</v>
      </c>
      <c r="L664" s="98">
        <f>IFERROR(IF(AND($M664=TRUE,$N664=TRUE),VLOOKUP($E664,RH!$B$47:$S$67,MONTH($G664)+6,FALSE)*$H664,0),0)</f>
        <v>0</v>
      </c>
      <c r="M664" s="99" t="b">
        <f t="shared" si="1"/>
        <v>0</v>
      </c>
      <c r="N664" s="99"/>
      <c r="O664" s="85"/>
      <c r="P664" s="68"/>
    </row>
    <row r="665" hidden="1">
      <c r="A665" s="68"/>
      <c r="B665" s="79"/>
      <c r="C665" s="77"/>
      <c r="D665" s="79"/>
      <c r="E665" s="79"/>
      <c r="F665" s="93"/>
      <c r="G665" s="93"/>
      <c r="H665" s="103"/>
      <c r="I665" s="79"/>
      <c r="J665" s="100"/>
      <c r="K665" s="97" t="b">
        <f>IF(AND($M665=TRUE,$N665=TRUE),VLOOKUP($E665,RH!$B$47:$S$67,MONTH($G665)+6,FALSE))</f>
        <v>0</v>
      </c>
      <c r="L665" s="98">
        <f>IFERROR(IF(AND($M665=TRUE,$N665=TRUE),VLOOKUP($E665,RH!$B$47:$S$67,MONTH($G665)+6,FALSE)*$H665,0),0)</f>
        <v>0</v>
      </c>
      <c r="M665" s="99" t="b">
        <f t="shared" si="1"/>
        <v>0</v>
      </c>
      <c r="N665" s="99"/>
      <c r="O665" s="85"/>
      <c r="P665" s="68"/>
    </row>
    <row r="666" hidden="1">
      <c r="A666" s="68"/>
      <c r="B666" s="79"/>
      <c r="C666" s="77"/>
      <c r="D666" s="79"/>
      <c r="E666" s="79"/>
      <c r="F666" s="93"/>
      <c r="G666" s="93"/>
      <c r="H666" s="103"/>
      <c r="I666" s="79"/>
      <c r="J666" s="100"/>
      <c r="K666" s="97" t="b">
        <f>IF(AND($M666=TRUE,$N666=TRUE),VLOOKUP($E666,RH!$B$47:$S$67,MONTH($G666)+6,FALSE))</f>
        <v>0</v>
      </c>
      <c r="L666" s="98">
        <f>IFERROR(IF(AND($M666=TRUE,$N666=TRUE),VLOOKUP($E666,RH!$B$47:$S$67,MONTH($G666)+6,FALSE)*$H666,0),0)</f>
        <v>0</v>
      </c>
      <c r="M666" s="99" t="b">
        <f t="shared" si="1"/>
        <v>0</v>
      </c>
      <c r="N666" s="99"/>
      <c r="O666" s="85"/>
      <c r="P666" s="68"/>
    </row>
    <row r="667" hidden="1">
      <c r="A667" s="68"/>
      <c r="B667" s="79"/>
      <c r="C667" s="77"/>
      <c r="D667" s="79"/>
      <c r="E667" s="79"/>
      <c r="F667" s="93"/>
      <c r="G667" s="93"/>
      <c r="H667" s="103"/>
      <c r="I667" s="79"/>
      <c r="J667" s="100"/>
      <c r="K667" s="97" t="b">
        <f>IF(AND($M667=TRUE,$N667=TRUE),VLOOKUP($E667,RH!$B$47:$S$67,MONTH($G667)+6,FALSE))</f>
        <v>0</v>
      </c>
      <c r="L667" s="98">
        <f>IFERROR(IF(AND($M667=TRUE,$N667=TRUE),VLOOKUP($E667,RH!$B$47:$S$67,MONTH($G667)+6,FALSE)*$H667,0),0)</f>
        <v>0</v>
      </c>
      <c r="M667" s="99" t="b">
        <f t="shared" si="1"/>
        <v>0</v>
      </c>
      <c r="N667" s="99"/>
      <c r="O667" s="85"/>
      <c r="P667" s="68"/>
    </row>
    <row r="668" hidden="1">
      <c r="A668" s="68"/>
      <c r="B668" s="79"/>
      <c r="C668" s="77"/>
      <c r="D668" s="79"/>
      <c r="E668" s="79"/>
      <c r="F668" s="93"/>
      <c r="G668" s="93"/>
      <c r="H668" s="103"/>
      <c r="I668" s="79"/>
      <c r="J668" s="100"/>
      <c r="K668" s="97" t="b">
        <f>IF(AND($M668=TRUE,$N668=TRUE),VLOOKUP($E668,RH!$B$47:$S$67,MONTH($G668)+6,FALSE))</f>
        <v>0</v>
      </c>
      <c r="L668" s="98">
        <f>IFERROR(IF(AND($M668=TRUE,$N668=TRUE),VLOOKUP($E668,RH!$B$47:$S$67,MONTH($G668)+6,FALSE)*$H668,0),0)</f>
        <v>0</v>
      </c>
      <c r="M668" s="99" t="b">
        <f t="shared" si="1"/>
        <v>0</v>
      </c>
      <c r="N668" s="99"/>
      <c r="O668" s="85"/>
      <c r="P668" s="68"/>
    </row>
    <row r="669" hidden="1">
      <c r="A669" s="68"/>
      <c r="B669" s="79"/>
      <c r="C669" s="77"/>
      <c r="D669" s="79"/>
      <c r="E669" s="79"/>
      <c r="F669" s="93"/>
      <c r="G669" s="93"/>
      <c r="H669" s="103"/>
      <c r="I669" s="79"/>
      <c r="J669" s="100"/>
      <c r="K669" s="97" t="b">
        <f>IF(AND($M669=TRUE,$N669=TRUE),VLOOKUP($E669,RH!$B$47:$S$67,MONTH($G669)+6,FALSE))</f>
        <v>0</v>
      </c>
      <c r="L669" s="98">
        <f>IFERROR(IF(AND($M669=TRUE,$N669=TRUE),VLOOKUP($E669,RH!$B$47:$S$67,MONTH($G669)+6,FALSE)*$H669,0),0)</f>
        <v>0</v>
      </c>
      <c r="M669" s="99" t="b">
        <f t="shared" si="1"/>
        <v>0</v>
      </c>
      <c r="N669" s="99"/>
      <c r="O669" s="85"/>
      <c r="P669" s="68"/>
    </row>
    <row r="670" hidden="1">
      <c r="A670" s="68"/>
      <c r="B670" s="79"/>
      <c r="C670" s="77"/>
      <c r="D670" s="79"/>
      <c r="E670" s="79"/>
      <c r="F670" s="93"/>
      <c r="G670" s="93"/>
      <c r="H670" s="103"/>
      <c r="I670" s="79"/>
      <c r="J670" s="100"/>
      <c r="K670" s="97" t="b">
        <f>IF(AND($M670=TRUE,$N670=TRUE),VLOOKUP($E670,RH!$B$47:$S$67,MONTH($G670)+6,FALSE))</f>
        <v>0</v>
      </c>
      <c r="L670" s="98">
        <f>IFERROR(IF(AND($M670=TRUE,$N670=TRUE),VLOOKUP($E670,RH!$B$47:$S$67,MONTH($G670)+6,FALSE)*$H670,0),0)</f>
        <v>0</v>
      </c>
      <c r="M670" s="99" t="b">
        <f t="shared" si="1"/>
        <v>0</v>
      </c>
      <c r="N670" s="99"/>
      <c r="O670" s="85"/>
      <c r="P670" s="68"/>
    </row>
    <row r="671" hidden="1">
      <c r="A671" s="68"/>
      <c r="B671" s="79"/>
      <c r="C671" s="77"/>
      <c r="D671" s="79"/>
      <c r="E671" s="79"/>
      <c r="F671" s="93"/>
      <c r="G671" s="93"/>
      <c r="H671" s="103"/>
      <c r="I671" s="79"/>
      <c r="J671" s="100"/>
      <c r="K671" s="97" t="b">
        <f>IF(AND($M671=TRUE,$N671=TRUE),VLOOKUP($E671,RH!$B$47:$S$67,MONTH($G671)+6,FALSE))</f>
        <v>0</v>
      </c>
      <c r="L671" s="98">
        <f>IFERROR(IF(AND($M671=TRUE,$N671=TRUE),VLOOKUP($E671,RH!$B$47:$S$67,MONTH($G671)+6,FALSE)*$H671,0),0)</f>
        <v>0</v>
      </c>
      <c r="M671" s="99" t="b">
        <f t="shared" si="1"/>
        <v>0</v>
      </c>
      <c r="N671" s="99"/>
      <c r="O671" s="85"/>
      <c r="P671" s="68"/>
    </row>
    <row r="672" hidden="1">
      <c r="A672" s="68"/>
      <c r="B672" s="79"/>
      <c r="C672" s="77"/>
      <c r="D672" s="79"/>
      <c r="E672" s="79"/>
      <c r="F672" s="93"/>
      <c r="G672" s="93"/>
      <c r="H672" s="103"/>
      <c r="I672" s="79"/>
      <c r="J672" s="100"/>
      <c r="K672" s="97" t="b">
        <f>IF(AND($M672=TRUE,$N672=TRUE),VLOOKUP($E672,RH!$B$47:$S$67,MONTH($G672)+6,FALSE))</f>
        <v>0</v>
      </c>
      <c r="L672" s="98">
        <f>IFERROR(IF(AND($M672=TRUE,$N672=TRUE),VLOOKUP($E672,RH!$B$47:$S$67,MONTH($G672)+6,FALSE)*$H672,0),0)</f>
        <v>0</v>
      </c>
      <c r="M672" s="99" t="b">
        <f t="shared" si="1"/>
        <v>0</v>
      </c>
      <c r="N672" s="99"/>
      <c r="O672" s="85"/>
      <c r="P672" s="68"/>
    </row>
    <row r="673" hidden="1">
      <c r="A673" s="68"/>
      <c r="B673" s="79"/>
      <c r="C673" s="77"/>
      <c r="D673" s="79"/>
      <c r="E673" s="79"/>
      <c r="F673" s="93"/>
      <c r="G673" s="93"/>
      <c r="H673" s="103"/>
      <c r="I673" s="79"/>
      <c r="J673" s="100"/>
      <c r="K673" s="97" t="b">
        <f>IF(AND($M673=TRUE,$N673=TRUE),VLOOKUP($E673,RH!$B$47:$S$67,MONTH($G673)+6,FALSE))</f>
        <v>0</v>
      </c>
      <c r="L673" s="98">
        <f>IFERROR(IF(AND($M673=TRUE,$N673=TRUE),VLOOKUP($E673,RH!$B$47:$S$67,MONTH($G673)+6,FALSE)*$H673,0),0)</f>
        <v>0</v>
      </c>
      <c r="M673" s="99" t="b">
        <f t="shared" si="1"/>
        <v>0</v>
      </c>
      <c r="N673" s="99"/>
      <c r="O673" s="85"/>
      <c r="P673" s="68"/>
    </row>
    <row r="674" hidden="1">
      <c r="A674" s="68"/>
      <c r="B674" s="79"/>
      <c r="C674" s="77"/>
      <c r="D674" s="79"/>
      <c r="E674" s="79"/>
      <c r="F674" s="93"/>
      <c r="G674" s="93"/>
      <c r="H674" s="103"/>
      <c r="I674" s="79"/>
      <c r="J674" s="100"/>
      <c r="K674" s="97" t="b">
        <f>IF(AND($M674=TRUE,$N674=TRUE),VLOOKUP($E674,RH!$B$47:$S$67,MONTH($G674)+6,FALSE))</f>
        <v>0</v>
      </c>
      <c r="L674" s="98">
        <f>IFERROR(IF(AND($M674=TRUE,$N674=TRUE),VLOOKUP($E674,RH!$B$47:$S$67,MONTH($G674)+6,FALSE)*$H674,0),0)</f>
        <v>0</v>
      </c>
      <c r="M674" s="99" t="b">
        <f t="shared" si="1"/>
        <v>0</v>
      </c>
      <c r="N674" s="99"/>
      <c r="O674" s="85"/>
      <c r="P674" s="68"/>
    </row>
    <row r="675" hidden="1">
      <c r="A675" s="68"/>
      <c r="B675" s="79"/>
      <c r="C675" s="77"/>
      <c r="D675" s="79"/>
      <c r="E675" s="79"/>
      <c r="F675" s="93"/>
      <c r="G675" s="93"/>
      <c r="H675" s="103"/>
      <c r="I675" s="79"/>
      <c r="J675" s="100"/>
      <c r="K675" s="97" t="b">
        <f>IF(AND($M675=TRUE,$N675=TRUE),VLOOKUP($E675,RH!$B$47:$S$67,MONTH($G675)+6,FALSE))</f>
        <v>0</v>
      </c>
      <c r="L675" s="98">
        <f>IFERROR(IF(AND($M675=TRUE,$N675=TRUE),VLOOKUP($E675,RH!$B$47:$S$67,MONTH($G675)+6,FALSE)*$H675,0),0)</f>
        <v>0</v>
      </c>
      <c r="M675" s="99" t="b">
        <f t="shared" si="1"/>
        <v>0</v>
      </c>
      <c r="N675" s="99"/>
      <c r="O675" s="85"/>
      <c r="P675" s="68"/>
    </row>
    <row r="676" hidden="1">
      <c r="A676" s="68"/>
      <c r="B676" s="79"/>
      <c r="C676" s="77"/>
      <c r="D676" s="79"/>
      <c r="E676" s="79"/>
      <c r="F676" s="93"/>
      <c r="G676" s="93"/>
      <c r="H676" s="103"/>
      <c r="I676" s="79"/>
      <c r="J676" s="100"/>
      <c r="K676" s="97" t="b">
        <f>IF(AND($M676=TRUE,$N676=TRUE),VLOOKUP($E676,RH!$B$47:$S$67,MONTH($G676)+6,FALSE))</f>
        <v>0</v>
      </c>
      <c r="L676" s="98">
        <f>IFERROR(IF(AND($M676=TRUE,$N676=TRUE),VLOOKUP($E676,RH!$B$47:$S$67,MONTH($G676)+6,FALSE)*$H676,0),0)</f>
        <v>0</v>
      </c>
      <c r="M676" s="99" t="b">
        <f t="shared" si="1"/>
        <v>0</v>
      </c>
      <c r="N676" s="99"/>
      <c r="O676" s="85"/>
      <c r="P676" s="68"/>
    </row>
    <row r="677" hidden="1">
      <c r="A677" s="68"/>
      <c r="B677" s="79"/>
      <c r="C677" s="77"/>
      <c r="D677" s="79"/>
      <c r="E677" s="79"/>
      <c r="F677" s="93"/>
      <c r="G677" s="93"/>
      <c r="H677" s="103"/>
      <c r="I677" s="79"/>
      <c r="J677" s="100"/>
      <c r="K677" s="97" t="b">
        <f>IF(AND($M677=TRUE,$N677=TRUE),VLOOKUP($E677,RH!$B$47:$S$67,MONTH($G677)+6,FALSE))</f>
        <v>0</v>
      </c>
      <c r="L677" s="98">
        <f>IFERROR(IF(AND($M677=TRUE,$N677=TRUE),VLOOKUP($E677,RH!$B$47:$S$67,MONTH($G677)+6,FALSE)*$H677,0),0)</f>
        <v>0</v>
      </c>
      <c r="M677" s="99" t="b">
        <f t="shared" si="1"/>
        <v>0</v>
      </c>
      <c r="N677" s="99"/>
      <c r="O677" s="85"/>
      <c r="P677" s="68"/>
    </row>
    <row r="678" hidden="1">
      <c r="A678" s="68"/>
      <c r="B678" s="79"/>
      <c r="C678" s="77"/>
      <c r="D678" s="79"/>
      <c r="E678" s="79"/>
      <c r="F678" s="93"/>
      <c r="G678" s="93"/>
      <c r="H678" s="103"/>
      <c r="I678" s="79"/>
      <c r="J678" s="100"/>
      <c r="K678" s="97" t="b">
        <f>IF(AND($M678=TRUE,$N678=TRUE),VLOOKUP($E678,RH!$B$47:$S$67,MONTH($G678)+6,FALSE))</f>
        <v>0</v>
      </c>
      <c r="L678" s="98">
        <f>IFERROR(IF(AND($M678=TRUE,$N678=TRUE),VLOOKUP($E678,RH!$B$47:$S$67,MONTH($G678)+6,FALSE)*$H678,0),0)</f>
        <v>0</v>
      </c>
      <c r="M678" s="99" t="b">
        <f t="shared" si="1"/>
        <v>0</v>
      </c>
      <c r="N678" s="99"/>
      <c r="O678" s="85"/>
      <c r="P678" s="68"/>
    </row>
    <row r="679" hidden="1">
      <c r="A679" s="68"/>
      <c r="B679" s="79"/>
      <c r="C679" s="77"/>
      <c r="D679" s="79"/>
      <c r="E679" s="79"/>
      <c r="F679" s="93"/>
      <c r="G679" s="93"/>
      <c r="H679" s="103"/>
      <c r="I679" s="79"/>
      <c r="J679" s="100"/>
      <c r="K679" s="97" t="b">
        <f>IF(AND($M679=TRUE,$N679=TRUE),VLOOKUP($E679,RH!$B$47:$S$67,MONTH($G679)+6,FALSE))</f>
        <v>0</v>
      </c>
      <c r="L679" s="98">
        <f>IFERROR(IF(AND($M679=TRUE,$N679=TRUE),VLOOKUP($E679,RH!$B$47:$S$67,MONTH($G679)+6,FALSE)*$H679,0),0)</f>
        <v>0</v>
      </c>
      <c r="M679" s="99" t="b">
        <f t="shared" si="1"/>
        <v>0</v>
      </c>
      <c r="N679" s="99"/>
      <c r="O679" s="85"/>
      <c r="P679" s="68"/>
    </row>
    <row r="680" hidden="1">
      <c r="A680" s="68"/>
      <c r="B680" s="79"/>
      <c r="C680" s="77"/>
      <c r="D680" s="79"/>
      <c r="E680" s="79"/>
      <c r="F680" s="93"/>
      <c r="G680" s="93"/>
      <c r="H680" s="103"/>
      <c r="I680" s="79"/>
      <c r="J680" s="100"/>
      <c r="K680" s="97" t="b">
        <f>IF(AND($M680=TRUE,$N680=TRUE),VLOOKUP($E680,RH!$B$47:$S$67,MONTH($G680)+6,FALSE))</f>
        <v>0</v>
      </c>
      <c r="L680" s="98">
        <f>IFERROR(IF(AND($M680=TRUE,$N680=TRUE),VLOOKUP($E680,RH!$B$47:$S$67,MONTH($G680)+6,FALSE)*$H680,0),0)</f>
        <v>0</v>
      </c>
      <c r="M680" s="99" t="b">
        <f t="shared" si="1"/>
        <v>0</v>
      </c>
      <c r="N680" s="99"/>
      <c r="O680" s="85"/>
      <c r="P680" s="68"/>
    </row>
    <row r="681" hidden="1">
      <c r="A681" s="68"/>
      <c r="B681" s="79"/>
      <c r="C681" s="77"/>
      <c r="D681" s="79"/>
      <c r="E681" s="79"/>
      <c r="F681" s="93"/>
      <c r="G681" s="93"/>
      <c r="H681" s="103"/>
      <c r="I681" s="79"/>
      <c r="J681" s="100"/>
      <c r="K681" s="97" t="b">
        <f>IF(AND($M681=TRUE,$N681=TRUE),VLOOKUP($E681,RH!$B$47:$S$67,MONTH($G681)+6,FALSE))</f>
        <v>0</v>
      </c>
      <c r="L681" s="98">
        <f>IFERROR(IF(AND($M681=TRUE,$N681=TRUE),VLOOKUP($E681,RH!$B$47:$S$67,MONTH($G681)+6,FALSE)*$H681,0),0)</f>
        <v>0</v>
      </c>
      <c r="M681" s="99" t="b">
        <f t="shared" si="1"/>
        <v>0</v>
      </c>
      <c r="N681" s="99"/>
      <c r="O681" s="85"/>
      <c r="P681" s="68"/>
    </row>
    <row r="682" hidden="1">
      <c r="A682" s="68"/>
      <c r="B682" s="79"/>
      <c r="C682" s="77"/>
      <c r="D682" s="79"/>
      <c r="E682" s="79"/>
      <c r="F682" s="93"/>
      <c r="G682" s="93"/>
      <c r="H682" s="103"/>
      <c r="I682" s="79"/>
      <c r="J682" s="100"/>
      <c r="K682" s="97" t="b">
        <f>IF(AND($M682=TRUE,$N682=TRUE),VLOOKUP($E682,RH!$B$47:$S$67,MONTH($G682)+6,FALSE))</f>
        <v>0</v>
      </c>
      <c r="L682" s="98">
        <f>IFERROR(IF(AND($M682=TRUE,$N682=TRUE),VLOOKUP($E682,RH!$B$47:$S$67,MONTH($G682)+6,FALSE)*$H682,0),0)</f>
        <v>0</v>
      </c>
      <c r="M682" s="99" t="b">
        <f t="shared" si="1"/>
        <v>0</v>
      </c>
      <c r="N682" s="99"/>
      <c r="O682" s="85"/>
      <c r="P682" s="68"/>
    </row>
    <row r="683" hidden="1">
      <c r="A683" s="68"/>
      <c r="B683" s="79"/>
      <c r="C683" s="77"/>
      <c r="D683" s="79"/>
      <c r="E683" s="79"/>
      <c r="F683" s="93"/>
      <c r="G683" s="93"/>
      <c r="H683" s="103"/>
      <c r="I683" s="79"/>
      <c r="J683" s="100"/>
      <c r="K683" s="97" t="b">
        <f>IF(AND($M683=TRUE,$N683=TRUE),VLOOKUP($E683,RH!$B$47:$S$67,MONTH($G683)+6,FALSE))</f>
        <v>0</v>
      </c>
      <c r="L683" s="98">
        <f>IFERROR(IF(AND($M683=TRUE,$N683=TRUE),VLOOKUP($E683,RH!$B$47:$S$67,MONTH($G683)+6,FALSE)*$H683,0),0)</f>
        <v>0</v>
      </c>
      <c r="M683" s="99" t="b">
        <f t="shared" si="1"/>
        <v>0</v>
      </c>
      <c r="N683" s="99"/>
      <c r="O683" s="85"/>
      <c r="P683" s="68"/>
    </row>
    <row r="684" hidden="1">
      <c r="A684" s="68"/>
      <c r="B684" s="79"/>
      <c r="C684" s="77"/>
      <c r="D684" s="79"/>
      <c r="E684" s="79"/>
      <c r="F684" s="93"/>
      <c r="G684" s="93"/>
      <c r="H684" s="103"/>
      <c r="I684" s="79"/>
      <c r="J684" s="100"/>
      <c r="K684" s="97" t="b">
        <f>IF(AND($M684=TRUE,$N684=TRUE),VLOOKUP($E684,RH!$B$47:$S$67,MONTH($G684)+6,FALSE))</f>
        <v>0</v>
      </c>
      <c r="L684" s="98">
        <f>IFERROR(IF(AND($M684=TRUE,$N684=TRUE),VLOOKUP($E684,RH!$B$47:$S$67,MONTH($G684)+6,FALSE)*$H684,0),0)</f>
        <v>0</v>
      </c>
      <c r="M684" s="99" t="b">
        <f t="shared" si="1"/>
        <v>0</v>
      </c>
      <c r="N684" s="99"/>
      <c r="O684" s="85"/>
      <c r="P684" s="68"/>
    </row>
    <row r="685" hidden="1">
      <c r="A685" s="68"/>
      <c r="B685" s="79"/>
      <c r="C685" s="77"/>
      <c r="D685" s="79"/>
      <c r="E685" s="79"/>
      <c r="F685" s="93"/>
      <c r="G685" s="93"/>
      <c r="H685" s="103"/>
      <c r="I685" s="79"/>
      <c r="J685" s="100"/>
      <c r="K685" s="97" t="b">
        <f>IF(AND($M685=TRUE,$N685=TRUE),VLOOKUP($E685,RH!$B$47:$S$67,MONTH($G685)+6,FALSE))</f>
        <v>0</v>
      </c>
      <c r="L685" s="98">
        <f>IFERROR(IF(AND($M685=TRUE,$N685=TRUE),VLOOKUP($E685,RH!$B$47:$S$67,MONTH($G685)+6,FALSE)*$H685,0),0)</f>
        <v>0</v>
      </c>
      <c r="M685" s="99" t="b">
        <f t="shared" si="1"/>
        <v>0</v>
      </c>
      <c r="N685" s="99"/>
      <c r="O685" s="85"/>
      <c r="P685" s="68"/>
    </row>
    <row r="686" hidden="1">
      <c r="A686" s="68"/>
      <c r="B686" s="79"/>
      <c r="C686" s="77"/>
      <c r="D686" s="79"/>
      <c r="E686" s="79"/>
      <c r="F686" s="93"/>
      <c r="G686" s="93"/>
      <c r="H686" s="103"/>
      <c r="I686" s="79"/>
      <c r="J686" s="100"/>
      <c r="K686" s="97" t="b">
        <f>IF(AND($M686=TRUE,$N686=TRUE),VLOOKUP($E686,RH!$B$47:$S$67,MONTH($G686)+6,FALSE))</f>
        <v>0</v>
      </c>
      <c r="L686" s="98">
        <f>IFERROR(IF(AND($M686=TRUE,$N686=TRUE),VLOOKUP($E686,RH!$B$47:$S$67,MONTH($G686)+6,FALSE)*$H686,0),0)</f>
        <v>0</v>
      </c>
      <c r="M686" s="99" t="b">
        <f t="shared" si="1"/>
        <v>0</v>
      </c>
      <c r="N686" s="99"/>
      <c r="O686" s="85"/>
      <c r="P686" s="68"/>
    </row>
    <row r="687" hidden="1">
      <c r="A687" s="68"/>
      <c r="B687" s="79"/>
      <c r="C687" s="77"/>
      <c r="D687" s="79"/>
      <c r="E687" s="79"/>
      <c r="F687" s="93"/>
      <c r="G687" s="93"/>
      <c r="H687" s="103"/>
      <c r="I687" s="79"/>
      <c r="J687" s="100"/>
      <c r="K687" s="97" t="b">
        <f>IF(AND($M687=TRUE,$N687=TRUE),VLOOKUP($E687,RH!$B$47:$S$67,MONTH($G687)+6,FALSE))</f>
        <v>0</v>
      </c>
      <c r="L687" s="98">
        <f>IFERROR(IF(AND($M687=TRUE,$N687=TRUE),VLOOKUP($E687,RH!$B$47:$S$67,MONTH($G687)+6,FALSE)*$H687,0),0)</f>
        <v>0</v>
      </c>
      <c r="M687" s="99" t="b">
        <f t="shared" si="1"/>
        <v>0</v>
      </c>
      <c r="N687" s="99"/>
      <c r="O687" s="85"/>
      <c r="P687" s="68"/>
    </row>
    <row r="688" hidden="1">
      <c r="A688" s="68"/>
      <c r="B688" s="79"/>
      <c r="C688" s="77"/>
      <c r="D688" s="79"/>
      <c r="E688" s="79"/>
      <c r="F688" s="93"/>
      <c r="G688" s="93"/>
      <c r="H688" s="103"/>
      <c r="I688" s="79"/>
      <c r="J688" s="100"/>
      <c r="K688" s="97" t="b">
        <f>IF(AND($M688=TRUE,$N688=TRUE),VLOOKUP($E688,RH!$B$47:$S$67,MONTH($G688)+6,FALSE))</f>
        <v>0</v>
      </c>
      <c r="L688" s="98">
        <f>IFERROR(IF(AND($M688=TRUE,$N688=TRUE),VLOOKUP($E688,RH!$B$47:$S$67,MONTH($G688)+6,FALSE)*$H688,0),0)</f>
        <v>0</v>
      </c>
      <c r="M688" s="99" t="b">
        <f t="shared" si="1"/>
        <v>0</v>
      </c>
      <c r="N688" s="99"/>
      <c r="O688" s="85"/>
      <c r="P688" s="68"/>
    </row>
    <row r="689" hidden="1">
      <c r="A689" s="68"/>
      <c r="B689" s="79"/>
      <c r="C689" s="77"/>
      <c r="D689" s="79"/>
      <c r="E689" s="79"/>
      <c r="F689" s="93"/>
      <c r="G689" s="93"/>
      <c r="H689" s="103"/>
      <c r="I689" s="79"/>
      <c r="J689" s="100"/>
      <c r="K689" s="97" t="b">
        <f>IF(AND($M689=TRUE,$N689=TRUE),VLOOKUP($E689,RH!$B$47:$S$67,MONTH($G689)+6,FALSE))</f>
        <v>0</v>
      </c>
      <c r="L689" s="98">
        <f>IFERROR(IF(AND($M689=TRUE,$N689=TRUE),VLOOKUP($E689,RH!$B$47:$S$67,MONTH($G689)+6,FALSE)*$H689,0),0)</f>
        <v>0</v>
      </c>
      <c r="M689" s="99" t="b">
        <f t="shared" si="1"/>
        <v>0</v>
      </c>
      <c r="N689" s="99"/>
      <c r="O689" s="85"/>
      <c r="P689" s="68"/>
    </row>
    <row r="690" hidden="1">
      <c r="A690" s="68"/>
      <c r="B690" s="79"/>
      <c r="C690" s="77"/>
      <c r="D690" s="79"/>
      <c r="E690" s="79"/>
      <c r="F690" s="93"/>
      <c r="G690" s="93"/>
      <c r="H690" s="103"/>
      <c r="I690" s="79"/>
      <c r="J690" s="100"/>
      <c r="K690" s="97" t="b">
        <f>IF(AND($M690=TRUE,$N690=TRUE),VLOOKUP($E690,RH!$B$47:$S$67,MONTH($G690)+6,FALSE))</f>
        <v>0</v>
      </c>
      <c r="L690" s="98">
        <f>IFERROR(IF(AND($M690=TRUE,$N690=TRUE),VLOOKUP($E690,RH!$B$47:$S$67,MONTH($G690)+6,FALSE)*$H690,0),0)</f>
        <v>0</v>
      </c>
      <c r="M690" s="99" t="b">
        <f t="shared" si="1"/>
        <v>0</v>
      </c>
      <c r="N690" s="99"/>
      <c r="O690" s="85"/>
      <c r="P690" s="68"/>
    </row>
    <row r="691" hidden="1">
      <c r="A691" s="68"/>
      <c r="B691" s="79"/>
      <c r="C691" s="77"/>
      <c r="D691" s="79"/>
      <c r="E691" s="79"/>
      <c r="F691" s="93"/>
      <c r="G691" s="93"/>
      <c r="H691" s="103"/>
      <c r="I691" s="79"/>
      <c r="J691" s="100"/>
      <c r="K691" s="97" t="b">
        <f>IF(AND($M691=TRUE,$N691=TRUE),VLOOKUP($E691,RH!$B$47:$S$67,MONTH($G691)+6,FALSE))</f>
        <v>0</v>
      </c>
      <c r="L691" s="98">
        <f>IFERROR(IF(AND($M691=TRUE,$N691=TRUE),VLOOKUP($E691,RH!$B$47:$S$67,MONTH($G691)+6,FALSE)*$H691,0),0)</f>
        <v>0</v>
      </c>
      <c r="M691" s="99" t="b">
        <f t="shared" si="1"/>
        <v>0</v>
      </c>
      <c r="N691" s="99"/>
      <c r="O691" s="85"/>
      <c r="P691" s="68"/>
    </row>
    <row r="692" hidden="1">
      <c r="A692" s="68"/>
      <c r="B692" s="79"/>
      <c r="C692" s="77"/>
      <c r="D692" s="79"/>
      <c r="E692" s="79"/>
      <c r="F692" s="93"/>
      <c r="G692" s="93"/>
      <c r="H692" s="103"/>
      <c r="I692" s="79"/>
      <c r="J692" s="100"/>
      <c r="K692" s="97" t="b">
        <f>IF(AND($M692=TRUE,$N692=TRUE),VLOOKUP($E692,RH!$B$47:$S$67,MONTH($G692)+6,FALSE))</f>
        <v>0</v>
      </c>
      <c r="L692" s="98">
        <f>IFERROR(IF(AND($M692=TRUE,$N692=TRUE),VLOOKUP($E692,RH!$B$47:$S$67,MONTH($G692)+6,FALSE)*$H692,0),0)</f>
        <v>0</v>
      </c>
      <c r="M692" s="99" t="b">
        <f t="shared" si="1"/>
        <v>0</v>
      </c>
      <c r="N692" s="99"/>
      <c r="O692" s="85"/>
      <c r="P692" s="68"/>
    </row>
    <row r="693" hidden="1">
      <c r="A693" s="68"/>
      <c r="B693" s="79"/>
      <c r="C693" s="77"/>
      <c r="D693" s="79"/>
      <c r="E693" s="79"/>
      <c r="F693" s="93"/>
      <c r="G693" s="93"/>
      <c r="H693" s="103"/>
      <c r="I693" s="79"/>
      <c r="J693" s="100"/>
      <c r="K693" s="97" t="b">
        <f>IF(AND($M693=TRUE,$N693=TRUE),VLOOKUP($E693,RH!$B$47:$S$67,MONTH($G693)+6,FALSE))</f>
        <v>0</v>
      </c>
      <c r="L693" s="98">
        <f>IFERROR(IF(AND($M693=TRUE,$N693=TRUE),VLOOKUP($E693,RH!$B$47:$S$67,MONTH($G693)+6,FALSE)*$H693,0),0)</f>
        <v>0</v>
      </c>
      <c r="M693" s="99" t="b">
        <f t="shared" si="1"/>
        <v>0</v>
      </c>
      <c r="N693" s="99"/>
      <c r="O693" s="85"/>
      <c r="P693" s="68"/>
    </row>
    <row r="694" hidden="1">
      <c r="A694" s="68"/>
      <c r="B694" s="79"/>
      <c r="C694" s="77"/>
      <c r="D694" s="79"/>
      <c r="E694" s="79"/>
      <c r="F694" s="93"/>
      <c r="G694" s="93"/>
      <c r="H694" s="103"/>
      <c r="I694" s="79"/>
      <c r="J694" s="100"/>
      <c r="K694" s="97" t="b">
        <f>IF(AND($M694=TRUE,$N694=TRUE),VLOOKUP($E694,RH!$B$47:$S$67,MONTH($G694)+6,FALSE))</f>
        <v>0</v>
      </c>
      <c r="L694" s="98">
        <f>IFERROR(IF(AND($M694=TRUE,$N694=TRUE),VLOOKUP($E694,RH!$B$47:$S$67,MONTH($G694)+6,FALSE)*$H694,0),0)</f>
        <v>0</v>
      </c>
      <c r="M694" s="99" t="b">
        <f t="shared" si="1"/>
        <v>0</v>
      </c>
      <c r="N694" s="99"/>
      <c r="O694" s="85"/>
      <c r="P694" s="68"/>
    </row>
    <row r="695" hidden="1">
      <c r="A695" s="68"/>
      <c r="B695" s="79"/>
      <c r="C695" s="77"/>
      <c r="D695" s="79"/>
      <c r="E695" s="79"/>
      <c r="F695" s="93"/>
      <c r="G695" s="93"/>
      <c r="H695" s="103"/>
      <c r="I695" s="79"/>
      <c r="J695" s="100"/>
      <c r="K695" s="97" t="b">
        <f>IF(AND($M695=TRUE,$N695=TRUE),VLOOKUP($E695,RH!$B$47:$S$67,MONTH($G695)+6,FALSE))</f>
        <v>0</v>
      </c>
      <c r="L695" s="98">
        <f>IFERROR(IF(AND($M695=TRUE,$N695=TRUE),VLOOKUP($E695,RH!$B$47:$S$67,MONTH($G695)+6,FALSE)*$H695,0),0)</f>
        <v>0</v>
      </c>
      <c r="M695" s="99" t="b">
        <f t="shared" si="1"/>
        <v>0</v>
      </c>
      <c r="N695" s="99"/>
      <c r="O695" s="85"/>
      <c r="P695" s="68"/>
    </row>
    <row r="696" hidden="1">
      <c r="A696" s="68"/>
      <c r="B696" s="79"/>
      <c r="C696" s="77"/>
      <c r="D696" s="79"/>
      <c r="E696" s="79"/>
      <c r="F696" s="93"/>
      <c r="G696" s="93"/>
      <c r="H696" s="103"/>
      <c r="I696" s="79"/>
      <c r="J696" s="100"/>
      <c r="K696" s="97" t="b">
        <f>IF(AND($M696=TRUE,$N696=TRUE),VLOOKUP($E696,RH!$B$47:$S$67,MONTH($G696)+6,FALSE))</f>
        <v>0</v>
      </c>
      <c r="L696" s="98">
        <f>IFERROR(IF(AND($M696=TRUE,$N696=TRUE),VLOOKUP($E696,RH!$B$47:$S$67,MONTH($G696)+6,FALSE)*$H696,0),0)</f>
        <v>0</v>
      </c>
      <c r="M696" s="99" t="b">
        <f t="shared" si="1"/>
        <v>0</v>
      </c>
      <c r="N696" s="99"/>
      <c r="O696" s="85"/>
      <c r="P696" s="68"/>
    </row>
    <row r="697" hidden="1">
      <c r="A697" s="68"/>
      <c r="B697" s="79"/>
      <c r="C697" s="77"/>
      <c r="D697" s="79"/>
      <c r="E697" s="79"/>
      <c r="F697" s="93"/>
      <c r="G697" s="93"/>
      <c r="H697" s="103"/>
      <c r="I697" s="79"/>
      <c r="J697" s="100"/>
      <c r="K697" s="97" t="b">
        <f>IF(AND($M697=TRUE,$N697=TRUE),VLOOKUP($E697,RH!$B$47:$S$67,MONTH($G697)+6,FALSE))</f>
        <v>0</v>
      </c>
      <c r="L697" s="98">
        <f>IFERROR(IF(AND($M697=TRUE,$N697=TRUE),VLOOKUP($E697,RH!$B$47:$S$67,MONTH($G697)+6,FALSE)*$H697,0),0)</f>
        <v>0</v>
      </c>
      <c r="M697" s="99" t="b">
        <f t="shared" si="1"/>
        <v>0</v>
      </c>
      <c r="N697" s="99"/>
      <c r="O697" s="85"/>
      <c r="P697" s="68"/>
    </row>
    <row r="698" hidden="1">
      <c r="A698" s="68"/>
      <c r="B698" s="79"/>
      <c r="C698" s="77"/>
      <c r="D698" s="79"/>
      <c r="E698" s="79"/>
      <c r="F698" s="93"/>
      <c r="G698" s="93"/>
      <c r="H698" s="103"/>
      <c r="I698" s="79"/>
      <c r="J698" s="100"/>
      <c r="K698" s="97" t="b">
        <f>IF(AND($M698=TRUE,$N698=TRUE),VLOOKUP($E698,RH!$B$47:$S$67,MONTH($G698)+6,FALSE))</f>
        <v>0</v>
      </c>
      <c r="L698" s="98">
        <f>IFERROR(IF(AND($M698=TRUE,$N698=TRUE),VLOOKUP($E698,RH!$B$47:$S$67,MONTH($G698)+6,FALSE)*$H698,0),0)</f>
        <v>0</v>
      </c>
      <c r="M698" s="99" t="b">
        <f t="shared" si="1"/>
        <v>0</v>
      </c>
      <c r="N698" s="99"/>
      <c r="O698" s="85"/>
      <c r="P698" s="68"/>
    </row>
    <row r="699" hidden="1">
      <c r="A699" s="68"/>
      <c r="B699" s="79"/>
      <c r="C699" s="77"/>
      <c r="D699" s="79"/>
      <c r="E699" s="79"/>
      <c r="F699" s="93"/>
      <c r="G699" s="93"/>
      <c r="H699" s="103"/>
      <c r="I699" s="79"/>
      <c r="J699" s="100"/>
      <c r="K699" s="97" t="b">
        <f>IF(AND($M699=TRUE,$N699=TRUE),VLOOKUP($E699,RH!$B$47:$S$67,MONTH($G699)+6,FALSE))</f>
        <v>0</v>
      </c>
      <c r="L699" s="98">
        <f>IFERROR(IF(AND($M699=TRUE,$N699=TRUE),VLOOKUP($E699,RH!$B$47:$S$67,MONTH($G699)+6,FALSE)*$H699,0),0)</f>
        <v>0</v>
      </c>
      <c r="M699" s="99" t="b">
        <f t="shared" si="1"/>
        <v>0</v>
      </c>
      <c r="N699" s="99"/>
      <c r="O699" s="85"/>
      <c r="P699" s="68"/>
    </row>
    <row r="700" hidden="1">
      <c r="A700" s="68"/>
      <c r="B700" s="79"/>
      <c r="C700" s="77"/>
      <c r="D700" s="79"/>
      <c r="E700" s="79"/>
      <c r="F700" s="93"/>
      <c r="G700" s="93"/>
      <c r="H700" s="103"/>
      <c r="I700" s="79"/>
      <c r="J700" s="100"/>
      <c r="K700" s="97" t="b">
        <f>IF(AND($M700=TRUE,$N700=TRUE),VLOOKUP($E700,RH!$B$47:$S$67,MONTH($G700)+6,FALSE))</f>
        <v>0</v>
      </c>
      <c r="L700" s="98">
        <f>IFERROR(IF(AND($M700=TRUE,$N700=TRUE),VLOOKUP($E700,RH!$B$47:$S$67,MONTH($G700)+6,FALSE)*$H700,0),0)</f>
        <v>0</v>
      </c>
      <c r="M700" s="99" t="b">
        <f t="shared" si="1"/>
        <v>0</v>
      </c>
      <c r="N700" s="99"/>
      <c r="O700" s="85"/>
      <c r="P700" s="68"/>
    </row>
    <row r="701" hidden="1">
      <c r="A701" s="68"/>
      <c r="B701" s="79"/>
      <c r="C701" s="77"/>
      <c r="D701" s="79"/>
      <c r="E701" s="79"/>
      <c r="F701" s="93"/>
      <c r="G701" s="93"/>
      <c r="H701" s="103"/>
      <c r="I701" s="79"/>
      <c r="J701" s="100"/>
      <c r="K701" s="97" t="b">
        <f>IF(AND($M701=TRUE,$N701=TRUE),VLOOKUP($E701,RH!$B$47:$S$67,MONTH($G701)+6,FALSE))</f>
        <v>0</v>
      </c>
      <c r="L701" s="98">
        <f>IFERROR(IF(AND($M701=TRUE,$N701=TRUE),VLOOKUP($E701,RH!$B$47:$S$67,MONTH($G701)+6,FALSE)*$H701,0),0)</f>
        <v>0</v>
      </c>
      <c r="M701" s="99" t="b">
        <f t="shared" si="1"/>
        <v>0</v>
      </c>
      <c r="N701" s="99"/>
      <c r="O701" s="85"/>
      <c r="P701" s="68"/>
    </row>
    <row r="702" hidden="1">
      <c r="A702" s="68"/>
      <c r="B702" s="79"/>
      <c r="C702" s="77"/>
      <c r="D702" s="79"/>
      <c r="E702" s="79"/>
      <c r="F702" s="93"/>
      <c r="G702" s="93"/>
      <c r="H702" s="103"/>
      <c r="I702" s="79"/>
      <c r="J702" s="100"/>
      <c r="K702" s="97" t="b">
        <f>IF(AND($M702=TRUE,$N702=TRUE),VLOOKUP($E702,RH!$B$47:$S$67,MONTH($G702)+6,FALSE))</f>
        <v>0</v>
      </c>
      <c r="L702" s="98">
        <f>IFERROR(IF(AND($M702=TRUE,$N702=TRUE),VLOOKUP($E702,RH!$B$47:$S$67,MONTH($G702)+6,FALSE)*$H702,0),0)</f>
        <v>0</v>
      </c>
      <c r="M702" s="99" t="b">
        <f t="shared" si="1"/>
        <v>0</v>
      </c>
      <c r="N702" s="99"/>
      <c r="O702" s="85"/>
      <c r="P702" s="68"/>
    </row>
    <row r="703" hidden="1">
      <c r="A703" s="68"/>
      <c r="B703" s="79"/>
      <c r="C703" s="77"/>
      <c r="D703" s="79"/>
      <c r="E703" s="79"/>
      <c r="F703" s="93"/>
      <c r="G703" s="93"/>
      <c r="H703" s="103"/>
      <c r="I703" s="79"/>
      <c r="J703" s="100"/>
      <c r="K703" s="97" t="b">
        <f>IF(AND($M703=TRUE,$N703=TRUE),VLOOKUP($E703,RH!$B$47:$S$67,MONTH($G703)+6,FALSE))</f>
        <v>0</v>
      </c>
      <c r="L703" s="98">
        <f>IFERROR(IF(AND($M703=TRUE,$N703=TRUE),VLOOKUP($E703,RH!$B$47:$S$67,MONTH($G703)+6,FALSE)*$H703,0),0)</f>
        <v>0</v>
      </c>
      <c r="M703" s="99" t="b">
        <f t="shared" si="1"/>
        <v>0</v>
      </c>
      <c r="N703" s="99"/>
      <c r="O703" s="85"/>
      <c r="P703" s="68"/>
    </row>
    <row r="704" hidden="1">
      <c r="A704" s="68"/>
      <c r="B704" s="79"/>
      <c r="C704" s="77"/>
      <c r="D704" s="79"/>
      <c r="E704" s="79"/>
      <c r="F704" s="93"/>
      <c r="G704" s="93"/>
      <c r="H704" s="103"/>
      <c r="I704" s="79"/>
      <c r="J704" s="100"/>
      <c r="K704" s="97" t="b">
        <f>IF(AND($M704=TRUE,$N704=TRUE),VLOOKUP($E704,RH!$B$47:$S$67,MONTH($G704)+6,FALSE))</f>
        <v>0</v>
      </c>
      <c r="L704" s="98">
        <f>IFERROR(IF(AND($M704=TRUE,$N704=TRUE),VLOOKUP($E704,RH!$B$47:$S$67,MONTH($G704)+6,FALSE)*$H704,0),0)</f>
        <v>0</v>
      </c>
      <c r="M704" s="99" t="b">
        <f t="shared" si="1"/>
        <v>0</v>
      </c>
      <c r="N704" s="99"/>
      <c r="O704" s="85"/>
      <c r="P704" s="68"/>
    </row>
    <row r="705" hidden="1">
      <c r="A705" s="68"/>
      <c r="B705" s="79"/>
      <c r="C705" s="77"/>
      <c r="D705" s="79"/>
      <c r="E705" s="79"/>
      <c r="F705" s="93"/>
      <c r="G705" s="93"/>
      <c r="H705" s="103"/>
      <c r="I705" s="79"/>
      <c r="J705" s="100"/>
      <c r="K705" s="97" t="b">
        <f>IF(AND($M705=TRUE,$N705=TRUE),VLOOKUP($E705,RH!$B$47:$S$67,MONTH($G705)+6,FALSE))</f>
        <v>0</v>
      </c>
      <c r="L705" s="98">
        <f>IFERROR(IF(AND($M705=TRUE,$N705=TRUE),VLOOKUP($E705,RH!$B$47:$S$67,MONTH($G705)+6,FALSE)*$H705,0),0)</f>
        <v>0</v>
      </c>
      <c r="M705" s="99" t="b">
        <f t="shared" si="1"/>
        <v>0</v>
      </c>
      <c r="N705" s="99"/>
      <c r="O705" s="85"/>
      <c r="P705" s="68"/>
    </row>
    <row r="706" hidden="1">
      <c r="A706" s="68"/>
      <c r="B706" s="79"/>
      <c r="C706" s="77"/>
      <c r="D706" s="79"/>
      <c r="E706" s="79"/>
      <c r="F706" s="93"/>
      <c r="G706" s="93"/>
      <c r="H706" s="103"/>
      <c r="I706" s="79"/>
      <c r="J706" s="100"/>
      <c r="K706" s="97" t="b">
        <f>IF(AND($M706=TRUE,$N706=TRUE),VLOOKUP($E706,RH!$B$47:$S$67,MONTH($G706)+6,FALSE))</f>
        <v>0</v>
      </c>
      <c r="L706" s="98">
        <f>IFERROR(IF(AND($M706=TRUE,$N706=TRUE),VLOOKUP($E706,RH!$B$47:$S$67,MONTH($G706)+6,FALSE)*$H706,0),0)</f>
        <v>0</v>
      </c>
      <c r="M706" s="99" t="b">
        <f t="shared" si="1"/>
        <v>0</v>
      </c>
      <c r="N706" s="99"/>
      <c r="O706" s="85"/>
      <c r="P706" s="68"/>
    </row>
    <row r="707" hidden="1">
      <c r="A707" s="68"/>
      <c r="B707" s="79"/>
      <c r="C707" s="77"/>
      <c r="D707" s="79"/>
      <c r="E707" s="79"/>
      <c r="F707" s="93"/>
      <c r="G707" s="93"/>
      <c r="H707" s="103"/>
      <c r="I707" s="79"/>
      <c r="J707" s="100"/>
      <c r="K707" s="97" t="b">
        <f>IF(AND($M707=TRUE,$N707=TRUE),VLOOKUP($E707,RH!$B$47:$S$67,MONTH($G707)+6,FALSE))</f>
        <v>0</v>
      </c>
      <c r="L707" s="98">
        <f>IFERROR(IF(AND($M707=TRUE,$N707=TRUE),VLOOKUP($E707,RH!$B$47:$S$67,MONTH($G707)+6,FALSE)*$H707,0),0)</f>
        <v>0</v>
      </c>
      <c r="M707" s="99" t="b">
        <f t="shared" si="1"/>
        <v>0</v>
      </c>
      <c r="N707" s="99"/>
      <c r="O707" s="85"/>
      <c r="P707" s="68"/>
    </row>
    <row r="708" hidden="1">
      <c r="A708" s="68"/>
      <c r="B708" s="79"/>
      <c r="C708" s="77"/>
      <c r="D708" s="79"/>
      <c r="E708" s="79"/>
      <c r="F708" s="93"/>
      <c r="G708" s="93"/>
      <c r="H708" s="103"/>
      <c r="I708" s="79"/>
      <c r="J708" s="100"/>
      <c r="K708" s="97" t="b">
        <f>IF(AND($M708=TRUE,$N708=TRUE),VLOOKUP($E708,RH!$B$47:$S$67,MONTH($G708)+6,FALSE))</f>
        <v>0</v>
      </c>
      <c r="L708" s="98">
        <f>IFERROR(IF(AND($M708=TRUE,$N708=TRUE),VLOOKUP($E708,RH!$B$47:$S$67,MONTH($G708)+6,FALSE)*$H708,0),0)</f>
        <v>0</v>
      </c>
      <c r="M708" s="99" t="b">
        <f t="shared" si="1"/>
        <v>0</v>
      </c>
      <c r="N708" s="99"/>
      <c r="O708" s="85"/>
      <c r="P708" s="68"/>
    </row>
    <row r="709" hidden="1">
      <c r="A709" s="68"/>
      <c r="B709" s="79"/>
      <c r="C709" s="77"/>
      <c r="D709" s="79"/>
      <c r="E709" s="79"/>
      <c r="F709" s="93"/>
      <c r="G709" s="93"/>
      <c r="H709" s="103"/>
      <c r="I709" s="79"/>
      <c r="J709" s="100"/>
      <c r="K709" s="97" t="b">
        <f>IF(AND($M709=TRUE,$N709=TRUE),VLOOKUP($E709,RH!$B$47:$S$67,MONTH($G709)+6,FALSE))</f>
        <v>0</v>
      </c>
      <c r="L709" s="98">
        <f>IFERROR(IF(AND($M709=TRUE,$N709=TRUE),VLOOKUP($E709,RH!$B$47:$S$67,MONTH($G709)+6,FALSE)*$H709,0),0)</f>
        <v>0</v>
      </c>
      <c r="M709" s="99" t="b">
        <f t="shared" si="1"/>
        <v>0</v>
      </c>
      <c r="N709" s="99"/>
      <c r="O709" s="85"/>
      <c r="P709" s="68"/>
    </row>
    <row r="710" hidden="1">
      <c r="A710" s="68"/>
      <c r="B710" s="79"/>
      <c r="C710" s="77"/>
      <c r="D710" s="79"/>
      <c r="E710" s="79"/>
      <c r="F710" s="93"/>
      <c r="G710" s="93"/>
      <c r="H710" s="103"/>
      <c r="I710" s="79"/>
      <c r="J710" s="100"/>
      <c r="K710" s="97" t="b">
        <f>IF(AND($M710=TRUE,$N710=TRUE),VLOOKUP($E710,RH!$B$47:$S$67,MONTH($G710)+6,FALSE))</f>
        <v>0</v>
      </c>
      <c r="L710" s="98">
        <f>IFERROR(IF(AND($M710=TRUE,$N710=TRUE),VLOOKUP($E710,RH!$B$47:$S$67,MONTH($G710)+6,FALSE)*$H710,0),0)</f>
        <v>0</v>
      </c>
      <c r="M710" s="99" t="b">
        <f t="shared" si="1"/>
        <v>0</v>
      </c>
      <c r="N710" s="99"/>
      <c r="O710" s="85"/>
      <c r="P710" s="68"/>
    </row>
    <row r="711" hidden="1">
      <c r="A711" s="68"/>
      <c r="B711" s="79"/>
      <c r="C711" s="77"/>
      <c r="D711" s="79"/>
      <c r="E711" s="79"/>
      <c r="F711" s="93"/>
      <c r="G711" s="93"/>
      <c r="H711" s="103"/>
      <c r="I711" s="79"/>
      <c r="J711" s="100"/>
      <c r="K711" s="97" t="b">
        <f>IF(AND($M711=TRUE,$N711=TRUE),VLOOKUP($E711,RH!$B$47:$S$67,MONTH($G711)+6,FALSE))</f>
        <v>0</v>
      </c>
      <c r="L711" s="98">
        <f>IFERROR(IF(AND($M711=TRUE,$N711=TRUE),VLOOKUP($E711,RH!$B$47:$S$67,MONTH($G711)+6,FALSE)*$H711,0),0)</f>
        <v>0</v>
      </c>
      <c r="M711" s="99" t="b">
        <f t="shared" si="1"/>
        <v>0</v>
      </c>
      <c r="N711" s="99"/>
      <c r="O711" s="85"/>
      <c r="P711" s="68"/>
    </row>
    <row r="712" hidden="1">
      <c r="A712" s="68"/>
      <c r="B712" s="79"/>
      <c r="C712" s="77"/>
      <c r="D712" s="79"/>
      <c r="E712" s="79"/>
      <c r="F712" s="93"/>
      <c r="G712" s="93"/>
      <c r="H712" s="103"/>
      <c r="I712" s="79"/>
      <c r="J712" s="100"/>
      <c r="K712" s="97" t="b">
        <f>IF(AND($M712=TRUE,$N712=TRUE),VLOOKUP($E712,RH!$B$47:$S$67,MONTH($G712)+6,FALSE))</f>
        <v>0</v>
      </c>
      <c r="L712" s="98">
        <f>IFERROR(IF(AND($M712=TRUE,$N712=TRUE),VLOOKUP($E712,RH!$B$47:$S$67,MONTH($G712)+6,FALSE)*$H712,0),0)</f>
        <v>0</v>
      </c>
      <c r="M712" s="99" t="b">
        <f t="shared" si="1"/>
        <v>0</v>
      </c>
      <c r="N712" s="99"/>
      <c r="O712" s="85"/>
      <c r="P712" s="68"/>
    </row>
    <row r="713" hidden="1">
      <c r="A713" s="68"/>
      <c r="B713" s="79"/>
      <c r="C713" s="77"/>
      <c r="D713" s="79"/>
      <c r="E713" s="79"/>
      <c r="F713" s="93"/>
      <c r="G713" s="93"/>
      <c r="H713" s="103"/>
      <c r="I713" s="79"/>
      <c r="J713" s="100"/>
      <c r="K713" s="97" t="b">
        <f>IF(AND($M713=TRUE,$N713=TRUE),VLOOKUP($E713,RH!$B$47:$S$67,MONTH($G713)+6,FALSE))</f>
        <v>0</v>
      </c>
      <c r="L713" s="98">
        <f>IFERROR(IF(AND($M713=TRUE,$N713=TRUE),VLOOKUP($E713,RH!$B$47:$S$67,MONTH($G713)+6,FALSE)*$H713,0),0)</f>
        <v>0</v>
      </c>
      <c r="M713" s="99" t="b">
        <f t="shared" si="1"/>
        <v>0</v>
      </c>
      <c r="N713" s="99"/>
      <c r="O713" s="85"/>
      <c r="P713" s="68"/>
    </row>
    <row r="714" hidden="1">
      <c r="A714" s="68"/>
      <c r="B714" s="79"/>
      <c r="C714" s="77"/>
      <c r="D714" s="79"/>
      <c r="E714" s="79"/>
      <c r="F714" s="93"/>
      <c r="G714" s="93"/>
      <c r="H714" s="103"/>
      <c r="I714" s="79"/>
      <c r="J714" s="100"/>
      <c r="K714" s="97" t="b">
        <f>IF(AND($M714=TRUE,$N714=TRUE),VLOOKUP($E714,RH!$B$47:$S$67,MONTH($G714)+6,FALSE))</f>
        <v>0</v>
      </c>
      <c r="L714" s="98">
        <f>IFERROR(IF(AND($M714=TRUE,$N714=TRUE),VLOOKUP($E714,RH!$B$47:$S$67,MONTH($G714)+6,FALSE)*$H714,0),0)</f>
        <v>0</v>
      </c>
      <c r="M714" s="99" t="b">
        <f t="shared" si="1"/>
        <v>0</v>
      </c>
      <c r="N714" s="99"/>
      <c r="O714" s="85"/>
      <c r="P714" s="68"/>
    </row>
    <row r="715" hidden="1">
      <c r="A715" s="68"/>
      <c r="B715" s="79"/>
      <c r="C715" s="77"/>
      <c r="D715" s="79"/>
      <c r="E715" s="79"/>
      <c r="F715" s="93"/>
      <c r="G715" s="93"/>
      <c r="H715" s="103"/>
      <c r="I715" s="79"/>
      <c r="J715" s="100"/>
      <c r="K715" s="97" t="b">
        <f>IF(AND($M715=TRUE,$N715=TRUE),VLOOKUP($E715,RH!$B$47:$S$67,MONTH($G715)+6,FALSE))</f>
        <v>0</v>
      </c>
      <c r="L715" s="98">
        <f>IFERROR(IF(AND($M715=TRUE,$N715=TRUE),VLOOKUP($E715,RH!$B$47:$S$67,MONTH($G715)+6,FALSE)*$H715,0),0)</f>
        <v>0</v>
      </c>
      <c r="M715" s="99" t="b">
        <f t="shared" si="1"/>
        <v>0</v>
      </c>
      <c r="N715" s="99"/>
      <c r="O715" s="85"/>
      <c r="P715" s="68"/>
    </row>
    <row r="716" hidden="1">
      <c r="A716" s="68"/>
      <c r="B716" s="79"/>
      <c r="C716" s="77"/>
      <c r="D716" s="79"/>
      <c r="E716" s="79"/>
      <c r="F716" s="93"/>
      <c r="G716" s="93"/>
      <c r="H716" s="103"/>
      <c r="I716" s="79"/>
      <c r="J716" s="100"/>
      <c r="K716" s="97" t="b">
        <f>IF(AND($M716=TRUE,$N716=TRUE),VLOOKUP($E716,RH!$B$47:$S$67,MONTH($G716)+6,FALSE))</f>
        <v>0</v>
      </c>
      <c r="L716" s="98">
        <f>IFERROR(IF(AND($M716=TRUE,$N716=TRUE),VLOOKUP($E716,RH!$B$47:$S$67,MONTH($G716)+6,FALSE)*$H716,0),0)</f>
        <v>0</v>
      </c>
      <c r="M716" s="99" t="b">
        <f t="shared" si="1"/>
        <v>0</v>
      </c>
      <c r="N716" s="99"/>
      <c r="O716" s="85"/>
      <c r="P716" s="68"/>
    </row>
    <row r="717" hidden="1">
      <c r="A717" s="68"/>
      <c r="B717" s="79"/>
      <c r="C717" s="77"/>
      <c r="D717" s="79"/>
      <c r="E717" s="79"/>
      <c r="F717" s="93"/>
      <c r="G717" s="93"/>
      <c r="H717" s="103"/>
      <c r="I717" s="79"/>
      <c r="J717" s="100"/>
      <c r="K717" s="97" t="b">
        <f>IF(AND($M717=TRUE,$N717=TRUE),VLOOKUP($E717,RH!$B$47:$S$67,MONTH($G717)+6,FALSE))</f>
        <v>0</v>
      </c>
      <c r="L717" s="98">
        <f>IFERROR(IF(AND($M717=TRUE,$N717=TRUE),VLOOKUP($E717,RH!$B$47:$S$67,MONTH($G717)+6,FALSE)*$H717,0),0)</f>
        <v>0</v>
      </c>
      <c r="M717" s="99" t="b">
        <f t="shared" si="1"/>
        <v>0</v>
      </c>
      <c r="N717" s="99"/>
      <c r="O717" s="85"/>
      <c r="P717" s="68"/>
    </row>
    <row r="718" hidden="1">
      <c r="A718" s="68"/>
      <c r="B718" s="79"/>
      <c r="C718" s="77"/>
      <c r="D718" s="79"/>
      <c r="E718" s="79"/>
      <c r="F718" s="93"/>
      <c r="G718" s="93"/>
      <c r="H718" s="103"/>
      <c r="I718" s="79"/>
      <c r="J718" s="100"/>
      <c r="K718" s="97" t="b">
        <f>IF(AND($M718=TRUE,$N718=TRUE),VLOOKUP($E718,RH!$B$47:$S$67,MONTH($G718)+6,FALSE))</f>
        <v>0</v>
      </c>
      <c r="L718" s="98">
        <f>IFERROR(IF(AND($M718=TRUE,$N718=TRUE),VLOOKUP($E718,RH!$B$47:$S$67,MONTH($G718)+6,FALSE)*$H718,0),0)</f>
        <v>0</v>
      </c>
      <c r="M718" s="99" t="b">
        <f t="shared" si="1"/>
        <v>0</v>
      </c>
      <c r="N718" s="99"/>
      <c r="O718" s="85"/>
      <c r="P718" s="68"/>
    </row>
    <row r="719" hidden="1">
      <c r="A719" s="68"/>
      <c r="B719" s="79"/>
      <c r="C719" s="77"/>
      <c r="D719" s="79"/>
      <c r="E719" s="79"/>
      <c r="F719" s="93"/>
      <c r="G719" s="93"/>
      <c r="H719" s="103"/>
      <c r="I719" s="79"/>
      <c r="J719" s="100"/>
      <c r="K719" s="97" t="b">
        <f>IF(AND($M719=TRUE,$N719=TRUE),VLOOKUP($E719,RH!$B$47:$S$67,MONTH($G719)+6,FALSE))</f>
        <v>0</v>
      </c>
      <c r="L719" s="98">
        <f>IFERROR(IF(AND($M719=TRUE,$N719=TRUE),VLOOKUP($E719,RH!$B$47:$S$67,MONTH($G719)+6,FALSE)*$H719,0),0)</f>
        <v>0</v>
      </c>
      <c r="M719" s="99" t="b">
        <f t="shared" si="1"/>
        <v>0</v>
      </c>
      <c r="N719" s="99"/>
      <c r="O719" s="85"/>
      <c r="P719" s="68"/>
    </row>
    <row r="720" hidden="1">
      <c r="A720" s="68"/>
      <c r="B720" s="79"/>
      <c r="C720" s="77"/>
      <c r="D720" s="79"/>
      <c r="E720" s="79"/>
      <c r="F720" s="93"/>
      <c r="G720" s="93"/>
      <c r="H720" s="103"/>
      <c r="I720" s="79"/>
      <c r="J720" s="100"/>
      <c r="K720" s="97" t="b">
        <f>IF(AND($M720=TRUE,$N720=TRUE),VLOOKUP($E720,RH!$B$47:$S$67,MONTH($G720)+6,FALSE))</f>
        <v>0</v>
      </c>
      <c r="L720" s="98">
        <f>IFERROR(IF(AND($M720=TRUE,$N720=TRUE),VLOOKUP($E720,RH!$B$47:$S$67,MONTH($G720)+6,FALSE)*$H720,0),0)</f>
        <v>0</v>
      </c>
      <c r="M720" s="99" t="b">
        <f t="shared" si="1"/>
        <v>0</v>
      </c>
      <c r="N720" s="99"/>
      <c r="O720" s="85"/>
      <c r="P720" s="68"/>
    </row>
    <row r="721" hidden="1">
      <c r="A721" s="68"/>
      <c r="B721" s="79"/>
      <c r="C721" s="77"/>
      <c r="D721" s="79"/>
      <c r="E721" s="79"/>
      <c r="F721" s="93"/>
      <c r="G721" s="93"/>
      <c r="H721" s="103"/>
      <c r="I721" s="79"/>
      <c r="J721" s="100"/>
      <c r="K721" s="97" t="b">
        <f>IF(AND($M721=TRUE,$N721=TRUE),VLOOKUP($E721,RH!$B$47:$S$67,MONTH($G721)+6,FALSE))</f>
        <v>0</v>
      </c>
      <c r="L721" s="98">
        <f>IFERROR(IF(AND($M721=TRUE,$N721=TRUE),VLOOKUP($E721,RH!$B$47:$S$67,MONTH($G721)+6,FALSE)*$H721,0),0)</f>
        <v>0</v>
      </c>
      <c r="M721" s="99" t="b">
        <f t="shared" si="1"/>
        <v>0</v>
      </c>
      <c r="N721" s="99"/>
      <c r="O721" s="85"/>
      <c r="P721" s="68"/>
    </row>
    <row r="722" hidden="1">
      <c r="A722" s="68"/>
      <c r="B722" s="79"/>
      <c r="C722" s="77"/>
      <c r="D722" s="79"/>
      <c r="E722" s="79"/>
      <c r="F722" s="93"/>
      <c r="G722" s="93"/>
      <c r="H722" s="103"/>
      <c r="I722" s="79"/>
      <c r="J722" s="100"/>
      <c r="K722" s="97" t="b">
        <f>IF(AND($M722=TRUE,$N722=TRUE),VLOOKUP($E722,RH!$B$47:$S$67,MONTH($G722)+6,FALSE))</f>
        <v>0</v>
      </c>
      <c r="L722" s="98">
        <f>IFERROR(IF(AND($M722=TRUE,$N722=TRUE),VLOOKUP($E722,RH!$B$47:$S$67,MONTH($G722)+6,FALSE)*$H722,0),0)</f>
        <v>0</v>
      </c>
      <c r="M722" s="99" t="b">
        <f t="shared" si="1"/>
        <v>0</v>
      </c>
      <c r="N722" s="99"/>
      <c r="O722" s="85"/>
      <c r="P722" s="68"/>
    </row>
    <row r="723" hidden="1">
      <c r="A723" s="68"/>
      <c r="B723" s="79"/>
      <c r="C723" s="77"/>
      <c r="D723" s="79"/>
      <c r="E723" s="79"/>
      <c r="F723" s="93"/>
      <c r="G723" s="93"/>
      <c r="H723" s="103"/>
      <c r="I723" s="79"/>
      <c r="J723" s="100"/>
      <c r="K723" s="97" t="b">
        <f>IF(AND($M723=TRUE,$N723=TRUE),VLOOKUP($E723,RH!$B$47:$S$67,MONTH($G723)+6,FALSE))</f>
        <v>0</v>
      </c>
      <c r="L723" s="98">
        <f>IFERROR(IF(AND($M723=TRUE,$N723=TRUE),VLOOKUP($E723,RH!$B$47:$S$67,MONTH($G723)+6,FALSE)*$H723,0),0)</f>
        <v>0</v>
      </c>
      <c r="M723" s="99" t="b">
        <f t="shared" si="1"/>
        <v>0</v>
      </c>
      <c r="N723" s="99"/>
      <c r="O723" s="85"/>
      <c r="P723" s="68"/>
    </row>
    <row r="724" hidden="1">
      <c r="A724" s="68"/>
      <c r="B724" s="79"/>
      <c r="C724" s="77"/>
      <c r="D724" s="79"/>
      <c r="E724" s="79"/>
      <c r="F724" s="93"/>
      <c r="G724" s="93"/>
      <c r="H724" s="103"/>
      <c r="I724" s="79"/>
      <c r="J724" s="100"/>
      <c r="K724" s="97" t="b">
        <f>IF(AND($M724=TRUE,$N724=TRUE),VLOOKUP($E724,RH!$B$47:$S$67,MONTH($G724)+6,FALSE))</f>
        <v>0</v>
      </c>
      <c r="L724" s="98">
        <f>IFERROR(IF(AND($M724=TRUE,$N724=TRUE),VLOOKUP($E724,RH!$B$47:$S$67,MONTH($G724)+6,FALSE)*$H724,0),0)</f>
        <v>0</v>
      </c>
      <c r="M724" s="99" t="b">
        <f t="shared" si="1"/>
        <v>0</v>
      </c>
      <c r="N724" s="99"/>
      <c r="O724" s="85"/>
      <c r="P724" s="68"/>
    </row>
    <row r="725" hidden="1">
      <c r="A725" s="68"/>
      <c r="B725" s="79"/>
      <c r="C725" s="77"/>
      <c r="D725" s="79"/>
      <c r="E725" s="79"/>
      <c r="F725" s="93"/>
      <c r="G725" s="93"/>
      <c r="H725" s="103"/>
      <c r="I725" s="79"/>
      <c r="J725" s="100"/>
      <c r="K725" s="97" t="b">
        <f>IF(AND($M725=TRUE,$N725=TRUE),VLOOKUP($E725,RH!$B$47:$S$67,MONTH($G725)+6,FALSE))</f>
        <v>0</v>
      </c>
      <c r="L725" s="98">
        <f>IFERROR(IF(AND($M725=TRUE,$N725=TRUE),VLOOKUP($E725,RH!$B$47:$S$67,MONTH($G725)+6,FALSE)*$H725,0),0)</f>
        <v>0</v>
      </c>
      <c r="M725" s="99" t="b">
        <f t="shared" si="1"/>
        <v>0</v>
      </c>
      <c r="N725" s="99"/>
      <c r="O725" s="85"/>
      <c r="P725" s="68"/>
    </row>
    <row r="726" hidden="1">
      <c r="A726" s="68"/>
      <c r="B726" s="79"/>
      <c r="C726" s="77"/>
      <c r="D726" s="79"/>
      <c r="E726" s="79"/>
      <c r="F726" s="93"/>
      <c r="G726" s="93"/>
      <c r="H726" s="103"/>
      <c r="I726" s="79"/>
      <c r="J726" s="100"/>
      <c r="K726" s="97" t="b">
        <f>IF(AND($M726=TRUE,$N726=TRUE),VLOOKUP($E726,RH!$B$47:$S$67,MONTH($G726)+6,FALSE))</f>
        <v>0</v>
      </c>
      <c r="L726" s="98">
        <f>IFERROR(IF(AND($M726=TRUE,$N726=TRUE),VLOOKUP($E726,RH!$B$47:$S$67,MONTH($G726)+6,FALSE)*$H726,0),0)</f>
        <v>0</v>
      </c>
      <c r="M726" s="99" t="b">
        <f t="shared" si="1"/>
        <v>0</v>
      </c>
      <c r="N726" s="99"/>
      <c r="O726" s="85"/>
      <c r="P726" s="68"/>
    </row>
    <row r="727" hidden="1">
      <c r="A727" s="68"/>
      <c r="B727" s="79"/>
      <c r="C727" s="77"/>
      <c r="D727" s="79"/>
      <c r="E727" s="79"/>
      <c r="F727" s="93"/>
      <c r="G727" s="93"/>
      <c r="H727" s="103"/>
      <c r="I727" s="79"/>
      <c r="J727" s="100"/>
      <c r="K727" s="97" t="b">
        <f>IF(AND($M727=TRUE,$N727=TRUE),VLOOKUP($E727,RH!$B$47:$S$67,MONTH($G727)+6,FALSE))</f>
        <v>0</v>
      </c>
      <c r="L727" s="98">
        <f>IFERROR(IF(AND($M727=TRUE,$N727=TRUE),VLOOKUP($E727,RH!$B$47:$S$67,MONTH($G727)+6,FALSE)*$H727,0),0)</f>
        <v>0</v>
      </c>
      <c r="M727" s="99" t="b">
        <f t="shared" si="1"/>
        <v>0</v>
      </c>
      <c r="N727" s="99"/>
      <c r="O727" s="85"/>
      <c r="P727" s="68"/>
    </row>
    <row r="728" hidden="1">
      <c r="A728" s="68"/>
      <c r="B728" s="79"/>
      <c r="C728" s="77"/>
      <c r="D728" s="79"/>
      <c r="E728" s="79"/>
      <c r="F728" s="93"/>
      <c r="G728" s="93"/>
      <c r="H728" s="103"/>
      <c r="I728" s="79"/>
      <c r="J728" s="100"/>
      <c r="K728" s="97" t="b">
        <f>IF(AND($M728=TRUE,$N728=TRUE),VLOOKUP($E728,RH!$B$47:$S$67,MONTH($G728)+6,FALSE))</f>
        <v>0</v>
      </c>
      <c r="L728" s="98">
        <f>IFERROR(IF(AND($M728=TRUE,$N728=TRUE),VLOOKUP($E728,RH!$B$47:$S$67,MONTH($G728)+6,FALSE)*$H728,0),0)</f>
        <v>0</v>
      </c>
      <c r="M728" s="99" t="b">
        <f t="shared" si="1"/>
        <v>0</v>
      </c>
      <c r="N728" s="99"/>
      <c r="O728" s="85"/>
      <c r="P728" s="68"/>
    </row>
    <row r="729" hidden="1">
      <c r="A729" s="68"/>
      <c r="B729" s="79"/>
      <c r="C729" s="77"/>
      <c r="D729" s="79"/>
      <c r="E729" s="79"/>
      <c r="F729" s="93"/>
      <c r="G729" s="93"/>
      <c r="H729" s="103"/>
      <c r="I729" s="79"/>
      <c r="J729" s="100"/>
      <c r="K729" s="97" t="b">
        <f>IF(AND($M729=TRUE,$N729=TRUE),VLOOKUP($E729,RH!$B$47:$S$67,MONTH($G729)+6,FALSE))</f>
        <v>0</v>
      </c>
      <c r="L729" s="98">
        <f>IFERROR(IF(AND($M729=TRUE,$N729=TRUE),VLOOKUP($E729,RH!$B$47:$S$67,MONTH($G729)+6,FALSE)*$H729,0),0)</f>
        <v>0</v>
      </c>
      <c r="M729" s="99" t="b">
        <f t="shared" si="1"/>
        <v>0</v>
      </c>
      <c r="N729" s="99"/>
      <c r="O729" s="85"/>
      <c r="P729" s="68"/>
    </row>
    <row r="730" hidden="1">
      <c r="A730" s="68"/>
      <c r="B730" s="79"/>
      <c r="C730" s="77"/>
      <c r="D730" s="79"/>
      <c r="E730" s="79"/>
      <c r="F730" s="93"/>
      <c r="G730" s="93"/>
      <c r="H730" s="103"/>
      <c r="I730" s="79"/>
      <c r="J730" s="100"/>
      <c r="K730" s="97" t="b">
        <f>IF(AND($M730=TRUE,$N730=TRUE),VLOOKUP($E730,RH!$B$47:$S$67,MONTH($G730)+6,FALSE))</f>
        <v>0</v>
      </c>
      <c r="L730" s="98">
        <f>IFERROR(IF(AND($M730=TRUE,$N730=TRUE),VLOOKUP($E730,RH!$B$47:$S$67,MONTH($G730)+6,FALSE)*$H730,0),0)</f>
        <v>0</v>
      </c>
      <c r="M730" s="99" t="b">
        <f t="shared" si="1"/>
        <v>0</v>
      </c>
      <c r="N730" s="99"/>
      <c r="O730" s="85"/>
      <c r="P730" s="68"/>
    </row>
    <row r="731" hidden="1">
      <c r="A731" s="68"/>
      <c r="B731" s="79"/>
      <c r="C731" s="77"/>
      <c r="D731" s="79"/>
      <c r="E731" s="79"/>
      <c r="F731" s="93"/>
      <c r="G731" s="93"/>
      <c r="H731" s="103"/>
      <c r="I731" s="79"/>
      <c r="J731" s="100"/>
      <c r="K731" s="97" t="b">
        <f>IF(AND($M731=TRUE,$N731=TRUE),VLOOKUP($E731,RH!$B$47:$S$67,MONTH($G731)+6,FALSE))</f>
        <v>0</v>
      </c>
      <c r="L731" s="98">
        <f>IFERROR(IF(AND($M731=TRUE,$N731=TRUE),VLOOKUP($E731,RH!$B$47:$S$67,MONTH($G731)+6,FALSE)*$H731,0),0)</f>
        <v>0</v>
      </c>
      <c r="M731" s="99" t="b">
        <f t="shared" si="1"/>
        <v>0</v>
      </c>
      <c r="N731" s="99"/>
      <c r="O731" s="85"/>
      <c r="P731" s="68"/>
    </row>
    <row r="732" hidden="1">
      <c r="A732" s="68"/>
      <c r="B732" s="79"/>
      <c r="C732" s="77"/>
      <c r="D732" s="79"/>
      <c r="E732" s="79"/>
      <c r="F732" s="93"/>
      <c r="G732" s="93"/>
      <c r="H732" s="103"/>
      <c r="I732" s="79"/>
      <c r="J732" s="100"/>
      <c r="K732" s="97" t="b">
        <f>IF(AND($M732=TRUE,$N732=TRUE),VLOOKUP($E732,RH!$B$47:$S$67,MONTH($G732)+6,FALSE))</f>
        <v>0</v>
      </c>
      <c r="L732" s="98">
        <f>IFERROR(IF(AND($M732=TRUE,$N732=TRUE),VLOOKUP($E732,RH!$B$47:$S$67,MONTH($G732)+6,FALSE)*$H732,0),0)</f>
        <v>0</v>
      </c>
      <c r="M732" s="99" t="b">
        <f t="shared" si="1"/>
        <v>0</v>
      </c>
      <c r="N732" s="99"/>
      <c r="O732" s="85"/>
      <c r="P732" s="68"/>
    </row>
    <row r="733" hidden="1">
      <c r="A733" s="68"/>
      <c r="B733" s="79"/>
      <c r="C733" s="77"/>
      <c r="D733" s="79"/>
      <c r="E733" s="79"/>
      <c r="F733" s="93"/>
      <c r="G733" s="93"/>
      <c r="H733" s="103"/>
      <c r="I733" s="79"/>
      <c r="J733" s="100"/>
      <c r="K733" s="97" t="b">
        <f>IF(AND($M733=TRUE,$N733=TRUE),VLOOKUP($E733,RH!$B$47:$S$67,MONTH($G733)+6,FALSE))</f>
        <v>0</v>
      </c>
      <c r="L733" s="98">
        <f>IFERROR(IF(AND($M733=TRUE,$N733=TRUE),VLOOKUP($E733,RH!$B$47:$S$67,MONTH($G733)+6,FALSE)*$H733,0),0)</f>
        <v>0</v>
      </c>
      <c r="M733" s="99" t="b">
        <f t="shared" si="1"/>
        <v>0</v>
      </c>
      <c r="N733" s="99"/>
      <c r="O733" s="85"/>
      <c r="P733" s="68"/>
    </row>
    <row r="734" hidden="1">
      <c r="A734" s="68"/>
      <c r="B734" s="79"/>
      <c r="C734" s="77"/>
      <c r="D734" s="79"/>
      <c r="E734" s="79"/>
      <c r="F734" s="93"/>
      <c r="G734" s="93"/>
      <c r="H734" s="103"/>
      <c r="I734" s="79"/>
      <c r="J734" s="100"/>
      <c r="K734" s="97" t="b">
        <f>IF(AND($M734=TRUE,$N734=TRUE),VLOOKUP($E734,RH!$B$47:$S$67,MONTH($G734)+6,FALSE))</f>
        <v>0</v>
      </c>
      <c r="L734" s="98">
        <f>IFERROR(IF(AND($M734=TRUE,$N734=TRUE),VLOOKUP($E734,RH!$B$47:$S$67,MONTH($G734)+6,FALSE)*$H734,0),0)</f>
        <v>0</v>
      </c>
      <c r="M734" s="99" t="b">
        <f t="shared" si="1"/>
        <v>0</v>
      </c>
      <c r="N734" s="99"/>
      <c r="O734" s="85"/>
      <c r="P734" s="68"/>
    </row>
    <row r="735" hidden="1">
      <c r="A735" s="68"/>
      <c r="B735" s="79"/>
      <c r="C735" s="77"/>
      <c r="D735" s="79"/>
      <c r="E735" s="79"/>
      <c r="F735" s="93"/>
      <c r="G735" s="93"/>
      <c r="H735" s="103"/>
      <c r="I735" s="79"/>
      <c r="J735" s="100"/>
      <c r="K735" s="97" t="b">
        <f>IF(AND($M735=TRUE,$N735=TRUE),VLOOKUP($E735,RH!$B$47:$S$67,MONTH($G735)+6,FALSE))</f>
        <v>0</v>
      </c>
      <c r="L735" s="98">
        <f>IFERROR(IF(AND($M735=TRUE,$N735=TRUE),VLOOKUP($E735,RH!$B$47:$S$67,MONTH($G735)+6,FALSE)*$H735,0),0)</f>
        <v>0</v>
      </c>
      <c r="M735" s="99" t="b">
        <f t="shared" si="1"/>
        <v>0</v>
      </c>
      <c r="N735" s="99"/>
      <c r="O735" s="85"/>
      <c r="P735" s="68"/>
    </row>
    <row r="736" hidden="1">
      <c r="A736" s="68"/>
      <c r="B736" s="79"/>
      <c r="C736" s="77"/>
      <c r="D736" s="79"/>
      <c r="E736" s="79"/>
      <c r="F736" s="93"/>
      <c r="G736" s="93"/>
      <c r="H736" s="103"/>
      <c r="I736" s="79"/>
      <c r="J736" s="100"/>
      <c r="K736" s="97" t="b">
        <f>IF(AND($M736=TRUE,$N736=TRUE),VLOOKUP($E736,RH!$B$47:$S$67,MONTH($G736)+6,FALSE))</f>
        <v>0</v>
      </c>
      <c r="L736" s="98">
        <f>IFERROR(IF(AND($M736=TRUE,$N736=TRUE),VLOOKUP($E736,RH!$B$47:$S$67,MONTH($G736)+6,FALSE)*$H736,0),0)</f>
        <v>0</v>
      </c>
      <c r="M736" s="99" t="b">
        <f t="shared" si="1"/>
        <v>0</v>
      </c>
      <c r="N736" s="99"/>
      <c r="O736" s="85"/>
      <c r="P736" s="68"/>
    </row>
    <row r="737" hidden="1">
      <c r="A737" s="68"/>
      <c r="B737" s="79"/>
      <c r="C737" s="77"/>
      <c r="D737" s="79"/>
      <c r="E737" s="79"/>
      <c r="F737" s="93"/>
      <c r="G737" s="93"/>
      <c r="H737" s="103"/>
      <c r="I737" s="79"/>
      <c r="J737" s="100"/>
      <c r="K737" s="97" t="b">
        <f>IF(AND($M737=TRUE,$N737=TRUE),VLOOKUP($E737,RH!$B$47:$S$67,MONTH($G737)+6,FALSE))</f>
        <v>0</v>
      </c>
      <c r="L737" s="98">
        <f>IFERROR(IF(AND($M737=TRUE,$N737=TRUE),VLOOKUP($E737,RH!$B$47:$S$67,MONTH($G737)+6,FALSE)*$H737,0),0)</f>
        <v>0</v>
      </c>
      <c r="M737" s="99" t="b">
        <f t="shared" si="1"/>
        <v>0</v>
      </c>
      <c r="N737" s="99"/>
      <c r="O737" s="85"/>
      <c r="P737" s="68"/>
    </row>
    <row r="738" hidden="1">
      <c r="A738" s="68"/>
      <c r="B738" s="79"/>
      <c r="C738" s="77"/>
      <c r="D738" s="79"/>
      <c r="E738" s="79"/>
      <c r="F738" s="93"/>
      <c r="G738" s="93"/>
      <c r="H738" s="103"/>
      <c r="I738" s="79"/>
      <c r="J738" s="100"/>
      <c r="K738" s="97" t="b">
        <f>IF(AND($M738=TRUE,$N738=TRUE),VLOOKUP($E738,RH!$B$47:$S$67,MONTH($G738)+6,FALSE))</f>
        <v>0</v>
      </c>
      <c r="L738" s="98">
        <f>IFERROR(IF(AND($M738=TRUE,$N738=TRUE),VLOOKUP($E738,RH!$B$47:$S$67,MONTH($G738)+6,FALSE)*$H738,0),0)</f>
        <v>0</v>
      </c>
      <c r="M738" s="99" t="b">
        <f t="shared" si="1"/>
        <v>0</v>
      </c>
      <c r="N738" s="99"/>
      <c r="O738" s="85"/>
      <c r="P738" s="68"/>
    </row>
    <row r="739" hidden="1">
      <c r="A739" s="68"/>
      <c r="B739" s="79"/>
      <c r="C739" s="77"/>
      <c r="D739" s="79"/>
      <c r="E739" s="79"/>
      <c r="F739" s="93"/>
      <c r="G739" s="93"/>
      <c r="H739" s="103"/>
      <c r="I739" s="79"/>
      <c r="J739" s="100"/>
      <c r="K739" s="97" t="b">
        <f>IF(AND($M739=TRUE,$N739=TRUE),VLOOKUP($E739,RH!$B$47:$S$67,MONTH($G739)+6,FALSE))</f>
        <v>0</v>
      </c>
      <c r="L739" s="98">
        <f>IFERROR(IF(AND($M739=TRUE,$N739=TRUE),VLOOKUP($E739,RH!$B$47:$S$67,MONTH($G739)+6,FALSE)*$H739,0),0)</f>
        <v>0</v>
      </c>
      <c r="M739" s="99" t="b">
        <f t="shared" si="1"/>
        <v>0</v>
      </c>
      <c r="N739" s="99"/>
      <c r="O739" s="85"/>
      <c r="P739" s="68"/>
    </row>
    <row r="740" hidden="1">
      <c r="A740" s="68"/>
      <c r="B740" s="79"/>
      <c r="C740" s="77"/>
      <c r="D740" s="79"/>
      <c r="E740" s="79"/>
      <c r="F740" s="93"/>
      <c r="G740" s="93"/>
      <c r="H740" s="103"/>
      <c r="I740" s="79"/>
      <c r="J740" s="100"/>
      <c r="K740" s="97" t="b">
        <f>IF(AND($M740=TRUE,$N740=TRUE),VLOOKUP($E740,RH!$B$47:$S$67,MONTH($G740)+6,FALSE))</f>
        <v>0</v>
      </c>
      <c r="L740" s="98">
        <f>IFERROR(IF(AND($M740=TRUE,$N740=TRUE),VLOOKUP($E740,RH!$B$47:$S$67,MONTH($G740)+6,FALSE)*$H740,0),0)</f>
        <v>0</v>
      </c>
      <c r="M740" s="99" t="b">
        <f t="shared" si="1"/>
        <v>0</v>
      </c>
      <c r="N740" s="99"/>
      <c r="O740" s="85"/>
      <c r="P740" s="68"/>
    </row>
    <row r="741" hidden="1">
      <c r="A741" s="68"/>
      <c r="B741" s="79"/>
      <c r="C741" s="77"/>
      <c r="D741" s="79"/>
      <c r="E741" s="79"/>
      <c r="F741" s="93"/>
      <c r="G741" s="93"/>
      <c r="H741" s="103"/>
      <c r="I741" s="79"/>
      <c r="J741" s="100"/>
      <c r="K741" s="97" t="b">
        <f>IF(AND($M741=TRUE,$N741=TRUE),VLOOKUP($E741,RH!$B$47:$S$67,MONTH($G741)+6,FALSE))</f>
        <v>0</v>
      </c>
      <c r="L741" s="98">
        <f>IFERROR(IF(AND($M741=TRUE,$N741=TRUE),VLOOKUP($E741,RH!$B$47:$S$67,MONTH($G741)+6,FALSE)*$H741,0),0)</f>
        <v>0</v>
      </c>
      <c r="M741" s="99" t="b">
        <f t="shared" si="1"/>
        <v>0</v>
      </c>
      <c r="N741" s="99"/>
      <c r="O741" s="85"/>
      <c r="P741" s="68"/>
    </row>
    <row r="742" hidden="1">
      <c r="A742" s="68"/>
      <c r="B742" s="79"/>
      <c r="C742" s="77"/>
      <c r="D742" s="79"/>
      <c r="E742" s="79"/>
      <c r="F742" s="93"/>
      <c r="G742" s="93"/>
      <c r="H742" s="103"/>
      <c r="I742" s="79"/>
      <c r="J742" s="100"/>
      <c r="K742" s="97" t="b">
        <f>IF(AND($M742=TRUE,$N742=TRUE),VLOOKUP($E742,RH!$B$47:$S$67,MONTH($G742)+6,FALSE))</f>
        <v>0</v>
      </c>
      <c r="L742" s="98">
        <f>IFERROR(IF(AND($M742=TRUE,$N742=TRUE),VLOOKUP($E742,RH!$B$47:$S$67,MONTH($G742)+6,FALSE)*$H742,0),0)</f>
        <v>0</v>
      </c>
      <c r="M742" s="99" t="b">
        <f t="shared" si="1"/>
        <v>0</v>
      </c>
      <c r="N742" s="99"/>
      <c r="O742" s="85"/>
      <c r="P742" s="68"/>
    </row>
    <row r="743" hidden="1">
      <c r="A743" s="68"/>
      <c r="B743" s="79"/>
      <c r="C743" s="77"/>
      <c r="D743" s="79"/>
      <c r="E743" s="79"/>
      <c r="F743" s="93"/>
      <c r="G743" s="93"/>
      <c r="H743" s="103"/>
      <c r="I743" s="79"/>
      <c r="J743" s="100"/>
      <c r="K743" s="97" t="b">
        <f>IF(AND($M743=TRUE,$N743=TRUE),VLOOKUP($E743,RH!$B$47:$S$67,MONTH($G743)+6,FALSE))</f>
        <v>0</v>
      </c>
      <c r="L743" s="98">
        <f>IFERROR(IF(AND($M743=TRUE,$N743=TRUE),VLOOKUP($E743,RH!$B$47:$S$67,MONTH($G743)+6,FALSE)*$H743,0),0)</f>
        <v>0</v>
      </c>
      <c r="M743" s="99" t="b">
        <f t="shared" si="1"/>
        <v>0</v>
      </c>
      <c r="N743" s="99"/>
      <c r="O743" s="85"/>
      <c r="P743" s="68"/>
    </row>
    <row r="744" hidden="1">
      <c r="A744" s="68"/>
      <c r="B744" s="79"/>
      <c r="C744" s="77"/>
      <c r="D744" s="79"/>
      <c r="E744" s="79"/>
      <c r="F744" s="93"/>
      <c r="G744" s="93"/>
      <c r="H744" s="103"/>
      <c r="I744" s="79"/>
      <c r="J744" s="100"/>
      <c r="K744" s="97" t="b">
        <f>IF(AND($M744=TRUE,$N744=TRUE),VLOOKUP($E744,RH!$B$47:$S$67,MONTH($G744)+6,FALSE))</f>
        <v>0</v>
      </c>
      <c r="L744" s="98">
        <f>IFERROR(IF(AND($M744=TRUE,$N744=TRUE),VLOOKUP($E744,RH!$B$47:$S$67,MONTH($G744)+6,FALSE)*$H744,0),0)</f>
        <v>0</v>
      </c>
      <c r="M744" s="99" t="b">
        <f t="shared" si="1"/>
        <v>0</v>
      </c>
      <c r="N744" s="99"/>
      <c r="O744" s="85"/>
      <c r="P744" s="68"/>
    </row>
    <row r="745" hidden="1">
      <c r="A745" s="68"/>
      <c r="B745" s="79"/>
      <c r="C745" s="77"/>
      <c r="D745" s="79"/>
      <c r="E745" s="79"/>
      <c r="F745" s="93"/>
      <c r="G745" s="93"/>
      <c r="H745" s="103"/>
      <c r="I745" s="79"/>
      <c r="J745" s="100"/>
      <c r="K745" s="97" t="b">
        <f>IF(AND($M745=TRUE,$N745=TRUE),VLOOKUP($E745,RH!$B$47:$S$67,MONTH($G745)+6,FALSE))</f>
        <v>0</v>
      </c>
      <c r="L745" s="98">
        <f>IFERROR(IF(AND($M745=TRUE,$N745=TRUE),VLOOKUP($E745,RH!$B$47:$S$67,MONTH($G745)+6,FALSE)*$H745,0),0)</f>
        <v>0</v>
      </c>
      <c r="M745" s="99" t="b">
        <f t="shared" si="1"/>
        <v>0</v>
      </c>
      <c r="N745" s="99"/>
      <c r="O745" s="85"/>
      <c r="P745" s="68"/>
    </row>
    <row r="746" hidden="1">
      <c r="A746" s="68"/>
      <c r="B746" s="79"/>
      <c r="C746" s="77"/>
      <c r="D746" s="79"/>
      <c r="E746" s="79"/>
      <c r="F746" s="93"/>
      <c r="G746" s="93"/>
      <c r="H746" s="103"/>
      <c r="I746" s="79"/>
      <c r="J746" s="100"/>
      <c r="K746" s="97" t="b">
        <f>IF(AND($M746=TRUE,$N746=TRUE),VLOOKUP($E746,RH!$B$47:$S$67,MONTH($G746)+6,FALSE))</f>
        <v>0</v>
      </c>
      <c r="L746" s="98">
        <f>IFERROR(IF(AND($M746=TRUE,$N746=TRUE),VLOOKUP($E746,RH!$B$47:$S$67,MONTH($G746)+6,FALSE)*$H746,0),0)</f>
        <v>0</v>
      </c>
      <c r="M746" s="99" t="b">
        <f t="shared" si="1"/>
        <v>0</v>
      </c>
      <c r="N746" s="99"/>
      <c r="O746" s="85"/>
      <c r="P746" s="68"/>
    </row>
    <row r="747" hidden="1">
      <c r="A747" s="68"/>
      <c r="B747" s="79"/>
      <c r="C747" s="77"/>
      <c r="D747" s="79"/>
      <c r="E747" s="79"/>
      <c r="F747" s="93"/>
      <c r="G747" s="93"/>
      <c r="H747" s="103"/>
      <c r="I747" s="79"/>
      <c r="J747" s="100"/>
      <c r="K747" s="97" t="b">
        <f>IF(AND($M747=TRUE,$N747=TRUE),VLOOKUP($E747,RH!$B$47:$S$67,MONTH($G747)+6,FALSE))</f>
        <v>0</v>
      </c>
      <c r="L747" s="98">
        <f>IFERROR(IF(AND($M747=TRUE,$N747=TRUE),VLOOKUP($E747,RH!$B$47:$S$67,MONTH($G747)+6,FALSE)*$H747,0),0)</f>
        <v>0</v>
      </c>
      <c r="M747" s="99" t="b">
        <f t="shared" si="1"/>
        <v>0</v>
      </c>
      <c r="N747" s="99"/>
      <c r="O747" s="85"/>
      <c r="P747" s="68"/>
    </row>
    <row r="748" hidden="1">
      <c r="A748" s="68"/>
      <c r="B748" s="79"/>
      <c r="C748" s="77"/>
      <c r="D748" s="79"/>
      <c r="E748" s="79"/>
      <c r="F748" s="93"/>
      <c r="G748" s="93"/>
      <c r="H748" s="103"/>
      <c r="I748" s="79"/>
      <c r="J748" s="100"/>
      <c r="K748" s="97" t="b">
        <f>IF(AND($M748=TRUE,$N748=TRUE),VLOOKUP($E748,RH!$B$47:$S$67,MONTH($G748)+6,FALSE))</f>
        <v>0</v>
      </c>
      <c r="L748" s="98">
        <f>IFERROR(IF(AND($M748=TRUE,$N748=TRUE),VLOOKUP($E748,RH!$B$47:$S$67,MONTH($G748)+6,FALSE)*$H748,0),0)</f>
        <v>0</v>
      </c>
      <c r="M748" s="99" t="b">
        <f t="shared" si="1"/>
        <v>0</v>
      </c>
      <c r="N748" s="99"/>
      <c r="O748" s="85"/>
      <c r="P748" s="68"/>
    </row>
    <row r="749" hidden="1">
      <c r="A749" s="68"/>
      <c r="B749" s="79"/>
      <c r="C749" s="77"/>
      <c r="D749" s="79"/>
      <c r="E749" s="79"/>
      <c r="F749" s="93"/>
      <c r="G749" s="93"/>
      <c r="H749" s="103"/>
      <c r="I749" s="79"/>
      <c r="J749" s="100"/>
      <c r="K749" s="97" t="b">
        <f>IF(AND($M749=TRUE,$N749=TRUE),VLOOKUP($E749,RH!$B$47:$S$67,MONTH($G749)+6,FALSE))</f>
        <v>0</v>
      </c>
      <c r="L749" s="98">
        <f>IFERROR(IF(AND($M749=TRUE,$N749=TRUE),VLOOKUP($E749,RH!$B$47:$S$67,MONTH($G749)+6,FALSE)*$H749,0),0)</f>
        <v>0</v>
      </c>
      <c r="M749" s="99" t="b">
        <f t="shared" si="1"/>
        <v>0</v>
      </c>
      <c r="N749" s="99"/>
      <c r="O749" s="85"/>
      <c r="P749" s="68"/>
    </row>
    <row r="750" hidden="1">
      <c r="A750" s="68"/>
      <c r="B750" s="79"/>
      <c r="C750" s="77"/>
      <c r="D750" s="79"/>
      <c r="E750" s="79"/>
      <c r="F750" s="93"/>
      <c r="G750" s="93"/>
      <c r="H750" s="103"/>
      <c r="I750" s="79"/>
      <c r="J750" s="100"/>
      <c r="K750" s="97" t="b">
        <f>IF(AND($M750=TRUE,$N750=TRUE),VLOOKUP($E750,RH!$B$47:$S$67,MONTH($G750)+6,FALSE))</f>
        <v>0</v>
      </c>
      <c r="L750" s="98">
        <f>IFERROR(IF(AND($M750=TRUE,$N750=TRUE),VLOOKUP($E750,RH!$B$47:$S$67,MONTH($G750)+6,FALSE)*$H750,0),0)</f>
        <v>0</v>
      </c>
      <c r="M750" s="99" t="b">
        <f t="shared" si="1"/>
        <v>0</v>
      </c>
      <c r="N750" s="99"/>
      <c r="O750" s="85"/>
      <c r="P750" s="68"/>
    </row>
    <row r="751" hidden="1">
      <c r="A751" s="68"/>
      <c r="B751" s="79"/>
      <c r="C751" s="77"/>
      <c r="D751" s="79"/>
      <c r="E751" s="79"/>
      <c r="F751" s="93"/>
      <c r="G751" s="93"/>
      <c r="H751" s="103"/>
      <c r="I751" s="79"/>
      <c r="J751" s="100"/>
      <c r="K751" s="97" t="b">
        <f>IF(AND($M751=TRUE,$N751=TRUE),VLOOKUP($E751,RH!$B$47:$S$67,MONTH($G751)+6,FALSE))</f>
        <v>0</v>
      </c>
      <c r="L751" s="98">
        <f>IFERROR(IF(AND($M751=TRUE,$N751=TRUE),VLOOKUP($E751,RH!$B$47:$S$67,MONTH($G751)+6,FALSE)*$H751,0),0)</f>
        <v>0</v>
      </c>
      <c r="M751" s="99" t="b">
        <f t="shared" si="1"/>
        <v>0</v>
      </c>
      <c r="N751" s="99"/>
      <c r="O751" s="85"/>
      <c r="P751" s="68"/>
    </row>
    <row r="752" hidden="1">
      <c r="A752" s="68"/>
      <c r="B752" s="79"/>
      <c r="C752" s="77"/>
      <c r="D752" s="79"/>
      <c r="E752" s="79"/>
      <c r="F752" s="93"/>
      <c r="G752" s="93"/>
      <c r="H752" s="103"/>
      <c r="I752" s="79"/>
      <c r="J752" s="100"/>
      <c r="K752" s="97" t="b">
        <f>IF(AND($M752=TRUE,$N752=TRUE),VLOOKUP($E752,RH!$B$47:$S$67,MONTH($G752)+6,FALSE))</f>
        <v>0</v>
      </c>
      <c r="L752" s="98">
        <f>IFERROR(IF(AND($M752=TRUE,$N752=TRUE),VLOOKUP($E752,RH!$B$47:$S$67,MONTH($G752)+6,FALSE)*$H752,0),0)</f>
        <v>0</v>
      </c>
      <c r="M752" s="99" t="b">
        <f t="shared" si="1"/>
        <v>0</v>
      </c>
      <c r="N752" s="99"/>
      <c r="O752" s="85"/>
      <c r="P752" s="68"/>
    </row>
    <row r="753" hidden="1">
      <c r="A753" s="68"/>
      <c r="B753" s="79"/>
      <c r="C753" s="77"/>
      <c r="D753" s="79"/>
      <c r="E753" s="79"/>
      <c r="F753" s="93"/>
      <c r="G753" s="93"/>
      <c r="H753" s="103"/>
      <c r="I753" s="79"/>
      <c r="J753" s="100"/>
      <c r="K753" s="97" t="b">
        <f>IF(AND($M753=TRUE,$N753=TRUE),VLOOKUP($E753,RH!$B$47:$S$67,MONTH($G753)+6,FALSE))</f>
        <v>0</v>
      </c>
      <c r="L753" s="98">
        <f>IFERROR(IF(AND($M753=TRUE,$N753=TRUE),VLOOKUP($E753,RH!$B$47:$S$67,MONTH($G753)+6,FALSE)*$H753,0),0)</f>
        <v>0</v>
      </c>
      <c r="M753" s="99" t="b">
        <f t="shared" si="1"/>
        <v>0</v>
      </c>
      <c r="N753" s="99"/>
      <c r="O753" s="85"/>
      <c r="P753" s="68"/>
    </row>
    <row r="754" hidden="1">
      <c r="A754" s="68"/>
      <c r="B754" s="79"/>
      <c r="C754" s="77"/>
      <c r="D754" s="79"/>
      <c r="E754" s="79"/>
      <c r="F754" s="93"/>
      <c r="G754" s="93"/>
      <c r="H754" s="103"/>
      <c r="I754" s="79"/>
      <c r="J754" s="100"/>
      <c r="K754" s="97" t="b">
        <f>IF(AND($M754=TRUE,$N754=TRUE),VLOOKUP($E754,RH!$B$47:$S$67,MONTH($G754)+6,FALSE))</f>
        <v>0</v>
      </c>
      <c r="L754" s="98">
        <f>IFERROR(IF(AND($M754=TRUE,$N754=TRUE),VLOOKUP($E754,RH!$B$47:$S$67,MONTH($G754)+6,FALSE)*$H754,0),0)</f>
        <v>0</v>
      </c>
      <c r="M754" s="99" t="b">
        <f t="shared" si="1"/>
        <v>0</v>
      </c>
      <c r="N754" s="99"/>
      <c r="O754" s="85"/>
      <c r="P754" s="68"/>
    </row>
    <row r="755" hidden="1">
      <c r="A755" s="68"/>
      <c r="B755" s="79"/>
      <c r="C755" s="77"/>
      <c r="D755" s="79"/>
      <c r="E755" s="79"/>
      <c r="F755" s="93"/>
      <c r="G755" s="93"/>
      <c r="H755" s="103"/>
      <c r="I755" s="79"/>
      <c r="J755" s="100"/>
      <c r="K755" s="97" t="b">
        <f>IF(AND($M755=TRUE,$N755=TRUE),VLOOKUP($E755,RH!$B$47:$S$67,MONTH($G755)+6,FALSE))</f>
        <v>0</v>
      </c>
      <c r="L755" s="98">
        <f>IFERROR(IF(AND($M755=TRUE,$N755=TRUE),VLOOKUP($E755,RH!$B$47:$S$67,MONTH($G755)+6,FALSE)*$H755,0),0)</f>
        <v>0</v>
      </c>
      <c r="M755" s="99" t="b">
        <f t="shared" si="1"/>
        <v>0</v>
      </c>
      <c r="N755" s="99"/>
      <c r="O755" s="85"/>
      <c r="P755" s="68"/>
    </row>
    <row r="756" hidden="1">
      <c r="A756" s="68"/>
      <c r="B756" s="79"/>
      <c r="C756" s="77"/>
      <c r="D756" s="79"/>
      <c r="E756" s="79"/>
      <c r="F756" s="93"/>
      <c r="G756" s="93"/>
      <c r="H756" s="103"/>
      <c r="I756" s="79"/>
      <c r="J756" s="100"/>
      <c r="K756" s="97" t="b">
        <f>IF(AND($M756=TRUE,$N756=TRUE),VLOOKUP($E756,RH!$B$47:$S$67,MONTH($G756)+6,FALSE))</f>
        <v>0</v>
      </c>
      <c r="L756" s="98">
        <f>IFERROR(IF(AND($M756=TRUE,$N756=TRUE),VLOOKUP($E756,RH!$B$47:$S$67,MONTH($G756)+6,FALSE)*$H756,0),0)</f>
        <v>0</v>
      </c>
      <c r="M756" s="99" t="b">
        <f t="shared" si="1"/>
        <v>0</v>
      </c>
      <c r="N756" s="99"/>
      <c r="O756" s="85"/>
      <c r="P756" s="68"/>
    </row>
    <row r="757" hidden="1">
      <c r="A757" s="68"/>
      <c r="B757" s="79"/>
      <c r="C757" s="77"/>
      <c r="D757" s="79"/>
      <c r="E757" s="79"/>
      <c r="F757" s="93"/>
      <c r="G757" s="93"/>
      <c r="H757" s="103"/>
      <c r="I757" s="79"/>
      <c r="J757" s="100"/>
      <c r="K757" s="97" t="b">
        <f>IF(AND($M757=TRUE,$N757=TRUE),VLOOKUP($E757,RH!$B$47:$S$67,MONTH($G757)+6,FALSE))</f>
        <v>0</v>
      </c>
      <c r="L757" s="98">
        <f>IFERROR(IF(AND($M757=TRUE,$N757=TRUE),VLOOKUP($E757,RH!$B$47:$S$67,MONTH($G757)+6,FALSE)*$H757,0),0)</f>
        <v>0</v>
      </c>
      <c r="M757" s="99" t="b">
        <f t="shared" si="1"/>
        <v>0</v>
      </c>
      <c r="N757" s="99"/>
      <c r="O757" s="85"/>
      <c r="P757" s="68"/>
    </row>
    <row r="758" hidden="1">
      <c r="A758" s="68"/>
      <c r="B758" s="79"/>
      <c r="C758" s="77"/>
      <c r="D758" s="79"/>
      <c r="E758" s="79"/>
      <c r="F758" s="93"/>
      <c r="G758" s="93"/>
      <c r="H758" s="103"/>
      <c r="I758" s="79"/>
      <c r="J758" s="100"/>
      <c r="K758" s="97" t="b">
        <f>IF(AND($M758=TRUE,$N758=TRUE),VLOOKUP($E758,RH!$B$47:$S$67,MONTH($G758)+6,FALSE))</f>
        <v>0</v>
      </c>
      <c r="L758" s="98">
        <f>IFERROR(IF(AND($M758=TRUE,$N758=TRUE),VLOOKUP($E758,RH!$B$47:$S$67,MONTH($G758)+6,FALSE)*$H758,0),0)</f>
        <v>0</v>
      </c>
      <c r="M758" s="99" t="b">
        <f t="shared" si="1"/>
        <v>0</v>
      </c>
      <c r="N758" s="99"/>
      <c r="O758" s="85"/>
      <c r="P758" s="68"/>
    </row>
    <row r="759" hidden="1">
      <c r="A759" s="68"/>
      <c r="B759" s="79"/>
      <c r="C759" s="77"/>
      <c r="D759" s="79"/>
      <c r="E759" s="79"/>
      <c r="F759" s="93"/>
      <c r="G759" s="93"/>
      <c r="H759" s="103"/>
      <c r="I759" s="79"/>
      <c r="J759" s="100"/>
      <c r="K759" s="97" t="b">
        <f>IF(AND($M759=TRUE,$N759=TRUE),VLOOKUP($E759,RH!$B$47:$S$67,MONTH($G759)+6,FALSE))</f>
        <v>0</v>
      </c>
      <c r="L759" s="98">
        <f>IFERROR(IF(AND($M759=TRUE,$N759=TRUE),VLOOKUP($E759,RH!$B$47:$S$67,MONTH($G759)+6,FALSE)*$H759,0),0)</f>
        <v>0</v>
      </c>
      <c r="M759" s="99" t="b">
        <f t="shared" si="1"/>
        <v>0</v>
      </c>
      <c r="N759" s="99"/>
      <c r="O759" s="85"/>
      <c r="P759" s="68"/>
    </row>
    <row r="760" hidden="1">
      <c r="A760" s="68"/>
      <c r="B760" s="79"/>
      <c r="C760" s="77"/>
      <c r="D760" s="79"/>
      <c r="E760" s="79"/>
      <c r="F760" s="93"/>
      <c r="G760" s="93"/>
      <c r="H760" s="103"/>
      <c r="I760" s="79"/>
      <c r="J760" s="100"/>
      <c r="K760" s="97" t="b">
        <f>IF(AND($M760=TRUE,$N760=TRUE),VLOOKUP($E760,RH!$B$47:$S$67,MONTH($G760)+6,FALSE))</f>
        <v>0</v>
      </c>
      <c r="L760" s="98">
        <f>IFERROR(IF(AND($M760=TRUE,$N760=TRUE),VLOOKUP($E760,RH!$B$47:$S$67,MONTH($G760)+6,FALSE)*$H760,0),0)</f>
        <v>0</v>
      </c>
      <c r="M760" s="99" t="b">
        <f t="shared" si="1"/>
        <v>0</v>
      </c>
      <c r="N760" s="99"/>
      <c r="O760" s="85"/>
      <c r="P760" s="68"/>
    </row>
    <row r="761" hidden="1">
      <c r="A761" s="68"/>
      <c r="B761" s="79"/>
      <c r="C761" s="77"/>
      <c r="D761" s="79"/>
      <c r="E761" s="79"/>
      <c r="F761" s="93"/>
      <c r="G761" s="93"/>
      <c r="H761" s="103"/>
      <c r="I761" s="79"/>
      <c r="J761" s="100"/>
      <c r="K761" s="97" t="b">
        <f>IF(AND($M761=TRUE,$N761=TRUE),VLOOKUP($E761,RH!$B$47:$S$67,MONTH($G761)+6,FALSE))</f>
        <v>0</v>
      </c>
      <c r="L761" s="98">
        <f>IFERROR(IF(AND($M761=TRUE,$N761=TRUE),VLOOKUP($E761,RH!$B$47:$S$67,MONTH($G761)+6,FALSE)*$H761,0),0)</f>
        <v>0</v>
      </c>
      <c r="M761" s="99" t="b">
        <f t="shared" si="1"/>
        <v>0</v>
      </c>
      <c r="N761" s="99"/>
      <c r="O761" s="85"/>
      <c r="P761" s="68"/>
    </row>
    <row r="762" hidden="1">
      <c r="A762" s="68"/>
      <c r="B762" s="79"/>
      <c r="C762" s="77"/>
      <c r="D762" s="79"/>
      <c r="E762" s="79"/>
      <c r="F762" s="93"/>
      <c r="G762" s="93"/>
      <c r="H762" s="103"/>
      <c r="I762" s="79"/>
      <c r="J762" s="100"/>
      <c r="K762" s="97" t="b">
        <f>IF(AND($M762=TRUE,$N762=TRUE),VLOOKUP($E762,RH!$B$47:$S$67,MONTH($G762)+6,FALSE))</f>
        <v>0</v>
      </c>
      <c r="L762" s="98">
        <f>IFERROR(IF(AND($M762=TRUE,$N762=TRUE),VLOOKUP($E762,RH!$B$47:$S$67,MONTH($G762)+6,FALSE)*$H762,0),0)</f>
        <v>0</v>
      </c>
      <c r="M762" s="99" t="b">
        <f t="shared" si="1"/>
        <v>0</v>
      </c>
      <c r="N762" s="99"/>
      <c r="O762" s="85"/>
      <c r="P762" s="68"/>
    </row>
    <row r="763" hidden="1">
      <c r="A763" s="68"/>
      <c r="B763" s="79"/>
      <c r="C763" s="77"/>
      <c r="D763" s="79"/>
      <c r="E763" s="79"/>
      <c r="F763" s="93"/>
      <c r="G763" s="93"/>
      <c r="H763" s="103"/>
      <c r="I763" s="79"/>
      <c r="J763" s="100"/>
      <c r="K763" s="97" t="b">
        <f>IF(AND($M763=TRUE,$N763=TRUE),VLOOKUP($E763,RH!$B$47:$S$67,MONTH($G763)+6,FALSE))</f>
        <v>0</v>
      </c>
      <c r="L763" s="98">
        <f>IFERROR(IF(AND($M763=TRUE,$N763=TRUE),VLOOKUP($E763,RH!$B$47:$S$67,MONTH($G763)+6,FALSE)*$H763,0),0)</f>
        <v>0</v>
      </c>
      <c r="M763" s="99" t="b">
        <f t="shared" si="1"/>
        <v>0</v>
      </c>
      <c r="N763" s="99"/>
      <c r="O763" s="85"/>
      <c r="P763" s="68"/>
    </row>
    <row r="764" hidden="1">
      <c r="A764" s="68"/>
      <c r="B764" s="79"/>
      <c r="C764" s="77"/>
      <c r="D764" s="79"/>
      <c r="E764" s="79"/>
      <c r="F764" s="93"/>
      <c r="G764" s="93"/>
      <c r="H764" s="103"/>
      <c r="I764" s="79"/>
      <c r="J764" s="100"/>
      <c r="K764" s="97" t="b">
        <f>IF(AND($M764=TRUE,$N764=TRUE),VLOOKUP($E764,RH!$B$47:$S$67,MONTH($G764)+6,FALSE))</f>
        <v>0</v>
      </c>
      <c r="L764" s="98">
        <f>IFERROR(IF(AND($M764=TRUE,$N764=TRUE),VLOOKUP($E764,RH!$B$47:$S$67,MONTH($G764)+6,FALSE)*$H764,0),0)</f>
        <v>0</v>
      </c>
      <c r="M764" s="99" t="b">
        <f t="shared" si="1"/>
        <v>0</v>
      </c>
      <c r="N764" s="99"/>
      <c r="O764" s="85"/>
      <c r="P764" s="68"/>
    </row>
    <row r="765" hidden="1">
      <c r="A765" s="68"/>
      <c r="B765" s="79"/>
      <c r="C765" s="77"/>
      <c r="D765" s="79"/>
      <c r="E765" s="79"/>
      <c r="F765" s="93"/>
      <c r="G765" s="93"/>
      <c r="H765" s="103"/>
      <c r="I765" s="79"/>
      <c r="J765" s="100"/>
      <c r="K765" s="97" t="b">
        <f>IF(AND($M765=TRUE,$N765=TRUE),VLOOKUP($E765,RH!$B$47:$S$67,MONTH($G765)+6,FALSE))</f>
        <v>0</v>
      </c>
      <c r="L765" s="98">
        <f>IFERROR(IF(AND($M765=TRUE,$N765=TRUE),VLOOKUP($E765,RH!$B$47:$S$67,MONTH($G765)+6,FALSE)*$H765,0),0)</f>
        <v>0</v>
      </c>
      <c r="M765" s="99" t="b">
        <f t="shared" si="1"/>
        <v>0</v>
      </c>
      <c r="N765" s="99"/>
      <c r="O765" s="85"/>
      <c r="P765" s="68"/>
    </row>
    <row r="766" hidden="1">
      <c r="A766" s="68"/>
      <c r="B766" s="79"/>
      <c r="C766" s="77"/>
      <c r="D766" s="79"/>
      <c r="E766" s="79"/>
      <c r="F766" s="93"/>
      <c r="G766" s="93"/>
      <c r="H766" s="103"/>
      <c r="I766" s="79"/>
      <c r="J766" s="100"/>
      <c r="K766" s="97" t="b">
        <f>IF(AND($M766=TRUE,$N766=TRUE),VLOOKUP($E766,RH!$B$47:$S$67,MONTH($G766)+6,FALSE))</f>
        <v>0</v>
      </c>
      <c r="L766" s="98">
        <f>IFERROR(IF(AND($M766=TRUE,$N766=TRUE),VLOOKUP($E766,RH!$B$47:$S$67,MONTH($G766)+6,FALSE)*$H766,0),0)</f>
        <v>0</v>
      </c>
      <c r="M766" s="99" t="b">
        <f t="shared" si="1"/>
        <v>0</v>
      </c>
      <c r="N766" s="99"/>
      <c r="O766" s="85"/>
      <c r="P766" s="68"/>
    </row>
    <row r="767" hidden="1">
      <c r="A767" s="68"/>
      <c r="B767" s="79"/>
      <c r="C767" s="77"/>
      <c r="D767" s="79"/>
      <c r="E767" s="79"/>
      <c r="F767" s="93"/>
      <c r="G767" s="93"/>
      <c r="H767" s="103"/>
      <c r="I767" s="79"/>
      <c r="J767" s="100"/>
      <c r="K767" s="97" t="b">
        <f>IF(AND($M767=TRUE,$N767=TRUE),VLOOKUP($E767,RH!$B$47:$S$67,MONTH($G767)+6,FALSE))</f>
        <v>0</v>
      </c>
      <c r="L767" s="98">
        <f>IFERROR(IF(AND($M767=TRUE,$N767=TRUE),VLOOKUP($E767,RH!$B$47:$S$67,MONTH($G767)+6,FALSE)*$H767,0),0)</f>
        <v>0</v>
      </c>
      <c r="M767" s="99" t="b">
        <f t="shared" si="1"/>
        <v>0</v>
      </c>
      <c r="N767" s="99"/>
      <c r="O767" s="85"/>
      <c r="P767" s="68"/>
    </row>
    <row r="768" hidden="1">
      <c r="A768" s="68"/>
      <c r="B768" s="79"/>
      <c r="C768" s="77"/>
      <c r="D768" s="79"/>
      <c r="E768" s="79"/>
      <c r="F768" s="93"/>
      <c r="G768" s="93"/>
      <c r="H768" s="103"/>
      <c r="I768" s="79"/>
      <c r="J768" s="100"/>
      <c r="K768" s="97" t="b">
        <f>IF(AND($M768=TRUE,$N768=TRUE),VLOOKUP($E768,RH!$B$47:$S$67,MONTH($G768)+6,FALSE))</f>
        <v>0</v>
      </c>
      <c r="L768" s="98">
        <f>IFERROR(IF(AND($M768=TRUE,$N768=TRUE),VLOOKUP($E768,RH!$B$47:$S$67,MONTH($G768)+6,FALSE)*$H768,0),0)</f>
        <v>0</v>
      </c>
      <c r="M768" s="99" t="b">
        <f t="shared" si="1"/>
        <v>0</v>
      </c>
      <c r="N768" s="99"/>
      <c r="O768" s="85"/>
      <c r="P768" s="68"/>
    </row>
    <row r="769" hidden="1">
      <c r="A769" s="68"/>
      <c r="B769" s="79"/>
      <c r="C769" s="77"/>
      <c r="D769" s="79"/>
      <c r="E769" s="79"/>
      <c r="F769" s="93"/>
      <c r="G769" s="93"/>
      <c r="H769" s="103"/>
      <c r="I769" s="79"/>
      <c r="J769" s="100"/>
      <c r="K769" s="97" t="b">
        <f>IF(AND($M769=TRUE,$N769=TRUE),VLOOKUP($E769,RH!$B$47:$S$67,MONTH($G769)+6,FALSE))</f>
        <v>0</v>
      </c>
      <c r="L769" s="98">
        <f>IFERROR(IF(AND($M769=TRUE,$N769=TRUE),VLOOKUP($E769,RH!$B$47:$S$67,MONTH($G769)+6,FALSE)*$H769,0),0)</f>
        <v>0</v>
      </c>
      <c r="M769" s="99" t="b">
        <f t="shared" si="1"/>
        <v>0</v>
      </c>
      <c r="N769" s="99"/>
      <c r="O769" s="85"/>
      <c r="P769" s="68"/>
    </row>
    <row r="770" hidden="1">
      <c r="A770" s="68"/>
      <c r="B770" s="79"/>
      <c r="C770" s="77"/>
      <c r="D770" s="79"/>
      <c r="E770" s="79"/>
      <c r="F770" s="93"/>
      <c r="G770" s="93"/>
      <c r="H770" s="103"/>
      <c r="I770" s="79"/>
      <c r="J770" s="100"/>
      <c r="K770" s="97" t="b">
        <f>IF(AND($M770=TRUE,$N770=TRUE),VLOOKUP($E770,RH!$B$47:$S$67,MONTH($G770)+6,FALSE))</f>
        <v>0</v>
      </c>
      <c r="L770" s="98">
        <f>IFERROR(IF(AND($M770=TRUE,$N770=TRUE),VLOOKUP($E770,RH!$B$47:$S$67,MONTH($G770)+6,FALSE)*$H770,0),0)</f>
        <v>0</v>
      </c>
      <c r="M770" s="99" t="b">
        <f t="shared" si="1"/>
        <v>0</v>
      </c>
      <c r="N770" s="99"/>
      <c r="O770" s="85"/>
      <c r="P770" s="68"/>
    </row>
    <row r="771" hidden="1">
      <c r="A771" s="68"/>
      <c r="B771" s="79"/>
      <c r="C771" s="77"/>
      <c r="D771" s="79"/>
      <c r="E771" s="79"/>
      <c r="F771" s="93"/>
      <c r="G771" s="93"/>
      <c r="H771" s="103"/>
      <c r="I771" s="79"/>
      <c r="J771" s="100"/>
      <c r="K771" s="97" t="b">
        <f>IF(AND($M771=TRUE,$N771=TRUE),VLOOKUP($E771,RH!$B$47:$S$67,MONTH($G771)+6,FALSE))</f>
        <v>0</v>
      </c>
      <c r="L771" s="98">
        <f>IFERROR(IF(AND($M771=TRUE,$N771=TRUE),VLOOKUP($E771,RH!$B$47:$S$67,MONTH($G771)+6,FALSE)*$H771,0),0)</f>
        <v>0</v>
      </c>
      <c r="M771" s="99" t="b">
        <f t="shared" si="1"/>
        <v>0</v>
      </c>
      <c r="N771" s="99"/>
      <c r="O771" s="85"/>
      <c r="P771" s="68"/>
    </row>
    <row r="772" hidden="1">
      <c r="A772" s="68"/>
      <c r="B772" s="79"/>
      <c r="C772" s="77"/>
      <c r="D772" s="79"/>
      <c r="E772" s="79"/>
      <c r="F772" s="93"/>
      <c r="G772" s="93"/>
      <c r="H772" s="103"/>
      <c r="I772" s="79"/>
      <c r="J772" s="100"/>
      <c r="K772" s="97" t="b">
        <f>IF(AND($M772=TRUE,$N772=TRUE),VLOOKUP($E772,RH!$B$47:$S$67,MONTH($G772)+6,FALSE))</f>
        <v>0</v>
      </c>
      <c r="L772" s="98">
        <f>IFERROR(IF(AND($M772=TRUE,$N772=TRUE),VLOOKUP($E772,RH!$B$47:$S$67,MONTH($G772)+6,FALSE)*$H772,0),0)</f>
        <v>0</v>
      </c>
      <c r="M772" s="99" t="b">
        <f t="shared" si="1"/>
        <v>0</v>
      </c>
      <c r="N772" s="99"/>
      <c r="O772" s="85"/>
      <c r="P772" s="68"/>
    </row>
    <row r="773" hidden="1">
      <c r="A773" s="68"/>
      <c r="B773" s="79"/>
      <c r="C773" s="77"/>
      <c r="D773" s="79"/>
      <c r="E773" s="79"/>
      <c r="F773" s="93"/>
      <c r="G773" s="93"/>
      <c r="H773" s="103"/>
      <c r="I773" s="79"/>
      <c r="J773" s="100"/>
      <c r="K773" s="97" t="b">
        <f>IF(AND($M773=TRUE,$N773=TRUE),VLOOKUP($E773,RH!$B$47:$S$67,MONTH($G773)+6,FALSE))</f>
        <v>0</v>
      </c>
      <c r="L773" s="98">
        <f>IFERROR(IF(AND($M773=TRUE,$N773=TRUE),VLOOKUP($E773,RH!$B$47:$S$67,MONTH($G773)+6,FALSE)*$H773,0),0)</f>
        <v>0</v>
      </c>
      <c r="M773" s="99" t="b">
        <f t="shared" si="1"/>
        <v>0</v>
      </c>
      <c r="N773" s="99"/>
      <c r="O773" s="85"/>
      <c r="P773" s="68"/>
    </row>
    <row r="774" hidden="1">
      <c r="A774" s="68"/>
      <c r="B774" s="79"/>
      <c r="C774" s="77"/>
      <c r="D774" s="79"/>
      <c r="E774" s="79"/>
      <c r="F774" s="93"/>
      <c r="G774" s="93"/>
      <c r="H774" s="103"/>
      <c r="I774" s="79"/>
      <c r="J774" s="100"/>
      <c r="K774" s="97" t="b">
        <f>IF(AND($M774=TRUE,$N774=TRUE),VLOOKUP($E774,RH!$B$47:$S$67,MONTH($G774)+6,FALSE))</f>
        <v>0</v>
      </c>
      <c r="L774" s="98">
        <f>IFERROR(IF(AND($M774=TRUE,$N774=TRUE),VLOOKUP($E774,RH!$B$47:$S$67,MONTH($G774)+6,FALSE)*$H774,0),0)</f>
        <v>0</v>
      </c>
      <c r="M774" s="99" t="b">
        <f t="shared" si="1"/>
        <v>0</v>
      </c>
      <c r="N774" s="99"/>
      <c r="O774" s="85"/>
      <c r="P774" s="68"/>
    </row>
    <row r="775" hidden="1">
      <c r="A775" s="68"/>
      <c r="B775" s="79"/>
      <c r="C775" s="77"/>
      <c r="D775" s="79"/>
      <c r="E775" s="79"/>
      <c r="F775" s="93"/>
      <c r="G775" s="93"/>
      <c r="H775" s="103"/>
      <c r="I775" s="79"/>
      <c r="J775" s="100"/>
      <c r="K775" s="97" t="b">
        <f>IF(AND($M775=TRUE,$N775=TRUE),VLOOKUP($E775,RH!$B$47:$S$67,MONTH($G775)+6,FALSE))</f>
        <v>0</v>
      </c>
      <c r="L775" s="98">
        <f>IFERROR(IF(AND($M775=TRUE,$N775=TRUE),VLOOKUP($E775,RH!$B$47:$S$67,MONTH($G775)+6,FALSE)*$H775,0),0)</f>
        <v>0</v>
      </c>
      <c r="M775" s="99" t="b">
        <f t="shared" si="1"/>
        <v>0</v>
      </c>
      <c r="N775" s="99"/>
      <c r="O775" s="85"/>
      <c r="P775" s="68"/>
    </row>
    <row r="776" hidden="1">
      <c r="A776" s="68"/>
      <c r="B776" s="79"/>
      <c r="C776" s="77"/>
      <c r="D776" s="79"/>
      <c r="E776" s="79"/>
      <c r="F776" s="93"/>
      <c r="G776" s="93"/>
      <c r="H776" s="103"/>
      <c r="I776" s="79"/>
      <c r="J776" s="100"/>
      <c r="K776" s="97" t="b">
        <f>IF(AND($M776=TRUE,$N776=TRUE),VLOOKUP($E776,RH!$B$47:$S$67,MONTH($G776)+6,FALSE))</f>
        <v>0</v>
      </c>
      <c r="L776" s="98">
        <f>IFERROR(IF(AND($M776=TRUE,$N776=TRUE),VLOOKUP($E776,RH!$B$47:$S$67,MONTH($G776)+6,FALSE)*$H776,0),0)</f>
        <v>0</v>
      </c>
      <c r="M776" s="99" t="b">
        <f t="shared" si="1"/>
        <v>0</v>
      </c>
      <c r="N776" s="99"/>
      <c r="O776" s="85"/>
      <c r="P776" s="68"/>
    </row>
    <row r="777" hidden="1">
      <c r="A777" s="68"/>
      <c r="B777" s="79"/>
      <c r="C777" s="77"/>
      <c r="D777" s="79"/>
      <c r="E777" s="79"/>
      <c r="F777" s="93"/>
      <c r="G777" s="93"/>
      <c r="H777" s="103"/>
      <c r="I777" s="79"/>
      <c r="J777" s="100"/>
      <c r="K777" s="97" t="b">
        <f>IF(AND($M777=TRUE,$N777=TRUE),VLOOKUP($E777,RH!$B$47:$S$67,MONTH($G777)+6,FALSE))</f>
        <v>0</v>
      </c>
      <c r="L777" s="98">
        <f>IFERROR(IF(AND($M777=TRUE,$N777=TRUE),VLOOKUP($E777,RH!$B$47:$S$67,MONTH($G777)+6,FALSE)*$H777,0),0)</f>
        <v>0</v>
      </c>
      <c r="M777" s="99" t="b">
        <f t="shared" si="1"/>
        <v>0</v>
      </c>
      <c r="N777" s="99"/>
      <c r="O777" s="85"/>
      <c r="P777" s="68"/>
    </row>
    <row r="778" hidden="1">
      <c r="A778" s="68"/>
      <c r="B778" s="79"/>
      <c r="C778" s="77"/>
      <c r="D778" s="79"/>
      <c r="E778" s="79"/>
      <c r="F778" s="93"/>
      <c r="G778" s="93"/>
      <c r="H778" s="103"/>
      <c r="I778" s="79"/>
      <c r="J778" s="100"/>
      <c r="K778" s="97" t="b">
        <f>IF(AND($M778=TRUE,$N778=TRUE),VLOOKUP($E778,RH!$B$47:$S$67,MONTH($G778)+6,FALSE))</f>
        <v>0</v>
      </c>
      <c r="L778" s="98">
        <f>IFERROR(IF(AND($M778=TRUE,$N778=TRUE),VLOOKUP($E778,RH!$B$47:$S$67,MONTH($G778)+6,FALSE)*$H778,0),0)</f>
        <v>0</v>
      </c>
      <c r="M778" s="99" t="b">
        <f t="shared" si="1"/>
        <v>0</v>
      </c>
      <c r="N778" s="99"/>
      <c r="O778" s="85"/>
      <c r="P778" s="68"/>
    </row>
    <row r="779" hidden="1">
      <c r="A779" s="68"/>
      <c r="B779" s="79"/>
      <c r="C779" s="77"/>
      <c r="D779" s="79"/>
      <c r="E779" s="79"/>
      <c r="F779" s="93"/>
      <c r="G779" s="93"/>
      <c r="H779" s="103"/>
      <c r="I779" s="79"/>
      <c r="J779" s="100"/>
      <c r="K779" s="97" t="b">
        <f>IF(AND($M779=TRUE,$N779=TRUE),VLOOKUP($E779,RH!$B$47:$S$67,MONTH($G779)+6,FALSE))</f>
        <v>0</v>
      </c>
      <c r="L779" s="98">
        <f>IFERROR(IF(AND($M779=TRUE,$N779=TRUE),VLOOKUP($E779,RH!$B$47:$S$67,MONTH($G779)+6,FALSE)*$H779,0),0)</f>
        <v>0</v>
      </c>
      <c r="M779" s="99" t="b">
        <f t="shared" si="1"/>
        <v>0</v>
      </c>
      <c r="N779" s="99"/>
      <c r="O779" s="85"/>
      <c r="P779" s="68"/>
    </row>
    <row r="780" hidden="1">
      <c r="A780" s="68"/>
      <c r="B780" s="79"/>
      <c r="C780" s="77"/>
      <c r="D780" s="79"/>
      <c r="E780" s="79"/>
      <c r="F780" s="93"/>
      <c r="G780" s="93"/>
      <c r="H780" s="103"/>
      <c r="I780" s="79"/>
      <c r="J780" s="100"/>
      <c r="K780" s="97" t="b">
        <f>IF(AND($M780=TRUE,$N780=TRUE),VLOOKUP($E780,RH!$B$47:$S$67,MONTH($G780)+6,FALSE))</f>
        <v>0</v>
      </c>
      <c r="L780" s="98">
        <f>IFERROR(IF(AND($M780=TRUE,$N780=TRUE),VLOOKUP($E780,RH!$B$47:$S$67,MONTH($G780)+6,FALSE)*$H780,0),0)</f>
        <v>0</v>
      </c>
      <c r="M780" s="99" t="b">
        <f t="shared" si="1"/>
        <v>0</v>
      </c>
      <c r="N780" s="99"/>
      <c r="O780" s="85"/>
      <c r="P780" s="68"/>
    </row>
    <row r="781" hidden="1">
      <c r="A781" s="68"/>
      <c r="B781" s="79"/>
      <c r="C781" s="77"/>
      <c r="D781" s="79"/>
      <c r="E781" s="79"/>
      <c r="F781" s="93"/>
      <c r="G781" s="93"/>
      <c r="H781" s="103"/>
      <c r="I781" s="79"/>
      <c r="J781" s="100"/>
      <c r="K781" s="97" t="b">
        <f>IF(AND($M781=TRUE,$N781=TRUE),VLOOKUP($E781,RH!$B$47:$S$67,MONTH($G781)+6,FALSE))</f>
        <v>0</v>
      </c>
      <c r="L781" s="98">
        <f>IFERROR(IF(AND($M781=TRUE,$N781=TRUE),VLOOKUP($E781,RH!$B$47:$S$67,MONTH($G781)+6,FALSE)*$H781,0),0)</f>
        <v>0</v>
      </c>
      <c r="M781" s="99" t="b">
        <f t="shared" si="1"/>
        <v>0</v>
      </c>
      <c r="N781" s="99"/>
      <c r="O781" s="85"/>
      <c r="P781" s="68"/>
    </row>
    <row r="782" hidden="1">
      <c r="A782" s="68"/>
      <c r="B782" s="79"/>
      <c r="C782" s="77"/>
      <c r="D782" s="79"/>
      <c r="E782" s="79"/>
      <c r="F782" s="93"/>
      <c r="G782" s="93"/>
      <c r="H782" s="103"/>
      <c r="I782" s="79"/>
      <c r="J782" s="100"/>
      <c r="K782" s="97" t="b">
        <f>IF(AND($M782=TRUE,$N782=TRUE),VLOOKUP($E782,RH!$B$47:$S$67,MONTH($G782)+6,FALSE))</f>
        <v>0</v>
      </c>
      <c r="L782" s="98">
        <f>IFERROR(IF(AND($M782=TRUE,$N782=TRUE),VLOOKUP($E782,RH!$B$47:$S$67,MONTH($G782)+6,FALSE)*$H782,0),0)</f>
        <v>0</v>
      </c>
      <c r="M782" s="99" t="b">
        <f t="shared" si="1"/>
        <v>0</v>
      </c>
      <c r="N782" s="99"/>
      <c r="O782" s="85"/>
      <c r="P782" s="68"/>
    </row>
    <row r="783" hidden="1">
      <c r="A783" s="68"/>
      <c r="B783" s="79"/>
      <c r="C783" s="77"/>
      <c r="D783" s="79"/>
      <c r="E783" s="79"/>
      <c r="F783" s="93"/>
      <c r="G783" s="93"/>
      <c r="H783" s="103"/>
      <c r="I783" s="79"/>
      <c r="J783" s="100"/>
      <c r="K783" s="97" t="b">
        <f>IF(AND($M783=TRUE,$N783=TRUE),VLOOKUP($E783,RH!$B$47:$S$67,MONTH($G783)+6,FALSE))</f>
        <v>0</v>
      </c>
      <c r="L783" s="98">
        <f>IFERROR(IF(AND($M783=TRUE,$N783=TRUE),VLOOKUP($E783,RH!$B$47:$S$67,MONTH($G783)+6,FALSE)*$H783,0),0)</f>
        <v>0</v>
      </c>
      <c r="M783" s="99" t="b">
        <f t="shared" si="1"/>
        <v>0</v>
      </c>
      <c r="N783" s="99"/>
      <c r="O783" s="85"/>
      <c r="P783" s="68"/>
    </row>
    <row r="784" hidden="1">
      <c r="A784" s="68"/>
      <c r="B784" s="79"/>
      <c r="C784" s="77"/>
      <c r="D784" s="79"/>
      <c r="E784" s="79"/>
      <c r="F784" s="93"/>
      <c r="G784" s="93"/>
      <c r="H784" s="103"/>
      <c r="I784" s="79"/>
      <c r="J784" s="100"/>
      <c r="K784" s="97" t="b">
        <f>IF(AND($M784=TRUE,$N784=TRUE),VLOOKUP($E784,RH!$B$47:$S$67,MONTH($G784)+6,FALSE))</f>
        <v>0</v>
      </c>
      <c r="L784" s="98">
        <f>IFERROR(IF(AND($M784=TRUE,$N784=TRUE),VLOOKUP($E784,RH!$B$47:$S$67,MONTH($G784)+6,FALSE)*$H784,0),0)</f>
        <v>0</v>
      </c>
      <c r="M784" s="99" t="b">
        <f t="shared" si="1"/>
        <v>0</v>
      </c>
      <c r="N784" s="99"/>
      <c r="O784" s="85"/>
      <c r="P784" s="68"/>
    </row>
    <row r="785" hidden="1">
      <c r="A785" s="68"/>
      <c r="B785" s="79"/>
      <c r="C785" s="77"/>
      <c r="D785" s="79"/>
      <c r="E785" s="79"/>
      <c r="F785" s="93"/>
      <c r="G785" s="93"/>
      <c r="H785" s="103"/>
      <c r="I785" s="79"/>
      <c r="J785" s="100"/>
      <c r="K785" s="97" t="b">
        <f>IF(AND($M785=TRUE,$N785=TRUE),VLOOKUP($E785,RH!$B$47:$S$67,MONTH($G785)+6,FALSE))</f>
        <v>0</v>
      </c>
      <c r="L785" s="98">
        <f>IFERROR(IF(AND($M785=TRUE,$N785=TRUE),VLOOKUP($E785,RH!$B$47:$S$67,MONTH($G785)+6,FALSE)*$H785,0),0)</f>
        <v>0</v>
      </c>
      <c r="M785" s="99" t="b">
        <f t="shared" si="1"/>
        <v>0</v>
      </c>
      <c r="N785" s="99"/>
      <c r="O785" s="85"/>
      <c r="P785" s="68"/>
    </row>
    <row r="786" hidden="1">
      <c r="A786" s="68"/>
      <c r="B786" s="79"/>
      <c r="C786" s="77"/>
      <c r="D786" s="79"/>
      <c r="E786" s="79"/>
      <c r="F786" s="93"/>
      <c r="G786" s="93"/>
      <c r="H786" s="103"/>
      <c r="I786" s="79"/>
      <c r="J786" s="100"/>
      <c r="K786" s="97" t="b">
        <f>IF(AND($M786=TRUE,$N786=TRUE),VLOOKUP($E786,RH!$B$47:$S$67,MONTH($G786)+6,FALSE))</f>
        <v>0</v>
      </c>
      <c r="L786" s="98">
        <f>IFERROR(IF(AND($M786=TRUE,$N786=TRUE),VLOOKUP($E786,RH!$B$47:$S$67,MONTH($G786)+6,FALSE)*$H786,0),0)</f>
        <v>0</v>
      </c>
      <c r="M786" s="99" t="b">
        <f t="shared" si="1"/>
        <v>0</v>
      </c>
      <c r="N786" s="99"/>
      <c r="O786" s="85"/>
      <c r="P786" s="68"/>
    </row>
    <row r="787" hidden="1">
      <c r="A787" s="68"/>
      <c r="B787" s="79"/>
      <c r="C787" s="77"/>
      <c r="D787" s="79"/>
      <c r="E787" s="79"/>
      <c r="F787" s="93"/>
      <c r="G787" s="93"/>
      <c r="H787" s="103"/>
      <c r="I787" s="79"/>
      <c r="J787" s="100"/>
      <c r="K787" s="97" t="b">
        <f>IF(AND($M787=TRUE,$N787=TRUE),VLOOKUP($E787,RH!$B$47:$S$67,MONTH($G787)+6,FALSE))</f>
        <v>0</v>
      </c>
      <c r="L787" s="98">
        <f>IFERROR(IF(AND($M787=TRUE,$N787=TRUE),VLOOKUP($E787,RH!$B$47:$S$67,MONTH($G787)+6,FALSE)*$H787,0),0)</f>
        <v>0</v>
      </c>
      <c r="M787" s="99" t="b">
        <f t="shared" si="1"/>
        <v>0</v>
      </c>
      <c r="N787" s="99"/>
      <c r="O787" s="85"/>
      <c r="P787" s="68"/>
    </row>
    <row r="788" hidden="1">
      <c r="A788" s="68"/>
      <c r="B788" s="79"/>
      <c r="C788" s="77"/>
      <c r="D788" s="79"/>
      <c r="E788" s="79"/>
      <c r="F788" s="93"/>
      <c r="G788" s="93"/>
      <c r="H788" s="103"/>
      <c r="I788" s="79"/>
      <c r="J788" s="100"/>
      <c r="K788" s="97" t="b">
        <f>IF(AND($M788=TRUE,$N788=TRUE),VLOOKUP($E788,RH!$B$47:$S$67,MONTH($G788)+6,FALSE))</f>
        <v>0</v>
      </c>
      <c r="L788" s="98">
        <f>IFERROR(IF(AND($M788=TRUE,$N788=TRUE),VLOOKUP($E788,RH!$B$47:$S$67,MONTH($G788)+6,FALSE)*$H788,0),0)</f>
        <v>0</v>
      </c>
      <c r="M788" s="99" t="b">
        <f t="shared" si="1"/>
        <v>0</v>
      </c>
      <c r="N788" s="99"/>
      <c r="O788" s="85"/>
      <c r="P788" s="68"/>
    </row>
    <row r="789" hidden="1">
      <c r="A789" s="68"/>
      <c r="B789" s="79"/>
      <c r="C789" s="77"/>
      <c r="D789" s="79"/>
      <c r="E789" s="79"/>
      <c r="F789" s="93"/>
      <c r="G789" s="93"/>
      <c r="H789" s="103"/>
      <c r="I789" s="79"/>
      <c r="J789" s="100"/>
      <c r="K789" s="97" t="b">
        <f>IF(AND($M789=TRUE,$N789=TRUE),VLOOKUP($E789,RH!$B$47:$S$67,MONTH($G789)+6,FALSE))</f>
        <v>0</v>
      </c>
      <c r="L789" s="98">
        <f>IFERROR(IF(AND($M789=TRUE,$N789=TRUE),VLOOKUP($E789,RH!$B$47:$S$67,MONTH($G789)+6,FALSE)*$H789,0),0)</f>
        <v>0</v>
      </c>
      <c r="M789" s="99" t="b">
        <f t="shared" si="1"/>
        <v>0</v>
      </c>
      <c r="N789" s="99"/>
      <c r="O789" s="85"/>
      <c r="P789" s="68"/>
    </row>
    <row r="790" hidden="1">
      <c r="A790" s="68"/>
      <c r="B790" s="79"/>
      <c r="C790" s="77"/>
      <c r="D790" s="79"/>
      <c r="E790" s="79"/>
      <c r="F790" s="93"/>
      <c r="G790" s="93"/>
      <c r="H790" s="103"/>
      <c r="I790" s="79"/>
      <c r="J790" s="100"/>
      <c r="K790" s="97" t="b">
        <f>IF(AND($M790=TRUE,$N790=TRUE),VLOOKUP($E790,RH!$B$47:$S$67,MONTH($G790)+6,FALSE))</f>
        <v>0</v>
      </c>
      <c r="L790" s="98">
        <f>IFERROR(IF(AND($M790=TRUE,$N790=TRUE),VLOOKUP($E790,RH!$B$47:$S$67,MONTH($G790)+6,FALSE)*$H790,0),0)</f>
        <v>0</v>
      </c>
      <c r="M790" s="99" t="b">
        <f t="shared" si="1"/>
        <v>0</v>
      </c>
      <c r="N790" s="99"/>
      <c r="O790" s="85"/>
      <c r="P790" s="68"/>
    </row>
    <row r="791" hidden="1">
      <c r="A791" s="68"/>
      <c r="B791" s="79"/>
      <c r="C791" s="77"/>
      <c r="D791" s="79"/>
      <c r="E791" s="79"/>
      <c r="F791" s="93"/>
      <c r="G791" s="93"/>
      <c r="H791" s="103"/>
      <c r="I791" s="79"/>
      <c r="J791" s="100"/>
      <c r="K791" s="97" t="b">
        <f>IF(AND($M791=TRUE,$N791=TRUE),VLOOKUP($E791,RH!$B$47:$S$67,MONTH($G791)+6,FALSE))</f>
        <v>0</v>
      </c>
      <c r="L791" s="98">
        <f>IFERROR(IF(AND($M791=TRUE,$N791=TRUE),VLOOKUP($E791,RH!$B$47:$S$67,MONTH($G791)+6,FALSE)*$H791,0),0)</f>
        <v>0</v>
      </c>
      <c r="M791" s="99" t="b">
        <f t="shared" si="1"/>
        <v>0</v>
      </c>
      <c r="N791" s="99"/>
      <c r="O791" s="85"/>
      <c r="P791" s="68"/>
    </row>
    <row r="792" hidden="1">
      <c r="A792" s="68"/>
      <c r="B792" s="79"/>
      <c r="C792" s="77"/>
      <c r="D792" s="79"/>
      <c r="E792" s="79"/>
      <c r="F792" s="93"/>
      <c r="G792" s="93"/>
      <c r="H792" s="103"/>
      <c r="I792" s="79"/>
      <c r="J792" s="100"/>
      <c r="K792" s="97" t="b">
        <f>IF(AND($M792=TRUE,$N792=TRUE),VLOOKUP($E792,RH!$B$47:$S$67,MONTH($G792)+6,FALSE))</f>
        <v>0</v>
      </c>
      <c r="L792" s="98">
        <f>IFERROR(IF(AND($M792=TRUE,$N792=TRUE),VLOOKUP($E792,RH!$B$47:$S$67,MONTH($G792)+6,FALSE)*$H792,0),0)</f>
        <v>0</v>
      </c>
      <c r="M792" s="99" t="b">
        <f t="shared" si="1"/>
        <v>0</v>
      </c>
      <c r="N792" s="99"/>
      <c r="O792" s="85"/>
      <c r="P792" s="68"/>
    </row>
    <row r="793" hidden="1">
      <c r="A793" s="68"/>
      <c r="B793" s="79"/>
      <c r="C793" s="77"/>
      <c r="D793" s="79"/>
      <c r="E793" s="79"/>
      <c r="F793" s="93"/>
      <c r="G793" s="93"/>
      <c r="H793" s="103"/>
      <c r="I793" s="79"/>
      <c r="J793" s="100"/>
      <c r="K793" s="97" t="b">
        <f>IF(AND($M793=TRUE,$N793=TRUE),VLOOKUP($E793,RH!$B$47:$S$67,MONTH($G793)+6,FALSE))</f>
        <v>0</v>
      </c>
      <c r="L793" s="98">
        <f>IFERROR(IF(AND($M793=TRUE,$N793=TRUE),VLOOKUP($E793,RH!$B$47:$S$67,MONTH($G793)+6,FALSE)*$H793,0),0)</f>
        <v>0</v>
      </c>
      <c r="M793" s="99" t="b">
        <f t="shared" si="1"/>
        <v>0</v>
      </c>
      <c r="N793" s="99"/>
      <c r="O793" s="85"/>
      <c r="P793" s="68"/>
    </row>
    <row r="794" hidden="1">
      <c r="A794" s="68"/>
      <c r="B794" s="79"/>
      <c r="C794" s="77"/>
      <c r="D794" s="79"/>
      <c r="E794" s="79"/>
      <c r="F794" s="93"/>
      <c r="G794" s="93"/>
      <c r="H794" s="103"/>
      <c r="I794" s="79"/>
      <c r="J794" s="100"/>
      <c r="K794" s="97" t="b">
        <f>IF(AND($M794=TRUE,$N794=TRUE),VLOOKUP($E794,RH!$B$47:$S$67,MONTH($G794)+6,FALSE))</f>
        <v>0</v>
      </c>
      <c r="L794" s="98">
        <f>IFERROR(IF(AND($M794=TRUE,$N794=TRUE),VLOOKUP($E794,RH!$B$47:$S$67,MONTH($G794)+6,FALSE)*$H794,0),0)</f>
        <v>0</v>
      </c>
      <c r="M794" s="99" t="b">
        <f t="shared" si="1"/>
        <v>0</v>
      </c>
      <c r="N794" s="99"/>
      <c r="O794" s="85"/>
      <c r="P794" s="68"/>
    </row>
    <row r="795" hidden="1">
      <c r="A795" s="68"/>
      <c r="B795" s="79"/>
      <c r="C795" s="77"/>
      <c r="D795" s="79"/>
      <c r="E795" s="79"/>
      <c r="F795" s="93"/>
      <c r="G795" s="93"/>
      <c r="H795" s="103"/>
      <c r="I795" s="79"/>
      <c r="J795" s="100"/>
      <c r="K795" s="97" t="b">
        <f>IF(AND($M795=TRUE,$N795=TRUE),VLOOKUP($E795,RH!$B$47:$S$67,MONTH($G795)+6,FALSE))</f>
        <v>0</v>
      </c>
      <c r="L795" s="98">
        <f>IFERROR(IF(AND($M795=TRUE,$N795=TRUE),VLOOKUP($E795,RH!$B$47:$S$67,MONTH($G795)+6,FALSE)*$H795,0),0)</f>
        <v>0</v>
      </c>
      <c r="M795" s="99" t="b">
        <f t="shared" si="1"/>
        <v>0</v>
      </c>
      <c r="N795" s="99"/>
      <c r="O795" s="85"/>
      <c r="P795" s="68"/>
    </row>
    <row r="796" hidden="1">
      <c r="A796" s="68"/>
      <c r="B796" s="79"/>
      <c r="C796" s="77"/>
      <c r="D796" s="79"/>
      <c r="E796" s="79"/>
      <c r="F796" s="93"/>
      <c r="G796" s="93"/>
      <c r="H796" s="103"/>
      <c r="I796" s="79"/>
      <c r="J796" s="100"/>
      <c r="K796" s="97" t="b">
        <f>IF(AND($M796=TRUE,$N796=TRUE),VLOOKUP($E796,RH!$B$47:$S$67,MONTH($G796)+6,FALSE))</f>
        <v>0</v>
      </c>
      <c r="L796" s="98">
        <f>IFERROR(IF(AND($M796=TRUE,$N796=TRUE),VLOOKUP($E796,RH!$B$47:$S$67,MONTH($G796)+6,FALSE)*$H796,0),0)</f>
        <v>0</v>
      </c>
      <c r="M796" s="99" t="b">
        <f t="shared" si="1"/>
        <v>0</v>
      </c>
      <c r="N796" s="99"/>
      <c r="O796" s="85"/>
      <c r="P796" s="68"/>
    </row>
    <row r="797" hidden="1">
      <c r="A797" s="68"/>
      <c r="B797" s="79"/>
      <c r="C797" s="77"/>
      <c r="D797" s="79"/>
      <c r="E797" s="79"/>
      <c r="F797" s="93"/>
      <c r="G797" s="93"/>
      <c r="H797" s="103"/>
      <c r="I797" s="79"/>
      <c r="J797" s="100"/>
      <c r="K797" s="97" t="b">
        <f>IF(AND($M797=TRUE,$N797=TRUE),VLOOKUP($E797,RH!$B$47:$S$67,MONTH($G797)+6,FALSE))</f>
        <v>0</v>
      </c>
      <c r="L797" s="98">
        <f>IFERROR(IF(AND($M797=TRUE,$N797=TRUE),VLOOKUP($E797,RH!$B$47:$S$67,MONTH($G797)+6,FALSE)*$H797,0),0)</f>
        <v>0</v>
      </c>
      <c r="M797" s="99" t="b">
        <f t="shared" si="1"/>
        <v>0</v>
      </c>
      <c r="N797" s="99"/>
      <c r="O797" s="85"/>
      <c r="P797" s="68"/>
    </row>
    <row r="798" hidden="1">
      <c r="A798" s="68"/>
      <c r="B798" s="79"/>
      <c r="C798" s="77"/>
      <c r="D798" s="79"/>
      <c r="E798" s="79"/>
      <c r="F798" s="93"/>
      <c r="G798" s="93"/>
      <c r="H798" s="103"/>
      <c r="I798" s="79"/>
      <c r="J798" s="100"/>
      <c r="K798" s="97" t="b">
        <f>IF(AND($M798=TRUE,$N798=TRUE),VLOOKUP($E798,RH!$B$47:$S$67,MONTH($G798)+6,FALSE))</f>
        <v>0</v>
      </c>
      <c r="L798" s="98">
        <f>IFERROR(IF(AND($M798=TRUE,$N798=TRUE),VLOOKUP($E798,RH!$B$47:$S$67,MONTH($G798)+6,FALSE)*$H798,0),0)</f>
        <v>0</v>
      </c>
      <c r="M798" s="99" t="b">
        <f t="shared" si="1"/>
        <v>0</v>
      </c>
      <c r="N798" s="99"/>
      <c r="O798" s="85"/>
      <c r="P798" s="68"/>
    </row>
    <row r="799" hidden="1">
      <c r="A799" s="68"/>
      <c r="B799" s="79"/>
      <c r="C799" s="77"/>
      <c r="D799" s="79"/>
      <c r="E799" s="79"/>
      <c r="F799" s="93"/>
      <c r="G799" s="93"/>
      <c r="H799" s="103"/>
      <c r="I799" s="79"/>
      <c r="J799" s="100"/>
      <c r="K799" s="97" t="b">
        <f>IF(AND($M799=TRUE,$N799=TRUE),VLOOKUP($E799,RH!$B$47:$S$67,MONTH($G799)+6,FALSE))</f>
        <v>0</v>
      </c>
      <c r="L799" s="98">
        <f>IFERROR(IF(AND($M799=TRUE,$N799=TRUE),VLOOKUP($E799,RH!$B$47:$S$67,MONTH($G799)+6,FALSE)*$H799,0),0)</f>
        <v>0</v>
      </c>
      <c r="M799" s="99" t="b">
        <f t="shared" si="1"/>
        <v>0</v>
      </c>
      <c r="N799" s="99"/>
      <c r="O799" s="85"/>
      <c r="P799" s="68"/>
    </row>
    <row r="800" hidden="1">
      <c r="A800" s="68"/>
      <c r="B800" s="79"/>
      <c r="C800" s="77"/>
      <c r="D800" s="79"/>
      <c r="E800" s="79"/>
      <c r="F800" s="93"/>
      <c r="G800" s="93"/>
      <c r="H800" s="103"/>
      <c r="I800" s="79"/>
      <c r="J800" s="100"/>
      <c r="K800" s="97" t="b">
        <f>IF(AND($M800=TRUE,$N800=TRUE),VLOOKUP($E800,RH!$B$47:$S$67,MONTH($G800)+6,FALSE))</f>
        <v>0</v>
      </c>
      <c r="L800" s="98">
        <f>IFERROR(IF(AND($M800=TRUE,$N800=TRUE),VLOOKUP($E800,RH!$B$47:$S$67,MONTH($G800)+6,FALSE)*$H800,0),0)</f>
        <v>0</v>
      </c>
      <c r="M800" s="99" t="b">
        <f t="shared" si="1"/>
        <v>0</v>
      </c>
      <c r="N800" s="99"/>
      <c r="O800" s="85"/>
      <c r="P800" s="68"/>
    </row>
    <row r="801" hidden="1">
      <c r="A801" s="68"/>
      <c r="B801" s="79"/>
      <c r="C801" s="77"/>
      <c r="D801" s="79"/>
      <c r="E801" s="79"/>
      <c r="F801" s="93"/>
      <c r="G801" s="93"/>
      <c r="H801" s="103"/>
      <c r="I801" s="79"/>
      <c r="J801" s="100"/>
      <c r="K801" s="97" t="b">
        <f>IF(AND($M801=TRUE,$N801=TRUE),VLOOKUP($E801,RH!$B$47:$S$67,MONTH($G801)+6,FALSE))</f>
        <v>0</v>
      </c>
      <c r="L801" s="98">
        <f>IFERROR(IF(AND($M801=TRUE,$N801=TRUE),VLOOKUP($E801,RH!$B$47:$S$67,MONTH($G801)+6,FALSE)*$H801,0),0)</f>
        <v>0</v>
      </c>
      <c r="M801" s="99" t="b">
        <f t="shared" si="1"/>
        <v>0</v>
      </c>
      <c r="N801" s="99"/>
      <c r="O801" s="85"/>
      <c r="P801" s="68"/>
    </row>
    <row r="802" hidden="1">
      <c r="A802" s="68"/>
      <c r="B802" s="79"/>
      <c r="C802" s="77"/>
      <c r="D802" s="79"/>
      <c r="E802" s="79"/>
      <c r="F802" s="93"/>
      <c r="G802" s="93"/>
      <c r="H802" s="103"/>
      <c r="I802" s="79"/>
      <c r="J802" s="100"/>
      <c r="K802" s="97" t="b">
        <f>IF(AND($M802=TRUE,$N802=TRUE),VLOOKUP($E802,RH!$B$47:$S$67,MONTH($G802)+6,FALSE))</f>
        <v>0</v>
      </c>
      <c r="L802" s="98">
        <f>IFERROR(IF(AND($M802=TRUE,$N802=TRUE),VLOOKUP($E802,RH!$B$47:$S$67,MONTH($G802)+6,FALSE)*$H802,0),0)</f>
        <v>0</v>
      </c>
      <c r="M802" s="99" t="b">
        <f t="shared" si="1"/>
        <v>0</v>
      </c>
      <c r="N802" s="99"/>
      <c r="O802" s="85"/>
      <c r="P802" s="68"/>
    </row>
    <row r="803" hidden="1">
      <c r="A803" s="68"/>
      <c r="B803" s="79"/>
      <c r="C803" s="77"/>
      <c r="D803" s="79"/>
      <c r="E803" s="79"/>
      <c r="F803" s="93"/>
      <c r="G803" s="93"/>
      <c r="H803" s="103"/>
      <c r="I803" s="79"/>
      <c r="J803" s="100"/>
      <c r="K803" s="97" t="b">
        <f>IF(AND($M803=TRUE,$N803=TRUE),VLOOKUP($E803,RH!$B$47:$S$67,MONTH($G803)+6,FALSE))</f>
        <v>0</v>
      </c>
      <c r="L803" s="98">
        <f>IFERROR(IF(AND($M803=TRUE,$N803=TRUE),VLOOKUP($E803,RH!$B$47:$S$67,MONTH($G803)+6,FALSE)*$H803,0),0)</f>
        <v>0</v>
      </c>
      <c r="M803" s="99" t="b">
        <f t="shared" si="1"/>
        <v>0</v>
      </c>
      <c r="N803" s="99"/>
      <c r="O803" s="85"/>
      <c r="P803" s="68"/>
    </row>
    <row r="804" hidden="1">
      <c r="A804" s="68"/>
      <c r="B804" s="79"/>
      <c r="C804" s="77"/>
      <c r="D804" s="79"/>
      <c r="E804" s="79"/>
      <c r="F804" s="93"/>
      <c r="G804" s="93"/>
      <c r="H804" s="103"/>
      <c r="I804" s="79"/>
      <c r="J804" s="100"/>
      <c r="K804" s="97" t="b">
        <f>IF(AND($M804=TRUE,$N804=TRUE),VLOOKUP($E804,RH!$B$47:$S$67,MONTH($G804)+6,FALSE))</f>
        <v>0</v>
      </c>
      <c r="L804" s="98">
        <f>IFERROR(IF(AND($M804=TRUE,$N804=TRUE),VLOOKUP($E804,RH!$B$47:$S$67,MONTH($G804)+6,FALSE)*$H804,0),0)</f>
        <v>0</v>
      </c>
      <c r="M804" s="99" t="b">
        <f t="shared" si="1"/>
        <v>0</v>
      </c>
      <c r="N804" s="99"/>
      <c r="O804" s="85"/>
      <c r="P804" s="68"/>
    </row>
    <row r="805" hidden="1">
      <c r="A805" s="68"/>
      <c r="B805" s="79"/>
      <c r="C805" s="77"/>
      <c r="D805" s="79"/>
      <c r="E805" s="79"/>
      <c r="F805" s="93"/>
      <c r="G805" s="93"/>
      <c r="H805" s="103"/>
      <c r="I805" s="79"/>
      <c r="J805" s="100"/>
      <c r="K805" s="97" t="b">
        <f>IF(AND($M805=TRUE,$N805=TRUE),VLOOKUP($E805,RH!$B$47:$S$67,MONTH($G805)+6,FALSE))</f>
        <v>0</v>
      </c>
      <c r="L805" s="98">
        <f>IFERROR(IF(AND($M805=TRUE,$N805=TRUE),VLOOKUP($E805,RH!$B$47:$S$67,MONTH($G805)+6,FALSE)*$H805,0),0)</f>
        <v>0</v>
      </c>
      <c r="M805" s="99" t="b">
        <f t="shared" si="1"/>
        <v>0</v>
      </c>
      <c r="N805" s="99"/>
      <c r="O805" s="85"/>
      <c r="P805" s="68"/>
    </row>
    <row r="806" hidden="1">
      <c r="A806" s="68"/>
      <c r="B806" s="79"/>
      <c r="C806" s="77"/>
      <c r="D806" s="79"/>
      <c r="E806" s="79"/>
      <c r="F806" s="93"/>
      <c r="G806" s="93"/>
      <c r="H806" s="103"/>
      <c r="I806" s="79"/>
      <c r="J806" s="100"/>
      <c r="K806" s="97" t="b">
        <f>IF(AND($M806=TRUE,$N806=TRUE),VLOOKUP($E806,RH!$B$47:$S$67,MONTH($G806)+6,FALSE))</f>
        <v>0</v>
      </c>
      <c r="L806" s="98">
        <f>IFERROR(IF(AND($M806=TRUE,$N806=TRUE),VLOOKUP($E806,RH!$B$47:$S$67,MONTH($G806)+6,FALSE)*$H806,0),0)</f>
        <v>0</v>
      </c>
      <c r="M806" s="99" t="b">
        <f t="shared" si="1"/>
        <v>0</v>
      </c>
      <c r="N806" s="99"/>
      <c r="O806" s="85"/>
      <c r="P806" s="68"/>
    </row>
    <row r="807" hidden="1">
      <c r="A807" s="68"/>
      <c r="B807" s="79"/>
      <c r="C807" s="77"/>
      <c r="D807" s="79"/>
      <c r="E807" s="79"/>
      <c r="F807" s="93"/>
      <c r="G807" s="93"/>
      <c r="H807" s="103"/>
      <c r="I807" s="79"/>
      <c r="J807" s="100"/>
      <c r="K807" s="97" t="b">
        <f>IF(AND($M807=TRUE,$N807=TRUE),VLOOKUP($E807,RH!$B$47:$S$67,MONTH($G807)+6,FALSE))</f>
        <v>0</v>
      </c>
      <c r="L807" s="98">
        <f>IFERROR(IF(AND($M807=TRUE,$N807=TRUE),VLOOKUP($E807,RH!$B$47:$S$67,MONTH($G807)+6,FALSE)*$H807,0),0)</f>
        <v>0</v>
      </c>
      <c r="M807" s="99" t="b">
        <f t="shared" si="1"/>
        <v>0</v>
      </c>
      <c r="N807" s="99"/>
      <c r="O807" s="85"/>
      <c r="P807" s="68"/>
    </row>
    <row r="808" hidden="1">
      <c r="A808" s="68"/>
      <c r="B808" s="79"/>
      <c r="C808" s="77"/>
      <c r="D808" s="79"/>
      <c r="E808" s="79"/>
      <c r="F808" s="93"/>
      <c r="G808" s="93"/>
      <c r="H808" s="103"/>
      <c r="I808" s="79"/>
      <c r="J808" s="100"/>
      <c r="K808" s="97" t="b">
        <f>IF(AND($M808=TRUE,$N808=TRUE),VLOOKUP($E808,RH!$B$47:$S$67,MONTH($G808)+6,FALSE))</f>
        <v>0</v>
      </c>
      <c r="L808" s="98">
        <f>IFERROR(IF(AND($M808=TRUE,$N808=TRUE),VLOOKUP($E808,RH!$B$47:$S$67,MONTH($G808)+6,FALSE)*$H808,0),0)</f>
        <v>0</v>
      </c>
      <c r="M808" s="99" t="b">
        <f t="shared" si="1"/>
        <v>0</v>
      </c>
      <c r="N808" s="99"/>
      <c r="O808" s="85"/>
      <c r="P808" s="68"/>
    </row>
    <row r="809" hidden="1">
      <c r="A809" s="68"/>
      <c r="B809" s="79"/>
      <c r="C809" s="77"/>
      <c r="D809" s="79"/>
      <c r="E809" s="79"/>
      <c r="F809" s="93"/>
      <c r="G809" s="93"/>
      <c r="H809" s="103"/>
      <c r="I809" s="79"/>
      <c r="J809" s="100"/>
      <c r="K809" s="97" t="b">
        <f>IF(AND($M809=TRUE,$N809=TRUE),VLOOKUP($E809,RH!$B$47:$S$67,MONTH($G809)+6,FALSE))</f>
        <v>0</v>
      </c>
      <c r="L809" s="98">
        <f>IFERROR(IF(AND($M809=TRUE,$N809=TRUE),VLOOKUP($E809,RH!$B$47:$S$67,MONTH($G809)+6,FALSE)*$H809,0),0)</f>
        <v>0</v>
      </c>
      <c r="M809" s="99" t="b">
        <f t="shared" si="1"/>
        <v>0</v>
      </c>
      <c r="N809" s="99"/>
      <c r="O809" s="85"/>
      <c r="P809" s="68"/>
    </row>
    <row r="810" hidden="1">
      <c r="A810" s="68"/>
      <c r="B810" s="79"/>
      <c r="C810" s="77"/>
      <c r="D810" s="79"/>
      <c r="E810" s="79"/>
      <c r="F810" s="93"/>
      <c r="G810" s="93"/>
      <c r="H810" s="103"/>
      <c r="I810" s="79"/>
      <c r="J810" s="100"/>
      <c r="K810" s="97" t="b">
        <f>IF(AND($M810=TRUE,$N810=TRUE),VLOOKUP($E810,RH!$B$47:$S$67,MONTH($G810)+6,FALSE))</f>
        <v>0</v>
      </c>
      <c r="L810" s="98">
        <f>IFERROR(IF(AND($M810=TRUE,$N810=TRUE),VLOOKUP($E810,RH!$B$47:$S$67,MONTH($G810)+6,FALSE)*$H810,0),0)</f>
        <v>0</v>
      </c>
      <c r="M810" s="99" t="b">
        <f t="shared" si="1"/>
        <v>0</v>
      </c>
      <c r="N810" s="99"/>
      <c r="O810" s="85"/>
      <c r="P810" s="68"/>
    </row>
    <row r="811" hidden="1">
      <c r="A811" s="68"/>
      <c r="B811" s="79"/>
      <c r="C811" s="77"/>
      <c r="D811" s="79"/>
      <c r="E811" s="79"/>
      <c r="F811" s="93"/>
      <c r="G811" s="93"/>
      <c r="H811" s="103"/>
      <c r="I811" s="79"/>
      <c r="J811" s="100"/>
      <c r="K811" s="97" t="b">
        <f>IF(AND($M811=TRUE,$N811=TRUE),VLOOKUP($E811,RH!$B$47:$S$67,MONTH($G811)+6,FALSE))</f>
        <v>0</v>
      </c>
      <c r="L811" s="98">
        <f>IFERROR(IF(AND($M811=TRUE,$N811=TRUE),VLOOKUP($E811,RH!$B$47:$S$67,MONTH($G811)+6,FALSE)*$H811,0),0)</f>
        <v>0</v>
      </c>
      <c r="M811" s="99" t="b">
        <f t="shared" si="1"/>
        <v>0</v>
      </c>
      <c r="N811" s="99"/>
      <c r="O811" s="85"/>
      <c r="P811" s="68"/>
    </row>
    <row r="812" hidden="1">
      <c r="A812" s="68"/>
      <c r="B812" s="79"/>
      <c r="C812" s="77"/>
      <c r="D812" s="79"/>
      <c r="E812" s="79"/>
      <c r="F812" s="93"/>
      <c r="G812" s="93"/>
      <c r="H812" s="103"/>
      <c r="I812" s="79"/>
      <c r="J812" s="100"/>
      <c r="K812" s="97" t="b">
        <f>IF(AND($M812=TRUE,$N812=TRUE),VLOOKUP($E812,RH!$B$47:$S$67,MONTH($G812)+6,FALSE))</f>
        <v>0</v>
      </c>
      <c r="L812" s="98">
        <f>IFERROR(IF(AND($M812=TRUE,$N812=TRUE),VLOOKUP($E812,RH!$B$47:$S$67,MONTH($G812)+6,FALSE)*$H812,0),0)</f>
        <v>0</v>
      </c>
      <c r="M812" s="99" t="b">
        <f t="shared" si="1"/>
        <v>0</v>
      </c>
      <c r="N812" s="99"/>
      <c r="O812" s="85"/>
      <c r="P812" s="68"/>
    </row>
    <row r="813" hidden="1">
      <c r="A813" s="68"/>
      <c r="B813" s="79"/>
      <c r="C813" s="77"/>
      <c r="D813" s="79"/>
      <c r="E813" s="79"/>
      <c r="F813" s="93"/>
      <c r="G813" s="93"/>
      <c r="H813" s="103"/>
      <c r="I813" s="79"/>
      <c r="J813" s="100"/>
      <c r="K813" s="97" t="b">
        <f>IF(AND($M813=TRUE,$N813=TRUE),VLOOKUP($E813,RH!$B$47:$S$67,MONTH($G813)+6,FALSE))</f>
        <v>0</v>
      </c>
      <c r="L813" s="98">
        <f>IFERROR(IF(AND($M813=TRUE,$N813=TRUE),VLOOKUP($E813,RH!$B$47:$S$67,MONTH($G813)+6,FALSE)*$H813,0),0)</f>
        <v>0</v>
      </c>
      <c r="M813" s="99" t="b">
        <f t="shared" si="1"/>
        <v>0</v>
      </c>
      <c r="N813" s="99"/>
      <c r="O813" s="85"/>
      <c r="P813" s="68"/>
    </row>
    <row r="814" hidden="1">
      <c r="A814" s="68"/>
      <c r="B814" s="79"/>
      <c r="C814" s="77"/>
      <c r="D814" s="79"/>
      <c r="E814" s="79"/>
      <c r="F814" s="93"/>
      <c r="G814" s="93"/>
      <c r="H814" s="103"/>
      <c r="I814" s="79"/>
      <c r="J814" s="100"/>
      <c r="K814" s="97" t="b">
        <f>IF(AND($M814=TRUE,$N814=TRUE),VLOOKUP($E814,RH!$B$47:$S$67,MONTH($G814)+6,FALSE))</f>
        <v>0</v>
      </c>
      <c r="L814" s="98">
        <f>IFERROR(IF(AND($M814=TRUE,$N814=TRUE),VLOOKUP($E814,RH!$B$47:$S$67,MONTH($G814)+6,FALSE)*$H814,0),0)</f>
        <v>0</v>
      </c>
      <c r="M814" s="99" t="b">
        <f t="shared" si="1"/>
        <v>0</v>
      </c>
      <c r="N814" s="99"/>
      <c r="O814" s="85"/>
      <c r="P814" s="68"/>
    </row>
    <row r="815" hidden="1">
      <c r="A815" s="68"/>
      <c r="B815" s="79"/>
      <c r="C815" s="77"/>
      <c r="D815" s="79"/>
      <c r="E815" s="79"/>
      <c r="F815" s="93"/>
      <c r="G815" s="93"/>
      <c r="H815" s="103"/>
      <c r="I815" s="79"/>
      <c r="J815" s="100"/>
      <c r="K815" s="97" t="b">
        <f>IF(AND($M815=TRUE,$N815=TRUE),VLOOKUP($E815,RH!$B$47:$S$67,MONTH($G815)+6,FALSE))</f>
        <v>0</v>
      </c>
      <c r="L815" s="98">
        <f>IFERROR(IF(AND($M815=TRUE,$N815=TRUE),VLOOKUP($E815,RH!$B$47:$S$67,MONTH($G815)+6,FALSE)*$H815,0),0)</f>
        <v>0</v>
      </c>
      <c r="M815" s="99" t="b">
        <f t="shared" si="1"/>
        <v>0</v>
      </c>
      <c r="N815" s="99"/>
      <c r="O815" s="85"/>
      <c r="P815" s="68"/>
    </row>
    <row r="816" hidden="1">
      <c r="A816" s="68"/>
      <c r="B816" s="79"/>
      <c r="C816" s="77"/>
      <c r="D816" s="79"/>
      <c r="E816" s="79"/>
      <c r="F816" s="93"/>
      <c r="G816" s="93"/>
      <c r="H816" s="103"/>
      <c r="I816" s="79"/>
      <c r="J816" s="100"/>
      <c r="K816" s="97" t="b">
        <f>IF(AND($M816=TRUE,$N816=TRUE),VLOOKUP($E816,RH!$B$47:$S$67,MONTH($G816)+6,FALSE))</f>
        <v>0</v>
      </c>
      <c r="L816" s="98">
        <f>IFERROR(IF(AND($M816=TRUE,$N816=TRUE),VLOOKUP($E816,RH!$B$47:$S$67,MONTH($G816)+6,FALSE)*$H816,0),0)</f>
        <v>0</v>
      </c>
      <c r="M816" s="99" t="b">
        <f t="shared" si="1"/>
        <v>0</v>
      </c>
      <c r="N816" s="99"/>
      <c r="O816" s="85"/>
      <c r="P816" s="68"/>
    </row>
    <row r="817" hidden="1">
      <c r="A817" s="68"/>
      <c r="B817" s="79"/>
      <c r="C817" s="77"/>
      <c r="D817" s="79"/>
      <c r="E817" s="79"/>
      <c r="F817" s="93"/>
      <c r="G817" s="93"/>
      <c r="H817" s="103"/>
      <c r="I817" s="79"/>
      <c r="J817" s="100"/>
      <c r="K817" s="97" t="b">
        <f>IF(AND($M817=TRUE,$N817=TRUE),VLOOKUP($E817,RH!$B$47:$S$67,MONTH($G817)+6,FALSE))</f>
        <v>0</v>
      </c>
      <c r="L817" s="98">
        <f>IFERROR(IF(AND($M817=TRUE,$N817=TRUE),VLOOKUP($E817,RH!$B$47:$S$67,MONTH($G817)+6,FALSE)*$H817,0),0)</f>
        <v>0</v>
      </c>
      <c r="M817" s="99" t="b">
        <f t="shared" si="1"/>
        <v>0</v>
      </c>
      <c r="N817" s="99"/>
      <c r="O817" s="85"/>
      <c r="P817" s="68"/>
    </row>
    <row r="818" hidden="1">
      <c r="A818" s="68"/>
      <c r="B818" s="79"/>
      <c r="C818" s="77"/>
      <c r="D818" s="79"/>
      <c r="E818" s="79"/>
      <c r="F818" s="93"/>
      <c r="G818" s="93"/>
      <c r="H818" s="103"/>
      <c r="I818" s="79"/>
      <c r="J818" s="100"/>
      <c r="K818" s="97" t="b">
        <f>IF(AND($M818=TRUE,$N818=TRUE),VLOOKUP($E818,RH!$B$47:$S$67,MONTH($G818)+6,FALSE))</f>
        <v>0</v>
      </c>
      <c r="L818" s="98">
        <f>IFERROR(IF(AND($M818=TRUE,$N818=TRUE),VLOOKUP($E818,RH!$B$47:$S$67,MONTH($G818)+6,FALSE)*$H818,0),0)</f>
        <v>0</v>
      </c>
      <c r="M818" s="99" t="b">
        <f t="shared" si="1"/>
        <v>0</v>
      </c>
      <c r="N818" s="99"/>
      <c r="O818" s="85"/>
      <c r="P818" s="68"/>
    </row>
    <row r="819" hidden="1">
      <c r="A819" s="68"/>
      <c r="B819" s="79"/>
      <c r="C819" s="77"/>
      <c r="D819" s="79"/>
      <c r="E819" s="79"/>
      <c r="F819" s="93"/>
      <c r="G819" s="93"/>
      <c r="H819" s="103"/>
      <c r="I819" s="79"/>
      <c r="J819" s="100"/>
      <c r="K819" s="97" t="b">
        <f>IF(AND($M819=TRUE,$N819=TRUE),VLOOKUP($E819,RH!$B$47:$S$67,MONTH($G819)+6,FALSE))</f>
        <v>0</v>
      </c>
      <c r="L819" s="98">
        <f>IFERROR(IF(AND($M819=TRUE,$N819=TRUE),VLOOKUP($E819,RH!$B$47:$S$67,MONTH($G819)+6,FALSE)*$H819,0),0)</f>
        <v>0</v>
      </c>
      <c r="M819" s="99" t="b">
        <f t="shared" si="1"/>
        <v>0</v>
      </c>
      <c r="N819" s="99"/>
      <c r="O819" s="85"/>
      <c r="P819" s="68"/>
    </row>
    <row r="820" hidden="1">
      <c r="A820" s="68"/>
      <c r="B820" s="79"/>
      <c r="C820" s="77"/>
      <c r="D820" s="79"/>
      <c r="E820" s="79"/>
      <c r="F820" s="93"/>
      <c r="G820" s="93"/>
      <c r="H820" s="103"/>
      <c r="I820" s="79"/>
      <c r="J820" s="100"/>
      <c r="K820" s="97" t="b">
        <f>IF(AND($M820=TRUE,$N820=TRUE),VLOOKUP($E820,RH!$B$47:$S$67,MONTH($G820)+6,FALSE))</f>
        <v>0</v>
      </c>
      <c r="L820" s="98">
        <f>IFERROR(IF(AND($M820=TRUE,$N820=TRUE),VLOOKUP($E820,RH!$B$47:$S$67,MONTH($G820)+6,FALSE)*$H820,0),0)</f>
        <v>0</v>
      </c>
      <c r="M820" s="99" t="b">
        <f t="shared" si="1"/>
        <v>0</v>
      </c>
      <c r="N820" s="99"/>
      <c r="O820" s="85"/>
      <c r="P820" s="68"/>
    </row>
    <row r="821" hidden="1">
      <c r="A821" s="68"/>
      <c r="B821" s="79"/>
      <c r="C821" s="77"/>
      <c r="D821" s="79"/>
      <c r="E821" s="79"/>
      <c r="F821" s="93"/>
      <c r="G821" s="93"/>
      <c r="H821" s="103"/>
      <c r="I821" s="79"/>
      <c r="J821" s="100"/>
      <c r="K821" s="97" t="b">
        <f>IF(AND($M821=TRUE,$N821=TRUE),VLOOKUP($E821,RH!$B$47:$S$67,MONTH($G821)+6,FALSE))</f>
        <v>0</v>
      </c>
      <c r="L821" s="98">
        <f>IFERROR(IF(AND($M821=TRUE,$N821=TRUE),VLOOKUP($E821,RH!$B$47:$S$67,MONTH($G821)+6,FALSE)*$H821,0),0)</f>
        <v>0</v>
      </c>
      <c r="M821" s="99" t="b">
        <f t="shared" si="1"/>
        <v>0</v>
      </c>
      <c r="N821" s="99"/>
      <c r="O821" s="85"/>
      <c r="P821" s="68"/>
    </row>
    <row r="822" hidden="1">
      <c r="A822" s="68"/>
      <c r="B822" s="79"/>
      <c r="C822" s="77"/>
      <c r="D822" s="79"/>
      <c r="E822" s="79"/>
      <c r="F822" s="93"/>
      <c r="G822" s="93"/>
      <c r="H822" s="103"/>
      <c r="I822" s="79"/>
      <c r="J822" s="100"/>
      <c r="K822" s="97" t="b">
        <f>IF(AND($M822=TRUE,$N822=TRUE),VLOOKUP($E822,RH!$B$47:$S$67,MONTH($G822)+6,FALSE))</f>
        <v>0</v>
      </c>
      <c r="L822" s="98">
        <f>IFERROR(IF(AND($M822=TRUE,$N822=TRUE),VLOOKUP($E822,RH!$B$47:$S$67,MONTH($G822)+6,FALSE)*$H822,0),0)</f>
        <v>0</v>
      </c>
      <c r="M822" s="99" t="b">
        <f t="shared" si="1"/>
        <v>0</v>
      </c>
      <c r="N822" s="99"/>
      <c r="O822" s="85"/>
      <c r="P822" s="68"/>
    </row>
    <row r="823" hidden="1">
      <c r="A823" s="68"/>
      <c r="B823" s="79"/>
      <c r="C823" s="77"/>
      <c r="D823" s="79"/>
      <c r="E823" s="79"/>
      <c r="F823" s="93"/>
      <c r="G823" s="93"/>
      <c r="H823" s="103"/>
      <c r="I823" s="79"/>
      <c r="J823" s="100"/>
      <c r="K823" s="97" t="b">
        <f>IF(AND($M823=TRUE,$N823=TRUE),VLOOKUP($E823,RH!$B$47:$S$67,MONTH($G823)+6,FALSE))</f>
        <v>0</v>
      </c>
      <c r="L823" s="98">
        <f>IFERROR(IF(AND($M823=TRUE,$N823=TRUE),VLOOKUP($E823,RH!$B$47:$S$67,MONTH($G823)+6,FALSE)*$H823,0),0)</f>
        <v>0</v>
      </c>
      <c r="M823" s="99" t="b">
        <f t="shared" si="1"/>
        <v>0</v>
      </c>
      <c r="N823" s="99"/>
      <c r="O823" s="85"/>
      <c r="P823" s="68"/>
    </row>
    <row r="824" hidden="1">
      <c r="A824" s="68"/>
      <c r="B824" s="79"/>
      <c r="C824" s="77"/>
      <c r="D824" s="79"/>
      <c r="E824" s="79"/>
      <c r="F824" s="93"/>
      <c r="G824" s="93"/>
      <c r="H824" s="103"/>
      <c r="I824" s="79"/>
      <c r="J824" s="100"/>
      <c r="K824" s="97" t="b">
        <f>IF(AND($M824=TRUE,$N824=TRUE),VLOOKUP($E824,RH!$B$47:$S$67,MONTH($G824)+6,FALSE))</f>
        <v>0</v>
      </c>
      <c r="L824" s="98">
        <f>IFERROR(IF(AND($M824=TRUE,$N824=TRUE),VLOOKUP($E824,RH!$B$47:$S$67,MONTH($G824)+6,FALSE)*$H824,0),0)</f>
        <v>0</v>
      </c>
      <c r="M824" s="99" t="b">
        <f t="shared" si="1"/>
        <v>0</v>
      </c>
      <c r="N824" s="99"/>
      <c r="O824" s="85"/>
      <c r="P824" s="68"/>
    </row>
    <row r="825" hidden="1">
      <c r="A825" s="68"/>
      <c r="B825" s="79"/>
      <c r="C825" s="77"/>
      <c r="D825" s="79"/>
      <c r="E825" s="79"/>
      <c r="F825" s="93"/>
      <c r="G825" s="93"/>
      <c r="H825" s="103"/>
      <c r="I825" s="79"/>
      <c r="J825" s="100"/>
      <c r="K825" s="97" t="b">
        <f>IF(AND($M825=TRUE,$N825=TRUE),VLOOKUP($E825,RH!$B$47:$S$67,MONTH($G825)+6,FALSE))</f>
        <v>0</v>
      </c>
      <c r="L825" s="98">
        <f>IFERROR(IF(AND($M825=TRUE,$N825=TRUE),VLOOKUP($E825,RH!$B$47:$S$67,MONTH($G825)+6,FALSE)*$H825,0),0)</f>
        <v>0</v>
      </c>
      <c r="M825" s="99" t="b">
        <f t="shared" si="1"/>
        <v>0</v>
      </c>
      <c r="N825" s="99"/>
      <c r="O825" s="85"/>
      <c r="P825" s="68"/>
    </row>
    <row r="826" hidden="1">
      <c r="A826" s="68"/>
      <c r="B826" s="79"/>
      <c r="C826" s="77"/>
      <c r="D826" s="79"/>
      <c r="E826" s="79"/>
      <c r="F826" s="93"/>
      <c r="G826" s="93"/>
      <c r="H826" s="103"/>
      <c r="I826" s="79"/>
      <c r="J826" s="100"/>
      <c r="K826" s="97" t="b">
        <f>IF(AND($M826=TRUE,$N826=TRUE),VLOOKUP($E826,RH!$B$47:$S$67,MONTH($G826)+6,FALSE))</f>
        <v>0</v>
      </c>
      <c r="L826" s="98">
        <f>IFERROR(IF(AND($M826=TRUE,$N826=TRUE),VLOOKUP($E826,RH!$B$47:$S$67,MONTH($G826)+6,FALSE)*$H826,0),0)</f>
        <v>0</v>
      </c>
      <c r="M826" s="99" t="b">
        <f t="shared" si="1"/>
        <v>0</v>
      </c>
      <c r="N826" s="99"/>
      <c r="O826" s="85"/>
      <c r="P826" s="68"/>
    </row>
    <row r="827" hidden="1">
      <c r="A827" s="68"/>
      <c r="B827" s="79"/>
      <c r="C827" s="77"/>
      <c r="D827" s="79"/>
      <c r="E827" s="79"/>
      <c r="F827" s="93"/>
      <c r="G827" s="93"/>
      <c r="H827" s="103"/>
      <c r="I827" s="79"/>
      <c r="J827" s="100"/>
      <c r="K827" s="97" t="b">
        <f>IF(AND($M827=TRUE,$N827=TRUE),VLOOKUP($E827,RH!$B$47:$S$67,MONTH($G827)+6,FALSE))</f>
        <v>0</v>
      </c>
      <c r="L827" s="98">
        <f>IFERROR(IF(AND($M827=TRUE,$N827=TRUE),VLOOKUP($E827,RH!$B$47:$S$67,MONTH($G827)+6,FALSE)*$H827,0),0)</f>
        <v>0</v>
      </c>
      <c r="M827" s="99" t="b">
        <f t="shared" si="1"/>
        <v>0</v>
      </c>
      <c r="N827" s="99"/>
      <c r="O827" s="85"/>
      <c r="P827" s="68"/>
    </row>
    <row r="828" hidden="1">
      <c r="A828" s="68"/>
      <c r="B828" s="79"/>
      <c r="C828" s="77"/>
      <c r="D828" s="79"/>
      <c r="E828" s="79"/>
      <c r="F828" s="93"/>
      <c r="G828" s="93"/>
      <c r="H828" s="103"/>
      <c r="I828" s="79"/>
      <c r="J828" s="100"/>
      <c r="K828" s="97" t="b">
        <f>IF(AND($M828=TRUE,$N828=TRUE),VLOOKUP($E828,RH!$B$47:$S$67,MONTH($G828)+6,FALSE))</f>
        <v>0</v>
      </c>
      <c r="L828" s="98">
        <f>IFERROR(IF(AND($M828=TRUE,$N828=TRUE),VLOOKUP($E828,RH!$B$47:$S$67,MONTH($G828)+6,FALSE)*$H828,0),0)</f>
        <v>0</v>
      </c>
      <c r="M828" s="99" t="b">
        <f t="shared" si="1"/>
        <v>0</v>
      </c>
      <c r="N828" s="99"/>
      <c r="O828" s="85"/>
      <c r="P828" s="68"/>
    </row>
    <row r="829" hidden="1">
      <c r="A829" s="68"/>
      <c r="B829" s="79"/>
      <c r="C829" s="77"/>
      <c r="D829" s="79"/>
      <c r="E829" s="79"/>
      <c r="F829" s="93"/>
      <c r="G829" s="93"/>
      <c r="H829" s="103"/>
      <c r="I829" s="79"/>
      <c r="J829" s="100"/>
      <c r="K829" s="97" t="b">
        <f>IF(AND($M829=TRUE,$N829=TRUE),VLOOKUP($E829,RH!$B$47:$S$67,MONTH($G829)+6,FALSE))</f>
        <v>0</v>
      </c>
      <c r="L829" s="98">
        <f>IFERROR(IF(AND($M829=TRUE,$N829=TRUE),VLOOKUP($E829,RH!$B$47:$S$67,MONTH($G829)+6,FALSE)*$H829,0),0)</f>
        <v>0</v>
      </c>
      <c r="M829" s="99" t="b">
        <f t="shared" si="1"/>
        <v>0</v>
      </c>
      <c r="N829" s="99"/>
      <c r="O829" s="85"/>
      <c r="P829" s="68"/>
    </row>
    <row r="830" hidden="1">
      <c r="A830" s="68"/>
      <c r="B830" s="79"/>
      <c r="C830" s="77"/>
      <c r="D830" s="79"/>
      <c r="E830" s="79"/>
      <c r="F830" s="93"/>
      <c r="G830" s="93"/>
      <c r="H830" s="103"/>
      <c r="I830" s="79"/>
      <c r="J830" s="100"/>
      <c r="K830" s="97" t="b">
        <f>IF(AND($M830=TRUE,$N830=TRUE),VLOOKUP($E830,RH!$B$47:$S$67,MONTH($G830)+6,FALSE))</f>
        <v>0</v>
      </c>
      <c r="L830" s="98">
        <f>IFERROR(IF(AND($M830=TRUE,$N830=TRUE),VLOOKUP($E830,RH!$B$47:$S$67,MONTH($G830)+6,FALSE)*$H830,0),0)</f>
        <v>0</v>
      </c>
      <c r="M830" s="99" t="b">
        <f t="shared" si="1"/>
        <v>0</v>
      </c>
      <c r="N830" s="99"/>
      <c r="O830" s="85"/>
      <c r="P830" s="68"/>
    </row>
    <row r="831" hidden="1">
      <c r="A831" s="68"/>
      <c r="B831" s="79"/>
      <c r="C831" s="77"/>
      <c r="D831" s="79"/>
      <c r="E831" s="79"/>
      <c r="F831" s="93"/>
      <c r="G831" s="93"/>
      <c r="H831" s="103"/>
      <c r="I831" s="79"/>
      <c r="J831" s="100"/>
      <c r="K831" s="97" t="b">
        <f>IF(AND($M831=TRUE,$N831=TRUE),VLOOKUP($E831,RH!$B$47:$S$67,MONTH($G831)+6,FALSE))</f>
        <v>0</v>
      </c>
      <c r="L831" s="98">
        <f>IFERROR(IF(AND($M831=TRUE,$N831=TRUE),VLOOKUP($E831,RH!$B$47:$S$67,MONTH($G831)+6,FALSE)*$H831,0),0)</f>
        <v>0</v>
      </c>
      <c r="M831" s="99" t="b">
        <f t="shared" si="1"/>
        <v>0</v>
      </c>
      <c r="N831" s="99"/>
      <c r="O831" s="85"/>
      <c r="P831" s="68"/>
    </row>
    <row r="832" hidden="1">
      <c r="A832" s="68"/>
      <c r="B832" s="79"/>
      <c r="C832" s="77"/>
      <c r="D832" s="79"/>
      <c r="E832" s="79"/>
      <c r="F832" s="93"/>
      <c r="G832" s="93"/>
      <c r="H832" s="103"/>
      <c r="I832" s="79"/>
      <c r="J832" s="100"/>
      <c r="K832" s="97" t="b">
        <f>IF(AND($M832=TRUE,$N832=TRUE),VLOOKUP($E832,RH!$B$47:$S$67,MONTH($G832)+6,FALSE))</f>
        <v>0</v>
      </c>
      <c r="L832" s="98">
        <f>IFERROR(IF(AND($M832=TRUE,$N832=TRUE),VLOOKUP($E832,RH!$B$47:$S$67,MONTH($G832)+6,FALSE)*$H832,0),0)</f>
        <v>0</v>
      </c>
      <c r="M832" s="99" t="b">
        <f t="shared" si="1"/>
        <v>0</v>
      </c>
      <c r="N832" s="99"/>
      <c r="O832" s="85"/>
      <c r="P832" s="68"/>
    </row>
    <row r="833" hidden="1">
      <c r="A833" s="68"/>
      <c r="B833" s="79"/>
      <c r="C833" s="77"/>
      <c r="D833" s="79"/>
      <c r="E833" s="79"/>
      <c r="F833" s="93"/>
      <c r="G833" s="93"/>
      <c r="H833" s="103"/>
      <c r="I833" s="79"/>
      <c r="J833" s="100"/>
      <c r="K833" s="97" t="b">
        <f>IF(AND($M833=TRUE,$N833=TRUE),VLOOKUP($E833,RH!$B$47:$S$67,MONTH($G833)+6,FALSE))</f>
        <v>0</v>
      </c>
      <c r="L833" s="98">
        <f>IFERROR(IF(AND($M833=TRUE,$N833=TRUE),VLOOKUP($E833,RH!$B$47:$S$67,MONTH($G833)+6,FALSE)*$H833,0),0)</f>
        <v>0</v>
      </c>
      <c r="M833" s="99" t="b">
        <f t="shared" si="1"/>
        <v>0</v>
      </c>
      <c r="N833" s="99"/>
      <c r="O833" s="85"/>
      <c r="P833" s="68"/>
    </row>
    <row r="834" hidden="1">
      <c r="A834" s="68"/>
      <c r="B834" s="79"/>
      <c r="C834" s="77"/>
      <c r="D834" s="79"/>
      <c r="E834" s="79"/>
      <c r="F834" s="93"/>
      <c r="G834" s="93"/>
      <c r="H834" s="103"/>
      <c r="I834" s="79"/>
      <c r="J834" s="100"/>
      <c r="K834" s="97" t="b">
        <f>IF(AND($M834=TRUE,$N834=TRUE),VLOOKUP($E834,RH!$B$47:$S$67,MONTH($G834)+6,FALSE))</f>
        <v>0</v>
      </c>
      <c r="L834" s="98">
        <f>IFERROR(IF(AND($M834=TRUE,$N834=TRUE),VLOOKUP($E834,RH!$B$47:$S$67,MONTH($G834)+6,FALSE)*$H834,0),0)</f>
        <v>0</v>
      </c>
      <c r="M834" s="99" t="b">
        <f t="shared" si="1"/>
        <v>0</v>
      </c>
      <c r="N834" s="99"/>
      <c r="O834" s="85"/>
      <c r="P834" s="68"/>
    </row>
    <row r="835" hidden="1">
      <c r="A835" s="68"/>
      <c r="B835" s="79"/>
      <c r="C835" s="77"/>
      <c r="D835" s="79"/>
      <c r="E835" s="79"/>
      <c r="F835" s="93"/>
      <c r="G835" s="93"/>
      <c r="H835" s="103"/>
      <c r="I835" s="79"/>
      <c r="J835" s="100"/>
      <c r="K835" s="97" t="b">
        <f>IF(AND($M835=TRUE,$N835=TRUE),VLOOKUP($E835,RH!$B$47:$S$67,MONTH($G835)+6,FALSE))</f>
        <v>0</v>
      </c>
      <c r="L835" s="98">
        <f>IFERROR(IF(AND($M835=TRUE,$N835=TRUE),VLOOKUP($E835,RH!$B$47:$S$67,MONTH($G835)+6,FALSE)*$H835,0),0)</f>
        <v>0</v>
      </c>
      <c r="M835" s="99" t="b">
        <f t="shared" si="1"/>
        <v>0</v>
      </c>
      <c r="N835" s="99"/>
      <c r="O835" s="85"/>
      <c r="P835" s="68"/>
    </row>
    <row r="836" hidden="1">
      <c r="A836" s="68"/>
      <c r="B836" s="79"/>
      <c r="C836" s="77"/>
      <c r="D836" s="79"/>
      <c r="E836" s="79"/>
      <c r="F836" s="93"/>
      <c r="G836" s="93"/>
      <c r="H836" s="103"/>
      <c r="I836" s="79"/>
      <c r="J836" s="100"/>
      <c r="K836" s="97" t="b">
        <f>IF(AND($M836=TRUE,$N836=TRUE),VLOOKUP($E836,RH!$B$47:$S$67,MONTH($G836)+6,FALSE))</f>
        <v>0</v>
      </c>
      <c r="L836" s="98">
        <f>IFERROR(IF(AND($M836=TRUE,$N836=TRUE),VLOOKUP($E836,RH!$B$47:$S$67,MONTH($G836)+6,FALSE)*$H836,0),0)</f>
        <v>0</v>
      </c>
      <c r="M836" s="99" t="b">
        <f t="shared" si="1"/>
        <v>0</v>
      </c>
      <c r="N836" s="99"/>
      <c r="O836" s="85"/>
      <c r="P836" s="68"/>
    </row>
    <row r="837" hidden="1">
      <c r="A837" s="68"/>
      <c r="B837" s="79"/>
      <c r="C837" s="77"/>
      <c r="D837" s="79"/>
      <c r="E837" s="79"/>
      <c r="F837" s="93"/>
      <c r="G837" s="93"/>
      <c r="H837" s="103"/>
      <c r="I837" s="79"/>
      <c r="J837" s="100"/>
      <c r="K837" s="97" t="b">
        <f>IF(AND($M837=TRUE,$N837=TRUE),VLOOKUP($E837,RH!$B$47:$S$67,MONTH($G837)+6,FALSE))</f>
        <v>0</v>
      </c>
      <c r="L837" s="98">
        <f>IFERROR(IF(AND($M837=TRUE,$N837=TRUE),VLOOKUP($E837,RH!$B$47:$S$67,MONTH($G837)+6,FALSE)*$H837,0),0)</f>
        <v>0</v>
      </c>
      <c r="M837" s="99" t="b">
        <f t="shared" si="1"/>
        <v>0</v>
      </c>
      <c r="N837" s="99"/>
      <c r="O837" s="85"/>
      <c r="P837" s="68"/>
    </row>
    <row r="838" hidden="1">
      <c r="A838" s="68"/>
      <c r="B838" s="79"/>
      <c r="C838" s="77"/>
      <c r="D838" s="79"/>
      <c r="E838" s="79"/>
      <c r="F838" s="93"/>
      <c r="G838" s="93"/>
      <c r="H838" s="103"/>
      <c r="I838" s="79"/>
      <c r="J838" s="100"/>
      <c r="K838" s="97" t="b">
        <f>IF(AND($M838=TRUE,$N838=TRUE),VLOOKUP($E838,RH!$B$47:$S$67,MONTH($G838)+6,FALSE))</f>
        <v>0</v>
      </c>
      <c r="L838" s="98">
        <f>IFERROR(IF(AND($M838=TRUE,$N838=TRUE),VLOOKUP($E838,RH!$B$47:$S$67,MONTH($G838)+6,FALSE)*$H838,0),0)</f>
        <v>0</v>
      </c>
      <c r="M838" s="99" t="b">
        <f t="shared" si="1"/>
        <v>0</v>
      </c>
      <c r="N838" s="99"/>
      <c r="O838" s="85"/>
      <c r="P838" s="68"/>
    </row>
    <row r="839" hidden="1">
      <c r="A839" s="68"/>
      <c r="B839" s="79"/>
      <c r="C839" s="77"/>
      <c r="D839" s="79"/>
      <c r="E839" s="79"/>
      <c r="F839" s="93"/>
      <c r="G839" s="93"/>
      <c r="H839" s="103"/>
      <c r="I839" s="79"/>
      <c r="J839" s="100"/>
      <c r="K839" s="97" t="b">
        <f>IF(AND($M839=TRUE,$N839=TRUE),VLOOKUP($E839,RH!$B$47:$S$67,MONTH($G839)+6,FALSE))</f>
        <v>0</v>
      </c>
      <c r="L839" s="98">
        <f>IFERROR(IF(AND($M839=TRUE,$N839=TRUE),VLOOKUP($E839,RH!$B$47:$S$67,MONTH($G839)+6,FALSE)*$H839,0),0)</f>
        <v>0</v>
      </c>
      <c r="M839" s="99" t="b">
        <f t="shared" si="1"/>
        <v>0</v>
      </c>
      <c r="N839" s="99"/>
      <c r="O839" s="85"/>
      <c r="P839" s="68"/>
    </row>
    <row r="840" hidden="1">
      <c r="A840" s="68"/>
      <c r="B840" s="79"/>
      <c r="C840" s="77"/>
      <c r="D840" s="79"/>
      <c r="E840" s="79"/>
      <c r="F840" s="93"/>
      <c r="G840" s="93"/>
      <c r="H840" s="103"/>
      <c r="I840" s="79"/>
      <c r="J840" s="100"/>
      <c r="K840" s="97" t="b">
        <f>IF(AND($M840=TRUE,$N840=TRUE),VLOOKUP($E840,RH!$B$47:$S$67,MONTH($G840)+6,FALSE))</f>
        <v>0</v>
      </c>
      <c r="L840" s="98">
        <f>IFERROR(IF(AND($M840=TRUE,$N840=TRUE),VLOOKUP($E840,RH!$B$47:$S$67,MONTH($G840)+6,FALSE)*$H840,0),0)</f>
        <v>0</v>
      </c>
      <c r="M840" s="99" t="b">
        <f t="shared" si="1"/>
        <v>0</v>
      </c>
      <c r="N840" s="99"/>
      <c r="O840" s="85"/>
      <c r="P840" s="68"/>
    </row>
    <row r="841" hidden="1">
      <c r="A841" s="68"/>
      <c r="B841" s="79"/>
      <c r="C841" s="77"/>
      <c r="D841" s="79"/>
      <c r="E841" s="79"/>
      <c r="F841" s="93"/>
      <c r="G841" s="93"/>
      <c r="H841" s="103"/>
      <c r="I841" s="79"/>
      <c r="J841" s="100"/>
      <c r="K841" s="97" t="b">
        <f>IF(AND($M841=TRUE,$N841=TRUE),VLOOKUP($E841,RH!$B$47:$S$67,MONTH($G841)+6,FALSE))</f>
        <v>0</v>
      </c>
      <c r="L841" s="98">
        <f>IFERROR(IF(AND($M841=TRUE,$N841=TRUE),VLOOKUP($E841,RH!$B$47:$S$67,MONTH($G841)+6,FALSE)*$H841,0),0)</f>
        <v>0</v>
      </c>
      <c r="M841" s="99" t="b">
        <f t="shared" si="1"/>
        <v>0</v>
      </c>
      <c r="N841" s="99"/>
      <c r="O841" s="85"/>
      <c r="P841" s="68"/>
    </row>
    <row r="842" hidden="1">
      <c r="A842" s="68"/>
      <c r="B842" s="79"/>
      <c r="C842" s="77"/>
      <c r="D842" s="79"/>
      <c r="E842" s="79"/>
      <c r="F842" s="93"/>
      <c r="G842" s="93"/>
      <c r="H842" s="103"/>
      <c r="I842" s="79"/>
      <c r="J842" s="100"/>
      <c r="K842" s="97" t="b">
        <f>IF(AND($M842=TRUE,$N842=TRUE),VLOOKUP($E842,RH!$B$47:$S$67,MONTH($G842)+6,FALSE))</f>
        <v>0</v>
      </c>
      <c r="L842" s="98">
        <f>IFERROR(IF(AND($M842=TRUE,$N842=TRUE),VLOOKUP($E842,RH!$B$47:$S$67,MONTH($G842)+6,FALSE)*$H842,0),0)</f>
        <v>0</v>
      </c>
      <c r="M842" s="99" t="b">
        <f t="shared" si="1"/>
        <v>0</v>
      </c>
      <c r="N842" s="99"/>
      <c r="O842" s="85"/>
      <c r="P842" s="68"/>
    </row>
    <row r="843" hidden="1">
      <c r="A843" s="68"/>
      <c r="B843" s="79"/>
      <c r="C843" s="77"/>
      <c r="D843" s="79"/>
      <c r="E843" s="79"/>
      <c r="F843" s="93"/>
      <c r="G843" s="93"/>
      <c r="H843" s="103"/>
      <c r="I843" s="79"/>
      <c r="J843" s="100"/>
      <c r="K843" s="97" t="b">
        <f>IF(AND($M843=TRUE,$N843=TRUE),VLOOKUP($E843,RH!$B$47:$S$67,MONTH($G843)+6,FALSE))</f>
        <v>0</v>
      </c>
      <c r="L843" s="98">
        <f>IFERROR(IF(AND($M843=TRUE,$N843=TRUE),VLOOKUP($E843,RH!$B$47:$S$67,MONTH($G843)+6,FALSE)*$H843,0),0)</f>
        <v>0</v>
      </c>
      <c r="M843" s="99" t="b">
        <f t="shared" si="1"/>
        <v>0</v>
      </c>
      <c r="N843" s="99"/>
      <c r="O843" s="85"/>
      <c r="P843" s="68"/>
    </row>
    <row r="844" hidden="1">
      <c r="A844" s="68"/>
      <c r="B844" s="79"/>
      <c r="C844" s="77"/>
      <c r="D844" s="79"/>
      <c r="E844" s="79"/>
      <c r="F844" s="93"/>
      <c r="G844" s="93"/>
      <c r="H844" s="103"/>
      <c r="I844" s="79"/>
      <c r="J844" s="100"/>
      <c r="K844" s="97" t="b">
        <f>IF(AND($M844=TRUE,$N844=TRUE),VLOOKUP($E844,RH!$B$47:$S$67,MONTH($G844)+6,FALSE))</f>
        <v>0</v>
      </c>
      <c r="L844" s="98">
        <f>IFERROR(IF(AND($M844=TRUE,$N844=TRUE),VLOOKUP($E844,RH!$B$47:$S$67,MONTH($G844)+6,FALSE)*$H844,0),0)</f>
        <v>0</v>
      </c>
      <c r="M844" s="99" t="b">
        <f t="shared" si="1"/>
        <v>0</v>
      </c>
      <c r="N844" s="99"/>
      <c r="O844" s="85"/>
      <c r="P844" s="68"/>
    </row>
    <row r="845" hidden="1">
      <c r="A845" s="68"/>
      <c r="B845" s="79"/>
      <c r="C845" s="77"/>
      <c r="D845" s="79"/>
      <c r="E845" s="79"/>
      <c r="F845" s="93"/>
      <c r="G845" s="93"/>
      <c r="H845" s="103"/>
      <c r="I845" s="79"/>
      <c r="J845" s="100"/>
      <c r="K845" s="97" t="b">
        <f>IF(AND($M845=TRUE,$N845=TRUE),VLOOKUP($E845,RH!$B$47:$S$67,MONTH($G845)+6,FALSE))</f>
        <v>0</v>
      </c>
      <c r="L845" s="98">
        <f>IFERROR(IF(AND($M845=TRUE,$N845=TRUE),VLOOKUP($E845,RH!$B$47:$S$67,MONTH($G845)+6,FALSE)*$H845,0),0)</f>
        <v>0</v>
      </c>
      <c r="M845" s="99" t="b">
        <f t="shared" si="1"/>
        <v>0</v>
      </c>
      <c r="N845" s="99"/>
      <c r="O845" s="85"/>
      <c r="P845" s="68"/>
    </row>
    <row r="846" hidden="1">
      <c r="A846" s="68"/>
      <c r="B846" s="79"/>
      <c r="C846" s="77"/>
      <c r="D846" s="79"/>
      <c r="E846" s="79"/>
      <c r="F846" s="93"/>
      <c r="G846" s="93"/>
      <c r="H846" s="103"/>
      <c r="I846" s="79"/>
      <c r="J846" s="100"/>
      <c r="K846" s="97" t="b">
        <f>IF(AND($M846=TRUE,$N846=TRUE),VLOOKUP($E846,RH!$B$47:$S$67,MONTH($G846)+6,FALSE))</f>
        <v>0</v>
      </c>
      <c r="L846" s="98">
        <f>IFERROR(IF(AND($M846=TRUE,$N846=TRUE),VLOOKUP($E846,RH!$B$47:$S$67,MONTH($G846)+6,FALSE)*$H846,0),0)</f>
        <v>0</v>
      </c>
      <c r="M846" s="99" t="b">
        <f t="shared" si="1"/>
        <v>0</v>
      </c>
      <c r="N846" s="99"/>
      <c r="O846" s="85"/>
      <c r="P846" s="68"/>
    </row>
    <row r="847" hidden="1">
      <c r="A847" s="68"/>
      <c r="B847" s="79"/>
      <c r="C847" s="77"/>
      <c r="D847" s="79"/>
      <c r="E847" s="79"/>
      <c r="F847" s="93"/>
      <c r="G847" s="93"/>
      <c r="H847" s="103"/>
      <c r="I847" s="79"/>
      <c r="J847" s="100"/>
      <c r="K847" s="97" t="b">
        <f>IF(AND($M847=TRUE,$N847=TRUE),VLOOKUP($E847,RH!$B$47:$S$67,MONTH($G847)+6,FALSE))</f>
        <v>0</v>
      </c>
      <c r="L847" s="98">
        <f>IFERROR(IF(AND($M847=TRUE,$N847=TRUE),VLOOKUP($E847,RH!$B$47:$S$67,MONTH($G847)+6,FALSE)*$H847,0),0)</f>
        <v>0</v>
      </c>
      <c r="M847" s="99" t="b">
        <f t="shared" si="1"/>
        <v>0</v>
      </c>
      <c r="N847" s="99"/>
      <c r="O847" s="85"/>
      <c r="P847" s="68"/>
    </row>
    <row r="848" hidden="1">
      <c r="A848" s="68"/>
      <c r="B848" s="79"/>
      <c r="C848" s="77"/>
      <c r="D848" s="79"/>
      <c r="E848" s="79"/>
      <c r="F848" s="93"/>
      <c r="G848" s="93"/>
      <c r="H848" s="103"/>
      <c r="I848" s="79"/>
      <c r="J848" s="100"/>
      <c r="K848" s="97" t="b">
        <f>IF(AND($M848=TRUE,$N848=TRUE),VLOOKUP($E848,RH!$B$47:$S$67,MONTH($G848)+6,FALSE))</f>
        <v>0</v>
      </c>
      <c r="L848" s="98">
        <f>IFERROR(IF(AND($M848=TRUE,$N848=TRUE),VLOOKUP($E848,RH!$B$47:$S$67,MONTH($G848)+6,FALSE)*$H848,0),0)</f>
        <v>0</v>
      </c>
      <c r="M848" s="99" t="b">
        <f t="shared" si="1"/>
        <v>0</v>
      </c>
      <c r="N848" s="99"/>
      <c r="O848" s="85"/>
      <c r="P848" s="68"/>
    </row>
    <row r="849" hidden="1">
      <c r="A849" s="68"/>
      <c r="B849" s="79"/>
      <c r="C849" s="77"/>
      <c r="D849" s="79"/>
      <c r="E849" s="79"/>
      <c r="F849" s="93"/>
      <c r="G849" s="93"/>
      <c r="H849" s="103"/>
      <c r="I849" s="79"/>
      <c r="J849" s="100"/>
      <c r="K849" s="97" t="b">
        <f>IF(AND($M849=TRUE,$N849=TRUE),VLOOKUP($E849,RH!$B$47:$S$67,MONTH($G849)+6,FALSE))</f>
        <v>0</v>
      </c>
      <c r="L849" s="98">
        <f>IFERROR(IF(AND($M849=TRUE,$N849=TRUE),VLOOKUP($E849,RH!$B$47:$S$67,MONTH($G849)+6,FALSE)*$H849,0),0)</f>
        <v>0</v>
      </c>
      <c r="M849" s="99" t="b">
        <f t="shared" si="1"/>
        <v>0</v>
      </c>
      <c r="N849" s="99"/>
      <c r="O849" s="85"/>
      <c r="P849" s="68"/>
    </row>
    <row r="850" hidden="1">
      <c r="A850" s="68"/>
      <c r="B850" s="79"/>
      <c r="C850" s="77"/>
      <c r="D850" s="79"/>
      <c r="E850" s="79"/>
      <c r="F850" s="93"/>
      <c r="G850" s="93"/>
      <c r="H850" s="103"/>
      <c r="I850" s="79"/>
      <c r="J850" s="100"/>
      <c r="K850" s="97" t="b">
        <f>IF(AND($M850=TRUE,$N850=TRUE),VLOOKUP($E850,RH!$B$47:$S$67,MONTH($G850)+6,FALSE))</f>
        <v>0</v>
      </c>
      <c r="L850" s="98">
        <f>IFERROR(IF(AND($M850=TRUE,$N850=TRUE),VLOOKUP($E850,RH!$B$47:$S$67,MONTH($G850)+6,FALSE)*$H850,0),0)</f>
        <v>0</v>
      </c>
      <c r="M850" s="99" t="b">
        <f t="shared" si="1"/>
        <v>0</v>
      </c>
      <c r="N850" s="99"/>
      <c r="O850" s="85"/>
      <c r="P850" s="68"/>
    </row>
    <row r="851" hidden="1">
      <c r="A851" s="68"/>
      <c r="B851" s="79"/>
      <c r="C851" s="77"/>
      <c r="D851" s="79"/>
      <c r="E851" s="79"/>
      <c r="F851" s="93"/>
      <c r="G851" s="93"/>
      <c r="H851" s="103"/>
      <c r="I851" s="79"/>
      <c r="J851" s="100"/>
      <c r="K851" s="97" t="b">
        <f>IF(AND($M851=TRUE,$N851=TRUE),VLOOKUP($E851,RH!$B$47:$S$67,MONTH($G851)+6,FALSE))</f>
        <v>0</v>
      </c>
      <c r="L851" s="98">
        <f>IFERROR(IF(AND($M851=TRUE,$N851=TRUE),VLOOKUP($E851,RH!$B$47:$S$67,MONTH($G851)+6,FALSE)*$H851,0),0)</f>
        <v>0</v>
      </c>
      <c r="M851" s="99" t="b">
        <f t="shared" si="1"/>
        <v>0</v>
      </c>
      <c r="N851" s="99"/>
      <c r="O851" s="85"/>
      <c r="P851" s="68"/>
    </row>
    <row r="852" hidden="1">
      <c r="A852" s="68"/>
      <c r="B852" s="79"/>
      <c r="C852" s="77"/>
      <c r="D852" s="79"/>
      <c r="E852" s="79"/>
      <c r="F852" s="93"/>
      <c r="G852" s="93"/>
      <c r="H852" s="103"/>
      <c r="I852" s="79"/>
      <c r="J852" s="100"/>
      <c r="K852" s="97" t="b">
        <f>IF(AND($M852=TRUE,$N852=TRUE),VLOOKUP($E852,RH!$B$47:$S$67,MONTH($G852)+6,FALSE))</f>
        <v>0</v>
      </c>
      <c r="L852" s="98">
        <f>IFERROR(IF(AND($M852=TRUE,$N852=TRUE),VLOOKUP($E852,RH!$B$47:$S$67,MONTH($G852)+6,FALSE)*$H852,0),0)</f>
        <v>0</v>
      </c>
      <c r="M852" s="99" t="b">
        <f t="shared" si="1"/>
        <v>0</v>
      </c>
      <c r="N852" s="99"/>
      <c r="O852" s="85"/>
      <c r="P852" s="68"/>
    </row>
    <row r="853" hidden="1">
      <c r="A853" s="68"/>
      <c r="B853" s="79"/>
      <c r="C853" s="77"/>
      <c r="D853" s="79"/>
      <c r="E853" s="79"/>
      <c r="F853" s="93"/>
      <c r="G853" s="93"/>
      <c r="H853" s="103"/>
      <c r="I853" s="79"/>
      <c r="J853" s="100"/>
      <c r="K853" s="97" t="b">
        <f>IF(AND($M853=TRUE,$N853=TRUE),VLOOKUP($E853,RH!$B$47:$S$67,MONTH($G853)+6,FALSE))</f>
        <v>0</v>
      </c>
      <c r="L853" s="98">
        <f>IFERROR(IF(AND($M853=TRUE,$N853=TRUE),VLOOKUP($E853,RH!$B$47:$S$67,MONTH($G853)+6,FALSE)*$H853,0),0)</f>
        <v>0</v>
      </c>
      <c r="M853" s="99" t="b">
        <f t="shared" si="1"/>
        <v>0</v>
      </c>
      <c r="N853" s="99"/>
      <c r="O853" s="85"/>
      <c r="P853" s="68"/>
    </row>
    <row r="854" hidden="1">
      <c r="A854" s="68"/>
      <c r="B854" s="79"/>
      <c r="C854" s="77"/>
      <c r="D854" s="79"/>
      <c r="E854" s="79"/>
      <c r="F854" s="93"/>
      <c r="G854" s="93"/>
      <c r="H854" s="103"/>
      <c r="I854" s="79"/>
      <c r="J854" s="100"/>
      <c r="K854" s="97" t="b">
        <f>IF(AND($M854=TRUE,$N854=TRUE),VLOOKUP($E854,RH!$B$47:$S$67,MONTH($G854)+6,FALSE))</f>
        <v>0</v>
      </c>
      <c r="L854" s="98">
        <f>IFERROR(IF(AND($M854=TRUE,$N854=TRUE),VLOOKUP($E854,RH!$B$47:$S$67,MONTH($G854)+6,FALSE)*$H854,0),0)</f>
        <v>0</v>
      </c>
      <c r="M854" s="99" t="b">
        <f t="shared" si="1"/>
        <v>0</v>
      </c>
      <c r="N854" s="99"/>
      <c r="O854" s="85"/>
      <c r="P854" s="68"/>
    </row>
    <row r="855" hidden="1">
      <c r="A855" s="68"/>
      <c r="B855" s="79"/>
      <c r="C855" s="77"/>
      <c r="D855" s="79"/>
      <c r="E855" s="79"/>
      <c r="F855" s="93"/>
      <c r="G855" s="93"/>
      <c r="H855" s="103"/>
      <c r="I855" s="79"/>
      <c r="J855" s="100"/>
      <c r="K855" s="97" t="b">
        <f>IF(AND($M855=TRUE,$N855=TRUE),VLOOKUP($E855,RH!$B$47:$S$67,MONTH($G855)+6,FALSE))</f>
        <v>0</v>
      </c>
      <c r="L855" s="98">
        <f>IFERROR(IF(AND($M855=TRUE,$N855=TRUE),VLOOKUP($E855,RH!$B$47:$S$67,MONTH($G855)+6,FALSE)*$H855,0),0)</f>
        <v>0</v>
      </c>
      <c r="M855" s="99" t="b">
        <f t="shared" si="1"/>
        <v>0</v>
      </c>
      <c r="N855" s="99"/>
      <c r="O855" s="85"/>
      <c r="P855" s="68"/>
    </row>
    <row r="856" hidden="1">
      <c r="A856" s="68"/>
      <c r="B856" s="79"/>
      <c r="C856" s="77"/>
      <c r="D856" s="79"/>
      <c r="E856" s="79"/>
      <c r="F856" s="93"/>
      <c r="G856" s="93"/>
      <c r="H856" s="103"/>
      <c r="I856" s="79"/>
      <c r="J856" s="100"/>
      <c r="K856" s="97" t="b">
        <f>IF(AND($M856=TRUE,$N856=TRUE),VLOOKUP($E856,RH!$B$47:$S$67,MONTH($G856)+6,FALSE))</f>
        <v>0</v>
      </c>
      <c r="L856" s="98">
        <f>IFERROR(IF(AND($M856=TRUE,$N856=TRUE),VLOOKUP($E856,RH!$B$47:$S$67,MONTH($G856)+6,FALSE)*$H856,0),0)</f>
        <v>0</v>
      </c>
      <c r="M856" s="99" t="b">
        <f t="shared" si="1"/>
        <v>0</v>
      </c>
      <c r="N856" s="99"/>
      <c r="O856" s="85"/>
      <c r="P856" s="68"/>
    </row>
    <row r="857" hidden="1">
      <c r="A857" s="68"/>
      <c r="B857" s="79"/>
      <c r="C857" s="77"/>
      <c r="D857" s="79"/>
      <c r="E857" s="79"/>
      <c r="F857" s="93"/>
      <c r="G857" s="93"/>
      <c r="H857" s="103"/>
      <c r="I857" s="79"/>
      <c r="J857" s="100"/>
      <c r="K857" s="97" t="b">
        <f>IF(AND($M857=TRUE,$N857=TRUE),VLOOKUP($E857,RH!$B$47:$S$67,MONTH($G857)+6,FALSE))</f>
        <v>0</v>
      </c>
      <c r="L857" s="98">
        <f>IFERROR(IF(AND($M857=TRUE,$N857=TRUE),VLOOKUP($E857,RH!$B$47:$S$67,MONTH($G857)+6,FALSE)*$H857,0),0)</f>
        <v>0</v>
      </c>
      <c r="M857" s="99" t="b">
        <f t="shared" si="1"/>
        <v>0</v>
      </c>
      <c r="N857" s="99"/>
      <c r="O857" s="85"/>
      <c r="P857" s="68"/>
    </row>
    <row r="858" hidden="1">
      <c r="A858" s="68"/>
      <c r="B858" s="79"/>
      <c r="C858" s="77"/>
      <c r="D858" s="79"/>
      <c r="E858" s="79"/>
      <c r="F858" s="93"/>
      <c r="G858" s="93"/>
      <c r="H858" s="103"/>
      <c r="I858" s="79"/>
      <c r="J858" s="100"/>
      <c r="K858" s="97" t="b">
        <f>IF(AND($M858=TRUE,$N858=TRUE),VLOOKUP($E858,RH!$B$47:$S$67,MONTH($G858)+6,FALSE))</f>
        <v>0</v>
      </c>
      <c r="L858" s="98">
        <f>IFERROR(IF(AND($M858=TRUE,$N858=TRUE),VLOOKUP($E858,RH!$B$47:$S$67,MONTH($G858)+6,FALSE)*$H858,0),0)</f>
        <v>0</v>
      </c>
      <c r="M858" s="99" t="b">
        <f t="shared" si="1"/>
        <v>0</v>
      </c>
      <c r="N858" s="99"/>
      <c r="O858" s="85"/>
      <c r="P858" s="68"/>
    </row>
    <row r="859" hidden="1">
      <c r="A859" s="68"/>
      <c r="B859" s="79"/>
      <c r="C859" s="77"/>
      <c r="D859" s="79"/>
      <c r="E859" s="79"/>
      <c r="F859" s="93"/>
      <c r="G859" s="93"/>
      <c r="H859" s="103"/>
      <c r="I859" s="79"/>
      <c r="J859" s="100"/>
      <c r="K859" s="97" t="b">
        <f>IF(AND($M859=TRUE,$N859=TRUE),VLOOKUP($E859,RH!$B$47:$S$67,MONTH($G859)+6,FALSE))</f>
        <v>0</v>
      </c>
      <c r="L859" s="98">
        <f>IFERROR(IF(AND($M859=TRUE,$N859=TRUE),VLOOKUP($E859,RH!$B$47:$S$67,MONTH($G859)+6,FALSE)*$H859,0),0)</f>
        <v>0</v>
      </c>
      <c r="M859" s="99" t="b">
        <f t="shared" si="1"/>
        <v>0</v>
      </c>
      <c r="N859" s="99"/>
      <c r="O859" s="85"/>
      <c r="P859" s="68"/>
    </row>
    <row r="860" hidden="1">
      <c r="A860" s="68"/>
      <c r="B860" s="79"/>
      <c r="C860" s="77"/>
      <c r="D860" s="79"/>
      <c r="E860" s="79"/>
      <c r="F860" s="93"/>
      <c r="G860" s="93"/>
      <c r="H860" s="103"/>
      <c r="I860" s="79"/>
      <c r="J860" s="100"/>
      <c r="K860" s="97" t="b">
        <f>IF(AND($M860=TRUE,$N860=TRUE),VLOOKUP($E860,RH!$B$47:$S$67,MONTH($G860)+6,FALSE))</f>
        <v>0</v>
      </c>
      <c r="L860" s="98">
        <f>IFERROR(IF(AND($M860=TRUE,$N860=TRUE),VLOOKUP($E860,RH!$B$47:$S$67,MONTH($G860)+6,FALSE)*$H860,0),0)</f>
        <v>0</v>
      </c>
      <c r="M860" s="99" t="b">
        <f t="shared" si="1"/>
        <v>0</v>
      </c>
      <c r="N860" s="99"/>
      <c r="O860" s="85"/>
      <c r="P860" s="68"/>
    </row>
    <row r="861" hidden="1">
      <c r="A861" s="68"/>
      <c r="B861" s="79"/>
      <c r="C861" s="77"/>
      <c r="D861" s="79"/>
      <c r="E861" s="79"/>
      <c r="F861" s="93"/>
      <c r="G861" s="93"/>
      <c r="H861" s="103"/>
      <c r="I861" s="79"/>
      <c r="J861" s="100"/>
      <c r="K861" s="97" t="b">
        <f>IF(AND($M861=TRUE,$N861=TRUE),VLOOKUP($E861,RH!$B$47:$S$67,MONTH($G861)+6,FALSE))</f>
        <v>0</v>
      </c>
      <c r="L861" s="98">
        <f>IFERROR(IF(AND($M861=TRUE,$N861=TRUE),VLOOKUP($E861,RH!$B$47:$S$67,MONTH($G861)+6,FALSE)*$H861,0),0)</f>
        <v>0</v>
      </c>
      <c r="M861" s="99" t="b">
        <f t="shared" si="1"/>
        <v>0</v>
      </c>
      <c r="N861" s="99"/>
      <c r="O861" s="85"/>
      <c r="P861" s="68"/>
    </row>
    <row r="862" hidden="1">
      <c r="A862" s="68"/>
      <c r="B862" s="79"/>
      <c r="C862" s="77"/>
      <c r="D862" s="79"/>
      <c r="E862" s="79"/>
      <c r="F862" s="93"/>
      <c r="G862" s="93"/>
      <c r="H862" s="103"/>
      <c r="I862" s="79"/>
      <c r="J862" s="100"/>
      <c r="K862" s="97" t="b">
        <f>IF(AND($M862=TRUE,$N862=TRUE),VLOOKUP($E862,RH!$B$47:$S$67,MONTH($G862)+6,FALSE))</f>
        <v>0</v>
      </c>
      <c r="L862" s="98">
        <f>IFERROR(IF(AND($M862=TRUE,$N862=TRUE),VLOOKUP($E862,RH!$B$47:$S$67,MONTH($G862)+6,FALSE)*$H862,0),0)</f>
        <v>0</v>
      </c>
      <c r="M862" s="99" t="b">
        <f t="shared" si="1"/>
        <v>0</v>
      </c>
      <c r="N862" s="99"/>
      <c r="O862" s="85"/>
      <c r="P862" s="68"/>
    </row>
    <row r="863" hidden="1">
      <c r="A863" s="68"/>
      <c r="B863" s="79"/>
      <c r="C863" s="77"/>
      <c r="D863" s="79"/>
      <c r="E863" s="79"/>
      <c r="F863" s="93"/>
      <c r="G863" s="93"/>
      <c r="H863" s="103"/>
      <c r="I863" s="79"/>
      <c r="J863" s="100"/>
      <c r="K863" s="97" t="b">
        <f>IF(AND($M863=TRUE,$N863=TRUE),VLOOKUP($E863,RH!$B$47:$S$67,MONTH($G863)+6,FALSE))</f>
        <v>0</v>
      </c>
      <c r="L863" s="98">
        <f>IFERROR(IF(AND($M863=TRUE,$N863=TRUE),VLOOKUP($E863,RH!$B$47:$S$67,MONTH($G863)+6,FALSE)*$H863,0),0)</f>
        <v>0</v>
      </c>
      <c r="M863" s="99" t="b">
        <f t="shared" si="1"/>
        <v>0</v>
      </c>
      <c r="N863" s="99"/>
      <c r="O863" s="85"/>
      <c r="P863" s="68"/>
    </row>
    <row r="864" hidden="1">
      <c r="A864" s="68"/>
      <c r="B864" s="79"/>
      <c r="C864" s="77"/>
      <c r="D864" s="79"/>
      <c r="E864" s="79"/>
      <c r="F864" s="93"/>
      <c r="G864" s="93"/>
      <c r="H864" s="103"/>
      <c r="I864" s="79"/>
      <c r="J864" s="100"/>
      <c r="K864" s="97" t="b">
        <f>IF(AND($M864=TRUE,$N864=TRUE),VLOOKUP($E864,RH!$B$47:$S$67,MONTH($G864)+6,FALSE))</f>
        <v>0</v>
      </c>
      <c r="L864" s="98">
        <f>IFERROR(IF(AND($M864=TRUE,$N864=TRUE),VLOOKUP($E864,RH!$B$47:$S$67,MONTH($G864)+6,FALSE)*$H864,0),0)</f>
        <v>0</v>
      </c>
      <c r="M864" s="99" t="b">
        <f t="shared" si="1"/>
        <v>0</v>
      </c>
      <c r="N864" s="99"/>
      <c r="O864" s="85"/>
      <c r="P864" s="68"/>
    </row>
    <row r="865" hidden="1">
      <c r="A865" s="68"/>
      <c r="B865" s="79"/>
      <c r="C865" s="77"/>
      <c r="D865" s="79"/>
      <c r="E865" s="79"/>
      <c r="F865" s="93"/>
      <c r="G865" s="93"/>
      <c r="H865" s="103"/>
      <c r="I865" s="79"/>
      <c r="J865" s="100"/>
      <c r="K865" s="97" t="b">
        <f>IF(AND($M865=TRUE,$N865=TRUE),VLOOKUP($E865,RH!$B$47:$S$67,MONTH($G865)+6,FALSE))</f>
        <v>0</v>
      </c>
      <c r="L865" s="98">
        <f>IFERROR(IF(AND($M865=TRUE,$N865=TRUE),VLOOKUP($E865,RH!$B$47:$S$67,MONTH($G865)+6,FALSE)*$H865,0),0)</f>
        <v>0</v>
      </c>
      <c r="M865" s="99" t="b">
        <f t="shared" si="1"/>
        <v>0</v>
      </c>
      <c r="N865" s="99"/>
      <c r="O865" s="85"/>
      <c r="P865" s="68"/>
    </row>
    <row r="866" hidden="1">
      <c r="A866" s="68"/>
      <c r="B866" s="79"/>
      <c r="C866" s="77"/>
      <c r="D866" s="79"/>
      <c r="E866" s="79"/>
      <c r="F866" s="93"/>
      <c r="G866" s="93"/>
      <c r="H866" s="103"/>
      <c r="I866" s="79"/>
      <c r="J866" s="100"/>
      <c r="K866" s="97" t="b">
        <f>IF(AND($M866=TRUE,$N866=TRUE),VLOOKUP($E866,RH!$B$47:$S$67,MONTH($G866)+6,FALSE))</f>
        <v>0</v>
      </c>
      <c r="L866" s="98">
        <f>IFERROR(IF(AND($M866=TRUE,$N866=TRUE),VLOOKUP($E866,RH!$B$47:$S$67,MONTH($G866)+6,FALSE)*$H866,0),0)</f>
        <v>0</v>
      </c>
      <c r="M866" s="99" t="b">
        <f t="shared" si="1"/>
        <v>0</v>
      </c>
      <c r="N866" s="99"/>
      <c r="O866" s="85"/>
      <c r="P866" s="68"/>
    </row>
    <row r="867" hidden="1">
      <c r="A867" s="68"/>
      <c r="B867" s="79"/>
      <c r="C867" s="77"/>
      <c r="D867" s="79"/>
      <c r="E867" s="79"/>
      <c r="F867" s="93"/>
      <c r="G867" s="93"/>
      <c r="H867" s="103"/>
      <c r="I867" s="79"/>
      <c r="J867" s="100"/>
      <c r="K867" s="97" t="b">
        <f>IF(AND($M867=TRUE,$N867=TRUE),VLOOKUP($E867,RH!$B$47:$S$67,MONTH($G867)+6,FALSE))</f>
        <v>0</v>
      </c>
      <c r="L867" s="98">
        <f>IFERROR(IF(AND($M867=TRUE,$N867=TRUE),VLOOKUP($E867,RH!$B$47:$S$67,MONTH($G867)+6,FALSE)*$H867,0),0)</f>
        <v>0</v>
      </c>
      <c r="M867" s="99" t="b">
        <f t="shared" si="1"/>
        <v>0</v>
      </c>
      <c r="N867" s="99"/>
      <c r="O867" s="85"/>
      <c r="P867" s="68"/>
    </row>
    <row r="868" hidden="1">
      <c r="A868" s="68"/>
      <c r="B868" s="79"/>
      <c r="C868" s="77"/>
      <c r="D868" s="79"/>
      <c r="E868" s="79"/>
      <c r="F868" s="93"/>
      <c r="G868" s="93"/>
      <c r="H868" s="103"/>
      <c r="I868" s="79"/>
      <c r="J868" s="100"/>
      <c r="K868" s="97" t="b">
        <f>IF(AND($M868=TRUE,$N868=TRUE),VLOOKUP($E868,RH!$B$47:$S$67,MONTH($G868)+6,FALSE))</f>
        <v>0</v>
      </c>
      <c r="L868" s="98">
        <f>IFERROR(IF(AND($M868=TRUE,$N868=TRUE),VLOOKUP($E868,RH!$B$47:$S$67,MONTH($G868)+6,FALSE)*$H868,0),0)</f>
        <v>0</v>
      </c>
      <c r="M868" s="99" t="b">
        <f t="shared" si="1"/>
        <v>0</v>
      </c>
      <c r="N868" s="99"/>
      <c r="O868" s="85"/>
      <c r="P868" s="68"/>
    </row>
    <row r="869" hidden="1">
      <c r="A869" s="68"/>
      <c r="B869" s="79"/>
      <c r="C869" s="77"/>
      <c r="D869" s="79"/>
      <c r="E869" s="79"/>
      <c r="F869" s="93"/>
      <c r="G869" s="93"/>
      <c r="H869" s="103"/>
      <c r="I869" s="79"/>
      <c r="J869" s="100"/>
      <c r="K869" s="97" t="b">
        <f>IF(AND($M869=TRUE,$N869=TRUE),VLOOKUP($E869,RH!$B$47:$S$67,MONTH($G869)+6,FALSE))</f>
        <v>0</v>
      </c>
      <c r="L869" s="98">
        <f>IFERROR(IF(AND($M869=TRUE,$N869=TRUE),VLOOKUP($E869,RH!$B$47:$S$67,MONTH($G869)+6,FALSE)*$H869,0),0)</f>
        <v>0</v>
      </c>
      <c r="M869" s="99" t="b">
        <f t="shared" si="1"/>
        <v>0</v>
      </c>
      <c r="N869" s="99"/>
      <c r="O869" s="85"/>
      <c r="P869" s="68"/>
    </row>
    <row r="870" hidden="1">
      <c r="A870" s="68"/>
      <c r="B870" s="79"/>
      <c r="C870" s="77"/>
      <c r="D870" s="79"/>
      <c r="E870" s="79"/>
      <c r="F870" s="93"/>
      <c r="G870" s="93"/>
      <c r="H870" s="103"/>
      <c r="I870" s="79"/>
      <c r="J870" s="100"/>
      <c r="K870" s="97" t="b">
        <f>IF(AND($M870=TRUE,$N870=TRUE),VLOOKUP($E870,RH!$B$47:$S$67,MONTH($G870)+6,FALSE))</f>
        <v>0</v>
      </c>
      <c r="L870" s="98">
        <f>IFERROR(IF(AND($M870=TRUE,$N870=TRUE),VLOOKUP($E870,RH!$B$47:$S$67,MONTH($G870)+6,FALSE)*$H870,0),0)</f>
        <v>0</v>
      </c>
      <c r="M870" s="99" t="b">
        <f t="shared" si="1"/>
        <v>0</v>
      </c>
      <c r="N870" s="99"/>
      <c r="O870" s="85"/>
      <c r="P870" s="68"/>
    </row>
    <row r="871" hidden="1">
      <c r="A871" s="68"/>
      <c r="B871" s="79"/>
      <c r="C871" s="77"/>
      <c r="D871" s="79"/>
      <c r="E871" s="79"/>
      <c r="F871" s="93"/>
      <c r="G871" s="93"/>
      <c r="H871" s="103"/>
      <c r="I871" s="79"/>
      <c r="J871" s="100"/>
      <c r="K871" s="97" t="b">
        <f>IF(AND($M871=TRUE,$N871=TRUE),VLOOKUP($E871,RH!$B$47:$S$67,MONTH($G871)+6,FALSE))</f>
        <v>0</v>
      </c>
      <c r="L871" s="98">
        <f>IFERROR(IF(AND($M871=TRUE,$N871=TRUE),VLOOKUP($E871,RH!$B$47:$S$67,MONTH($G871)+6,FALSE)*$H871,0),0)</f>
        <v>0</v>
      </c>
      <c r="M871" s="99" t="b">
        <f t="shared" si="1"/>
        <v>0</v>
      </c>
      <c r="N871" s="99"/>
      <c r="O871" s="85"/>
      <c r="P871" s="68"/>
    </row>
    <row r="872" hidden="1">
      <c r="A872" s="68"/>
      <c r="B872" s="79"/>
      <c r="C872" s="77"/>
      <c r="D872" s="79"/>
      <c r="E872" s="79"/>
      <c r="F872" s="93"/>
      <c r="G872" s="93"/>
      <c r="H872" s="103"/>
      <c r="I872" s="79"/>
      <c r="J872" s="100"/>
      <c r="K872" s="97" t="b">
        <f>IF(AND($M872=TRUE,$N872=TRUE),VLOOKUP($E872,RH!$B$47:$S$67,MONTH($G872)+6,FALSE))</f>
        <v>0</v>
      </c>
      <c r="L872" s="98">
        <f>IFERROR(IF(AND($M872=TRUE,$N872=TRUE),VLOOKUP($E872,RH!$B$47:$S$67,MONTH($G872)+6,FALSE)*$H872,0),0)</f>
        <v>0</v>
      </c>
      <c r="M872" s="99" t="b">
        <f t="shared" si="1"/>
        <v>0</v>
      </c>
      <c r="N872" s="99"/>
      <c r="O872" s="85"/>
      <c r="P872" s="68"/>
    </row>
    <row r="873" hidden="1">
      <c r="A873" s="68"/>
      <c r="B873" s="79"/>
      <c r="C873" s="77"/>
      <c r="D873" s="79"/>
      <c r="E873" s="79"/>
      <c r="F873" s="93"/>
      <c r="G873" s="93"/>
      <c r="H873" s="103"/>
      <c r="I873" s="79"/>
      <c r="J873" s="100"/>
      <c r="K873" s="97" t="b">
        <f>IF(AND($M873=TRUE,$N873=TRUE),VLOOKUP($E873,RH!$B$47:$S$67,MONTH($G873)+6,FALSE))</f>
        <v>0</v>
      </c>
      <c r="L873" s="98">
        <f>IFERROR(IF(AND($M873=TRUE,$N873=TRUE),VLOOKUP($E873,RH!$B$47:$S$67,MONTH($G873)+6,FALSE)*$H873,0),0)</f>
        <v>0</v>
      </c>
      <c r="M873" s="99" t="b">
        <f t="shared" si="1"/>
        <v>0</v>
      </c>
      <c r="N873" s="99"/>
      <c r="O873" s="85"/>
      <c r="P873" s="68"/>
    </row>
    <row r="874" hidden="1">
      <c r="A874" s="68"/>
      <c r="B874" s="79"/>
      <c r="C874" s="77"/>
      <c r="D874" s="79"/>
      <c r="E874" s="79"/>
      <c r="F874" s="93"/>
      <c r="G874" s="93"/>
      <c r="H874" s="103"/>
      <c r="I874" s="79"/>
      <c r="J874" s="100"/>
      <c r="K874" s="97" t="b">
        <f>IF(AND($M874=TRUE,$N874=TRUE),VLOOKUP($E874,RH!$B$47:$S$67,MONTH($G874)+6,FALSE))</f>
        <v>0</v>
      </c>
      <c r="L874" s="98">
        <f>IFERROR(IF(AND($M874=TRUE,$N874=TRUE),VLOOKUP($E874,RH!$B$47:$S$67,MONTH($G874)+6,FALSE)*$H874,0),0)</f>
        <v>0</v>
      </c>
      <c r="M874" s="99" t="b">
        <f t="shared" si="1"/>
        <v>0</v>
      </c>
      <c r="N874" s="99"/>
      <c r="O874" s="85"/>
      <c r="P874" s="68"/>
    </row>
    <row r="875" hidden="1">
      <c r="A875" s="68"/>
      <c r="B875" s="79"/>
      <c r="C875" s="77"/>
      <c r="D875" s="79"/>
      <c r="E875" s="79"/>
      <c r="F875" s="93"/>
      <c r="G875" s="93"/>
      <c r="H875" s="103"/>
      <c r="I875" s="79"/>
      <c r="J875" s="100"/>
      <c r="K875" s="97" t="b">
        <f>IF(AND($M875=TRUE,$N875=TRUE),VLOOKUP($E875,RH!$B$47:$S$67,MONTH($G875)+6,FALSE))</f>
        <v>0</v>
      </c>
      <c r="L875" s="98">
        <f>IFERROR(IF(AND($M875=TRUE,$N875=TRUE),VLOOKUP($E875,RH!$B$47:$S$67,MONTH($G875)+6,FALSE)*$H875,0),0)</f>
        <v>0</v>
      </c>
      <c r="M875" s="99" t="b">
        <f t="shared" si="1"/>
        <v>0</v>
      </c>
      <c r="N875" s="99"/>
      <c r="O875" s="85"/>
      <c r="P875" s="68"/>
    </row>
    <row r="876" hidden="1">
      <c r="A876" s="68"/>
      <c r="B876" s="79"/>
      <c r="C876" s="77"/>
      <c r="D876" s="79"/>
      <c r="E876" s="79"/>
      <c r="F876" s="93"/>
      <c r="G876" s="93"/>
      <c r="H876" s="103"/>
      <c r="I876" s="79"/>
      <c r="J876" s="100"/>
      <c r="K876" s="97" t="b">
        <f>IF(AND($M876=TRUE,$N876=TRUE),VLOOKUP($E876,RH!$B$47:$S$67,MONTH($G876)+6,FALSE))</f>
        <v>0</v>
      </c>
      <c r="L876" s="98">
        <f>IFERROR(IF(AND($M876=TRUE,$N876=TRUE),VLOOKUP($E876,RH!$B$47:$S$67,MONTH($G876)+6,FALSE)*$H876,0),0)</f>
        <v>0</v>
      </c>
      <c r="M876" s="99" t="b">
        <f t="shared" si="1"/>
        <v>0</v>
      </c>
      <c r="N876" s="99"/>
      <c r="O876" s="85"/>
      <c r="P876" s="68"/>
    </row>
    <row r="877" hidden="1">
      <c r="A877" s="68"/>
      <c r="B877" s="79"/>
      <c r="C877" s="77"/>
      <c r="D877" s="79"/>
      <c r="E877" s="79"/>
      <c r="F877" s="93"/>
      <c r="G877" s="93"/>
      <c r="H877" s="103"/>
      <c r="I877" s="79"/>
      <c r="J877" s="100"/>
      <c r="K877" s="97" t="b">
        <f>IF(AND($M877=TRUE,$N877=TRUE),VLOOKUP($E877,RH!$B$47:$S$67,MONTH($G877)+6,FALSE))</f>
        <v>0</v>
      </c>
      <c r="L877" s="98">
        <f>IFERROR(IF(AND($M877=TRUE,$N877=TRUE),VLOOKUP($E877,RH!$B$47:$S$67,MONTH($G877)+6,FALSE)*$H877,0),0)</f>
        <v>0</v>
      </c>
      <c r="M877" s="99" t="b">
        <f t="shared" si="1"/>
        <v>0</v>
      </c>
      <c r="N877" s="99"/>
      <c r="O877" s="85"/>
      <c r="P877" s="68"/>
    </row>
    <row r="878" hidden="1">
      <c r="A878" s="68"/>
      <c r="B878" s="79"/>
      <c r="C878" s="77"/>
      <c r="D878" s="79"/>
      <c r="E878" s="79"/>
      <c r="F878" s="93"/>
      <c r="G878" s="93"/>
      <c r="H878" s="103"/>
      <c r="I878" s="79"/>
      <c r="J878" s="100"/>
      <c r="K878" s="97" t="b">
        <f>IF(AND($M878=TRUE,$N878=TRUE),VLOOKUP($E878,RH!$B$47:$S$67,MONTH($G878)+6,FALSE))</f>
        <v>0</v>
      </c>
      <c r="L878" s="98">
        <f>IFERROR(IF(AND($M878=TRUE,$N878=TRUE),VLOOKUP($E878,RH!$B$47:$S$67,MONTH($G878)+6,FALSE)*$H878,0),0)</f>
        <v>0</v>
      </c>
      <c r="M878" s="99" t="b">
        <f t="shared" si="1"/>
        <v>0</v>
      </c>
      <c r="N878" s="99"/>
      <c r="O878" s="85"/>
      <c r="P878" s="68"/>
    </row>
    <row r="879" hidden="1">
      <c r="A879" s="68"/>
      <c r="B879" s="79"/>
      <c r="C879" s="77"/>
      <c r="D879" s="79"/>
      <c r="E879" s="79"/>
      <c r="F879" s="93"/>
      <c r="G879" s="93"/>
      <c r="H879" s="103"/>
      <c r="I879" s="79"/>
      <c r="J879" s="100"/>
      <c r="K879" s="97" t="b">
        <f>IF(AND($M879=TRUE,$N879=TRUE),VLOOKUP($E879,RH!$B$47:$S$67,MONTH($G879)+6,FALSE))</f>
        <v>0</v>
      </c>
      <c r="L879" s="98">
        <f>IFERROR(IF(AND($M879=TRUE,$N879=TRUE),VLOOKUP($E879,RH!$B$47:$S$67,MONTH($G879)+6,FALSE)*$H879,0),0)</f>
        <v>0</v>
      </c>
      <c r="M879" s="99" t="b">
        <f t="shared" si="1"/>
        <v>0</v>
      </c>
      <c r="N879" s="99"/>
      <c r="O879" s="85"/>
      <c r="P879" s="68"/>
    </row>
    <row r="880" hidden="1">
      <c r="A880" s="68"/>
      <c r="B880" s="79"/>
      <c r="C880" s="77"/>
      <c r="D880" s="79"/>
      <c r="E880" s="79"/>
      <c r="F880" s="93"/>
      <c r="G880" s="93"/>
      <c r="H880" s="103"/>
      <c r="I880" s="79"/>
      <c r="J880" s="100"/>
      <c r="K880" s="97" t="b">
        <f>IF(AND($M880=TRUE,$N880=TRUE),VLOOKUP($E880,RH!$B$47:$S$67,MONTH($G880)+6,FALSE))</f>
        <v>0</v>
      </c>
      <c r="L880" s="98">
        <f>IFERROR(IF(AND($M880=TRUE,$N880=TRUE),VLOOKUP($E880,RH!$B$47:$S$67,MONTH($G880)+6,FALSE)*$H880,0),0)</f>
        <v>0</v>
      </c>
      <c r="M880" s="99" t="b">
        <f t="shared" si="1"/>
        <v>0</v>
      </c>
      <c r="N880" s="99"/>
      <c r="O880" s="85"/>
      <c r="P880" s="68"/>
    </row>
    <row r="881" hidden="1">
      <c r="A881" s="68"/>
      <c r="B881" s="79"/>
      <c r="C881" s="77"/>
      <c r="D881" s="79"/>
      <c r="E881" s="79"/>
      <c r="F881" s="93"/>
      <c r="G881" s="93"/>
      <c r="H881" s="103"/>
      <c r="I881" s="79"/>
      <c r="J881" s="100"/>
      <c r="K881" s="97" t="b">
        <f>IF(AND($M881=TRUE,$N881=TRUE),VLOOKUP($E881,RH!$B$47:$S$67,MONTH($G881)+6,FALSE))</f>
        <v>0</v>
      </c>
      <c r="L881" s="98">
        <f>IFERROR(IF(AND($M881=TRUE,$N881=TRUE),VLOOKUP($E881,RH!$B$47:$S$67,MONTH($G881)+6,FALSE)*$H881,0),0)</f>
        <v>0</v>
      </c>
      <c r="M881" s="99" t="b">
        <f t="shared" si="1"/>
        <v>0</v>
      </c>
      <c r="N881" s="99"/>
      <c r="O881" s="85"/>
      <c r="P881" s="68"/>
    </row>
    <row r="882" hidden="1">
      <c r="A882" s="68"/>
      <c r="B882" s="79"/>
      <c r="C882" s="77"/>
      <c r="D882" s="79"/>
      <c r="E882" s="79"/>
      <c r="F882" s="93"/>
      <c r="G882" s="93"/>
      <c r="H882" s="103"/>
      <c r="I882" s="79"/>
      <c r="J882" s="100"/>
      <c r="K882" s="97" t="b">
        <f>IF(AND($M882=TRUE,$N882=TRUE),VLOOKUP($E882,RH!$B$47:$S$67,MONTH($G882)+6,FALSE))</f>
        <v>0</v>
      </c>
      <c r="L882" s="98">
        <f>IFERROR(IF(AND($M882=TRUE,$N882=TRUE),VLOOKUP($E882,RH!$B$47:$S$67,MONTH($G882)+6,FALSE)*$H882,0),0)</f>
        <v>0</v>
      </c>
      <c r="M882" s="99" t="b">
        <f t="shared" si="1"/>
        <v>0</v>
      </c>
      <c r="N882" s="99"/>
      <c r="O882" s="85"/>
      <c r="P882" s="68"/>
    </row>
    <row r="883" hidden="1">
      <c r="A883" s="68"/>
      <c r="B883" s="79"/>
      <c r="C883" s="77"/>
      <c r="D883" s="79"/>
      <c r="E883" s="79"/>
      <c r="F883" s="93"/>
      <c r="G883" s="93"/>
      <c r="H883" s="103"/>
      <c r="I883" s="79"/>
      <c r="J883" s="100"/>
      <c r="K883" s="97" t="b">
        <f>IF(AND($M883=TRUE,$N883=TRUE),VLOOKUP($E883,RH!$B$47:$S$67,MONTH($G883)+6,FALSE))</f>
        <v>0</v>
      </c>
      <c r="L883" s="98">
        <f>IFERROR(IF(AND($M883=TRUE,$N883=TRUE),VLOOKUP($E883,RH!$B$47:$S$67,MONTH($G883)+6,FALSE)*$H883,0),0)</f>
        <v>0</v>
      </c>
      <c r="M883" s="99" t="b">
        <f t="shared" si="1"/>
        <v>0</v>
      </c>
      <c r="N883" s="99"/>
      <c r="O883" s="85"/>
      <c r="P883" s="68"/>
    </row>
    <row r="884" hidden="1">
      <c r="A884" s="68"/>
      <c r="B884" s="79"/>
      <c r="C884" s="77"/>
      <c r="D884" s="79"/>
      <c r="E884" s="79"/>
      <c r="F884" s="93"/>
      <c r="G884" s="93"/>
      <c r="H884" s="103"/>
      <c r="I884" s="79"/>
      <c r="J884" s="100"/>
      <c r="K884" s="97" t="b">
        <f>IF(AND($M884=TRUE,$N884=TRUE),VLOOKUP($E884,RH!$B$47:$S$67,MONTH($G884)+6,FALSE))</f>
        <v>0</v>
      </c>
      <c r="L884" s="98">
        <f>IFERROR(IF(AND($M884=TRUE,$N884=TRUE),VLOOKUP($E884,RH!$B$47:$S$67,MONTH($G884)+6,FALSE)*$H884,0),0)</f>
        <v>0</v>
      </c>
      <c r="M884" s="99" t="b">
        <f t="shared" si="1"/>
        <v>0</v>
      </c>
      <c r="N884" s="99"/>
      <c r="O884" s="85"/>
      <c r="P884" s="68"/>
    </row>
    <row r="885" hidden="1">
      <c r="A885" s="68"/>
      <c r="B885" s="79"/>
      <c r="C885" s="77"/>
      <c r="D885" s="79"/>
      <c r="E885" s="79"/>
      <c r="F885" s="93"/>
      <c r="G885" s="93"/>
      <c r="H885" s="103"/>
      <c r="I885" s="79"/>
      <c r="J885" s="100"/>
      <c r="K885" s="97" t="b">
        <f>IF(AND($M885=TRUE,$N885=TRUE),VLOOKUP($E885,RH!$B$47:$S$67,MONTH($G885)+6,FALSE))</f>
        <v>0</v>
      </c>
      <c r="L885" s="98">
        <f>IFERROR(IF(AND($M885=TRUE,$N885=TRUE),VLOOKUP($E885,RH!$B$47:$S$67,MONTH($G885)+6,FALSE)*$H885,0),0)</f>
        <v>0</v>
      </c>
      <c r="M885" s="99" t="b">
        <f t="shared" si="1"/>
        <v>0</v>
      </c>
      <c r="N885" s="99"/>
      <c r="O885" s="85"/>
      <c r="P885" s="68"/>
    </row>
    <row r="886" hidden="1">
      <c r="A886" s="68"/>
      <c r="B886" s="79"/>
      <c r="C886" s="77"/>
      <c r="D886" s="79"/>
      <c r="E886" s="79"/>
      <c r="F886" s="93"/>
      <c r="G886" s="93"/>
      <c r="H886" s="103"/>
      <c r="I886" s="79"/>
      <c r="J886" s="100"/>
      <c r="K886" s="97" t="b">
        <f>IF(AND($M886=TRUE,$N886=TRUE),VLOOKUP($E886,RH!$B$47:$S$67,MONTH($G886)+6,FALSE))</f>
        <v>0</v>
      </c>
      <c r="L886" s="98">
        <f>IFERROR(IF(AND($M886=TRUE,$N886=TRUE),VLOOKUP($E886,RH!$B$47:$S$67,MONTH($G886)+6,FALSE)*$H886,0),0)</f>
        <v>0</v>
      </c>
      <c r="M886" s="99" t="b">
        <f t="shared" si="1"/>
        <v>0</v>
      </c>
      <c r="N886" s="99"/>
      <c r="O886" s="85"/>
      <c r="P886" s="68"/>
    </row>
    <row r="887" hidden="1">
      <c r="A887" s="68"/>
      <c r="B887" s="79"/>
      <c r="C887" s="77"/>
      <c r="D887" s="79"/>
      <c r="E887" s="79"/>
      <c r="F887" s="93"/>
      <c r="G887" s="93"/>
      <c r="H887" s="103"/>
      <c r="I887" s="79"/>
      <c r="J887" s="100"/>
      <c r="K887" s="97" t="b">
        <f>IF(AND($M887=TRUE,$N887=TRUE),VLOOKUP($E887,RH!$B$47:$S$67,MONTH($G887)+6,FALSE))</f>
        <v>0</v>
      </c>
      <c r="L887" s="98">
        <f>IFERROR(IF(AND($M887=TRUE,$N887=TRUE),VLOOKUP($E887,RH!$B$47:$S$67,MONTH($G887)+6,FALSE)*$H887,0),0)</f>
        <v>0</v>
      </c>
      <c r="M887" s="99" t="b">
        <f t="shared" si="1"/>
        <v>0</v>
      </c>
      <c r="N887" s="99"/>
      <c r="O887" s="85"/>
      <c r="P887" s="68"/>
    </row>
    <row r="888" hidden="1">
      <c r="A888" s="68"/>
      <c r="B888" s="79"/>
      <c r="C888" s="77"/>
      <c r="D888" s="79"/>
      <c r="E888" s="79"/>
      <c r="F888" s="93"/>
      <c r="G888" s="93"/>
      <c r="H888" s="103"/>
      <c r="I888" s="79"/>
      <c r="J888" s="100"/>
      <c r="K888" s="97" t="b">
        <f>IF(AND($M888=TRUE,$N888=TRUE),VLOOKUP($E888,RH!$B$47:$S$67,MONTH($G888)+6,FALSE))</f>
        <v>0</v>
      </c>
      <c r="L888" s="98">
        <f>IFERROR(IF(AND($M888=TRUE,$N888=TRUE),VLOOKUP($E888,RH!$B$47:$S$67,MONTH($G888)+6,FALSE)*$H888,0),0)</f>
        <v>0</v>
      </c>
      <c r="M888" s="99" t="b">
        <f t="shared" si="1"/>
        <v>0</v>
      </c>
      <c r="N888" s="99"/>
      <c r="O888" s="85"/>
      <c r="P888" s="68"/>
    </row>
    <row r="889" hidden="1">
      <c r="A889" s="68"/>
      <c r="B889" s="79"/>
      <c r="C889" s="77"/>
      <c r="D889" s="79"/>
      <c r="E889" s="79"/>
      <c r="F889" s="93"/>
      <c r="G889" s="93"/>
      <c r="H889" s="103"/>
      <c r="I889" s="79"/>
      <c r="J889" s="100"/>
      <c r="K889" s="97" t="b">
        <f>IF(AND($M889=TRUE,$N889=TRUE),VLOOKUP($E889,RH!$B$47:$S$67,MONTH($G889)+6,FALSE))</f>
        <v>0</v>
      </c>
      <c r="L889" s="98">
        <f>IFERROR(IF(AND($M889=TRUE,$N889=TRUE),VLOOKUP($E889,RH!$B$47:$S$67,MONTH($G889)+6,FALSE)*$H889,0),0)</f>
        <v>0</v>
      </c>
      <c r="M889" s="99" t="b">
        <f t="shared" si="1"/>
        <v>0</v>
      </c>
      <c r="N889" s="99"/>
      <c r="O889" s="85"/>
      <c r="P889" s="68"/>
    </row>
    <row r="890" hidden="1">
      <c r="A890" s="68"/>
      <c r="B890" s="79"/>
      <c r="C890" s="77"/>
      <c r="D890" s="79"/>
      <c r="E890" s="79"/>
      <c r="F890" s="93"/>
      <c r="G890" s="93"/>
      <c r="H890" s="103"/>
      <c r="I890" s="79"/>
      <c r="J890" s="100"/>
      <c r="K890" s="97" t="b">
        <f>IF(AND($M890=TRUE,$N890=TRUE),VLOOKUP($E890,RH!$B$47:$S$67,MONTH($G890)+6,FALSE))</f>
        <v>0</v>
      </c>
      <c r="L890" s="98">
        <f>IFERROR(IF(AND($M890=TRUE,$N890=TRUE),VLOOKUP($E890,RH!$B$47:$S$67,MONTH($G890)+6,FALSE)*$H890,0),0)</f>
        <v>0</v>
      </c>
      <c r="M890" s="99" t="b">
        <f t="shared" si="1"/>
        <v>0</v>
      </c>
      <c r="N890" s="99"/>
      <c r="O890" s="85"/>
      <c r="P890" s="68"/>
    </row>
    <row r="891" hidden="1">
      <c r="A891" s="68"/>
      <c r="B891" s="79"/>
      <c r="C891" s="77"/>
      <c r="D891" s="79"/>
      <c r="E891" s="79"/>
      <c r="F891" s="93"/>
      <c r="G891" s="93"/>
      <c r="H891" s="103"/>
      <c r="I891" s="79"/>
      <c r="J891" s="100"/>
      <c r="K891" s="97" t="b">
        <f>IF(AND($M891=TRUE,$N891=TRUE),VLOOKUP($E891,RH!$B$47:$S$67,MONTH($G891)+6,FALSE))</f>
        <v>0</v>
      </c>
      <c r="L891" s="98">
        <f>IFERROR(IF(AND($M891=TRUE,$N891=TRUE),VLOOKUP($E891,RH!$B$47:$S$67,MONTH($G891)+6,FALSE)*$H891,0),0)</f>
        <v>0</v>
      </c>
      <c r="M891" s="99" t="b">
        <f t="shared" si="1"/>
        <v>0</v>
      </c>
      <c r="N891" s="99"/>
      <c r="O891" s="85"/>
      <c r="P891" s="68"/>
    </row>
    <row r="892" hidden="1">
      <c r="A892" s="68"/>
      <c r="B892" s="79"/>
      <c r="C892" s="77"/>
      <c r="D892" s="79"/>
      <c r="E892" s="79"/>
      <c r="F892" s="93"/>
      <c r="G892" s="93"/>
      <c r="H892" s="103"/>
      <c r="I892" s="79"/>
      <c r="J892" s="100"/>
      <c r="K892" s="97" t="b">
        <f>IF(AND($M892=TRUE,$N892=TRUE),VLOOKUP($E892,RH!$B$47:$S$67,MONTH($G892)+6,FALSE))</f>
        <v>0</v>
      </c>
      <c r="L892" s="98">
        <f>IFERROR(IF(AND($M892=TRUE,$N892=TRUE),VLOOKUP($E892,RH!$B$47:$S$67,MONTH($G892)+6,FALSE)*$H892,0),0)</f>
        <v>0</v>
      </c>
      <c r="M892" s="99" t="b">
        <f t="shared" si="1"/>
        <v>0</v>
      </c>
      <c r="N892" s="99"/>
      <c r="O892" s="85"/>
      <c r="P892" s="68"/>
    </row>
    <row r="893" hidden="1">
      <c r="A893" s="68"/>
      <c r="B893" s="79"/>
      <c r="C893" s="77"/>
      <c r="D893" s="79"/>
      <c r="E893" s="79"/>
      <c r="F893" s="93"/>
      <c r="G893" s="93"/>
      <c r="H893" s="103"/>
      <c r="I893" s="79"/>
      <c r="J893" s="100"/>
      <c r="K893" s="97" t="b">
        <f>IF(AND($M893=TRUE,$N893=TRUE),VLOOKUP($E893,RH!$B$47:$S$67,MONTH($G893)+6,FALSE))</f>
        <v>0</v>
      </c>
      <c r="L893" s="98">
        <f>IFERROR(IF(AND($M893=TRUE,$N893=TRUE),VLOOKUP($E893,RH!$B$47:$S$67,MONTH($G893)+6,FALSE)*$H893,0),0)</f>
        <v>0</v>
      </c>
      <c r="M893" s="99" t="b">
        <f t="shared" si="1"/>
        <v>0</v>
      </c>
      <c r="N893" s="99"/>
      <c r="O893" s="85"/>
      <c r="P893" s="68"/>
    </row>
    <row r="894" hidden="1">
      <c r="A894" s="68"/>
      <c r="B894" s="79"/>
      <c r="C894" s="77"/>
      <c r="D894" s="79"/>
      <c r="E894" s="79"/>
      <c r="F894" s="93"/>
      <c r="G894" s="93"/>
      <c r="H894" s="103"/>
      <c r="I894" s="79"/>
      <c r="J894" s="100"/>
      <c r="K894" s="97" t="b">
        <f>IF(AND($M894=TRUE,$N894=TRUE),VLOOKUP($E894,RH!$B$47:$S$67,MONTH($G894)+6,FALSE))</f>
        <v>0</v>
      </c>
      <c r="L894" s="98">
        <f>IFERROR(IF(AND($M894=TRUE,$N894=TRUE),VLOOKUP($E894,RH!$B$47:$S$67,MONTH($G894)+6,FALSE)*$H894,0),0)</f>
        <v>0</v>
      </c>
      <c r="M894" s="99" t="b">
        <f t="shared" si="1"/>
        <v>0</v>
      </c>
      <c r="N894" s="99"/>
      <c r="O894" s="85"/>
      <c r="P894" s="68"/>
    </row>
    <row r="895" hidden="1">
      <c r="A895" s="68"/>
      <c r="B895" s="79"/>
      <c r="C895" s="77"/>
      <c r="D895" s="79"/>
      <c r="E895" s="79"/>
      <c r="F895" s="93"/>
      <c r="G895" s="93"/>
      <c r="H895" s="103"/>
      <c r="I895" s="79"/>
      <c r="J895" s="100"/>
      <c r="K895" s="97" t="b">
        <f>IF(AND($M895=TRUE,$N895=TRUE),VLOOKUP($E895,RH!$B$47:$S$67,MONTH($G895)+6,FALSE))</f>
        <v>0</v>
      </c>
      <c r="L895" s="98">
        <f>IFERROR(IF(AND($M895=TRUE,$N895=TRUE),VLOOKUP($E895,RH!$B$47:$S$67,MONTH($G895)+6,FALSE)*$H895,0),0)</f>
        <v>0</v>
      </c>
      <c r="M895" s="99" t="b">
        <f t="shared" si="1"/>
        <v>0</v>
      </c>
      <c r="N895" s="99"/>
      <c r="O895" s="85"/>
      <c r="P895" s="68"/>
    </row>
    <row r="896" hidden="1">
      <c r="A896" s="68"/>
      <c r="B896" s="79"/>
      <c r="C896" s="77"/>
      <c r="D896" s="79"/>
      <c r="E896" s="79"/>
      <c r="F896" s="93"/>
      <c r="G896" s="93"/>
      <c r="H896" s="103"/>
      <c r="I896" s="79"/>
      <c r="J896" s="100"/>
      <c r="K896" s="97" t="b">
        <f>IF(AND($M896=TRUE,$N896=TRUE),VLOOKUP($E896,RH!$B$47:$S$67,MONTH($G896)+6,FALSE))</f>
        <v>0</v>
      </c>
      <c r="L896" s="98">
        <f>IFERROR(IF(AND($M896=TRUE,$N896=TRUE),VLOOKUP($E896,RH!$B$47:$S$67,MONTH($G896)+6,FALSE)*$H896,0),0)</f>
        <v>0</v>
      </c>
      <c r="M896" s="99" t="b">
        <f t="shared" si="1"/>
        <v>0</v>
      </c>
      <c r="N896" s="99"/>
      <c r="O896" s="85"/>
      <c r="P896" s="68"/>
    </row>
    <row r="897" hidden="1">
      <c r="A897" s="68"/>
      <c r="B897" s="79"/>
      <c r="C897" s="77"/>
      <c r="D897" s="79"/>
      <c r="E897" s="79"/>
      <c r="F897" s="93"/>
      <c r="G897" s="93"/>
      <c r="H897" s="103"/>
      <c r="I897" s="79"/>
      <c r="J897" s="100"/>
      <c r="K897" s="97" t="b">
        <f>IF(AND($M897=TRUE,$N897=TRUE),VLOOKUP($E897,RH!$B$47:$S$67,MONTH($G897)+6,FALSE))</f>
        <v>0</v>
      </c>
      <c r="L897" s="98">
        <f>IFERROR(IF(AND($M897=TRUE,$N897=TRUE),VLOOKUP($E897,RH!$B$47:$S$67,MONTH($G897)+6,FALSE)*$H897,0),0)</f>
        <v>0</v>
      </c>
      <c r="M897" s="99" t="b">
        <f t="shared" si="1"/>
        <v>0</v>
      </c>
      <c r="N897" s="99"/>
      <c r="O897" s="85"/>
      <c r="P897" s="68"/>
    </row>
    <row r="898" hidden="1">
      <c r="A898" s="68"/>
      <c r="B898" s="79"/>
      <c r="C898" s="77"/>
      <c r="D898" s="79"/>
      <c r="E898" s="79"/>
      <c r="F898" s="93"/>
      <c r="G898" s="93"/>
      <c r="H898" s="103"/>
      <c r="I898" s="79"/>
      <c r="J898" s="100"/>
      <c r="K898" s="97" t="b">
        <f>IF(AND($M898=TRUE,$N898=TRUE),VLOOKUP($E898,RH!$B$47:$S$67,MONTH($G898)+6,FALSE))</f>
        <v>0</v>
      </c>
      <c r="L898" s="98">
        <f>IFERROR(IF(AND($M898=TRUE,$N898=TRUE),VLOOKUP($E898,RH!$B$47:$S$67,MONTH($G898)+6,FALSE)*$H898,0),0)</f>
        <v>0</v>
      </c>
      <c r="M898" s="99" t="b">
        <f t="shared" si="1"/>
        <v>0</v>
      </c>
      <c r="N898" s="99"/>
      <c r="O898" s="85"/>
      <c r="P898" s="68"/>
    </row>
    <row r="899" hidden="1">
      <c r="A899" s="68"/>
      <c r="B899" s="79"/>
      <c r="C899" s="77"/>
      <c r="D899" s="79"/>
      <c r="E899" s="79"/>
      <c r="F899" s="93"/>
      <c r="G899" s="93"/>
      <c r="H899" s="103"/>
      <c r="I899" s="79"/>
      <c r="J899" s="100"/>
      <c r="K899" s="97" t="b">
        <f>IF(AND($M899=TRUE,$N899=TRUE),VLOOKUP($E899,RH!$B$47:$S$67,MONTH($G899)+6,FALSE))</f>
        <v>0</v>
      </c>
      <c r="L899" s="98">
        <f>IFERROR(IF(AND($M899=TRUE,$N899=TRUE),VLOOKUP($E899,RH!$B$47:$S$67,MONTH($G899)+6,FALSE)*$H899,0),0)</f>
        <v>0</v>
      </c>
      <c r="M899" s="99" t="b">
        <f t="shared" si="1"/>
        <v>0</v>
      </c>
      <c r="N899" s="99"/>
      <c r="O899" s="85"/>
      <c r="P899" s="68"/>
    </row>
    <row r="900" hidden="1">
      <c r="A900" s="68"/>
      <c r="B900" s="79"/>
      <c r="C900" s="77"/>
      <c r="D900" s="79"/>
      <c r="E900" s="79"/>
      <c r="F900" s="93"/>
      <c r="G900" s="93"/>
      <c r="H900" s="103"/>
      <c r="I900" s="79"/>
      <c r="J900" s="100"/>
      <c r="K900" s="97" t="b">
        <f>IF(AND($M900=TRUE,$N900=TRUE),VLOOKUP($E900,RH!$B$47:$S$67,MONTH($G900)+6,FALSE))</f>
        <v>0</v>
      </c>
      <c r="L900" s="98">
        <f>IFERROR(IF(AND($M900=TRUE,$N900=TRUE),VLOOKUP($E900,RH!$B$47:$S$67,MONTH($G900)+6,FALSE)*$H900,0),0)</f>
        <v>0</v>
      </c>
      <c r="M900" s="99" t="b">
        <f t="shared" si="1"/>
        <v>0</v>
      </c>
      <c r="N900" s="99"/>
      <c r="O900" s="85"/>
      <c r="P900" s="68"/>
    </row>
    <row r="901" hidden="1">
      <c r="A901" s="68"/>
      <c r="B901" s="79"/>
      <c r="C901" s="77"/>
      <c r="D901" s="79"/>
      <c r="E901" s="79"/>
      <c r="F901" s="93"/>
      <c r="G901" s="93"/>
      <c r="H901" s="103"/>
      <c r="I901" s="79"/>
      <c r="J901" s="100"/>
      <c r="K901" s="97" t="b">
        <f>IF(AND($M901=TRUE,$N901=TRUE),VLOOKUP($E901,RH!$B$47:$S$67,MONTH($G901)+6,FALSE))</f>
        <v>0</v>
      </c>
      <c r="L901" s="98">
        <f>IFERROR(IF(AND($M901=TRUE,$N901=TRUE),VLOOKUP($E901,RH!$B$47:$S$67,MONTH($G901)+6,FALSE)*$H901,0),0)</f>
        <v>0</v>
      </c>
      <c r="M901" s="99" t="b">
        <f t="shared" si="1"/>
        <v>0</v>
      </c>
      <c r="N901" s="99"/>
      <c r="O901" s="85"/>
      <c r="P901" s="68"/>
    </row>
    <row r="902" hidden="1">
      <c r="A902" s="68"/>
      <c r="B902" s="79"/>
      <c r="C902" s="77"/>
      <c r="D902" s="79"/>
      <c r="E902" s="79"/>
      <c r="F902" s="93"/>
      <c r="G902" s="93"/>
      <c r="H902" s="103"/>
      <c r="I902" s="79"/>
      <c r="J902" s="100"/>
      <c r="K902" s="97" t="b">
        <f>IF(AND($M902=TRUE,$N902=TRUE),VLOOKUP($E902,RH!$B$47:$S$67,MONTH($G902)+6,FALSE))</f>
        <v>0</v>
      </c>
      <c r="L902" s="98">
        <f>IFERROR(IF(AND($M902=TRUE,$N902=TRUE),VLOOKUP($E902,RH!$B$47:$S$67,MONTH($G902)+6,FALSE)*$H902,0),0)</f>
        <v>0</v>
      </c>
      <c r="M902" s="99" t="b">
        <f t="shared" si="1"/>
        <v>0</v>
      </c>
      <c r="N902" s="99"/>
      <c r="O902" s="85"/>
      <c r="P902" s="68"/>
    </row>
    <row r="903" hidden="1">
      <c r="A903" s="68"/>
      <c r="B903" s="79"/>
      <c r="C903" s="77"/>
      <c r="D903" s="79"/>
      <c r="E903" s="79"/>
      <c r="F903" s="93"/>
      <c r="G903" s="93"/>
      <c r="H903" s="103"/>
      <c r="I903" s="79"/>
      <c r="J903" s="100"/>
      <c r="K903" s="97" t="b">
        <f>IF(AND($M903=TRUE,$N903=TRUE),VLOOKUP($E903,RH!$B$47:$S$67,MONTH($G903)+6,FALSE))</f>
        <v>0</v>
      </c>
      <c r="L903" s="98">
        <f>IFERROR(IF(AND($M903=TRUE,$N903=TRUE),VLOOKUP($E903,RH!$B$47:$S$67,MONTH($G903)+6,FALSE)*$H903,0),0)</f>
        <v>0</v>
      </c>
      <c r="M903" s="99" t="b">
        <f t="shared" si="1"/>
        <v>0</v>
      </c>
      <c r="N903" s="99"/>
      <c r="O903" s="85"/>
      <c r="P903" s="68"/>
    </row>
    <row r="904" hidden="1">
      <c r="A904" s="68"/>
      <c r="B904" s="79"/>
      <c r="C904" s="77"/>
      <c r="D904" s="79"/>
      <c r="E904" s="79"/>
      <c r="F904" s="93"/>
      <c r="G904" s="93"/>
      <c r="H904" s="103"/>
      <c r="I904" s="79"/>
      <c r="J904" s="100"/>
      <c r="K904" s="97" t="b">
        <f>IF(AND($M904=TRUE,$N904=TRUE),VLOOKUP($E904,RH!$B$47:$S$67,MONTH($G904)+6,FALSE))</f>
        <v>0</v>
      </c>
      <c r="L904" s="98">
        <f>IFERROR(IF(AND($M904=TRUE,$N904=TRUE),VLOOKUP($E904,RH!$B$47:$S$67,MONTH($G904)+6,FALSE)*$H904,0),0)</f>
        <v>0</v>
      </c>
      <c r="M904" s="99" t="b">
        <f t="shared" si="1"/>
        <v>0</v>
      </c>
      <c r="N904" s="99"/>
      <c r="O904" s="85"/>
      <c r="P904" s="68"/>
    </row>
    <row r="905" hidden="1">
      <c r="A905" s="68"/>
      <c r="B905" s="79"/>
      <c r="C905" s="77"/>
      <c r="D905" s="79"/>
      <c r="E905" s="79"/>
      <c r="F905" s="93"/>
      <c r="G905" s="93"/>
      <c r="H905" s="103"/>
      <c r="I905" s="79"/>
      <c r="J905" s="100"/>
      <c r="K905" s="97" t="b">
        <f>IF(AND($M905=TRUE,$N905=TRUE),VLOOKUP($E905,RH!$B$47:$S$67,MONTH($G905)+6,FALSE))</f>
        <v>0</v>
      </c>
      <c r="L905" s="98">
        <f>IFERROR(IF(AND($M905=TRUE,$N905=TRUE),VLOOKUP($E905,RH!$B$47:$S$67,MONTH($G905)+6,FALSE)*$H905,0),0)</f>
        <v>0</v>
      </c>
      <c r="M905" s="99" t="b">
        <f t="shared" si="1"/>
        <v>0</v>
      </c>
      <c r="N905" s="99"/>
      <c r="O905" s="85"/>
      <c r="P905" s="68"/>
    </row>
    <row r="906" hidden="1">
      <c r="A906" s="68"/>
      <c r="B906" s="79"/>
      <c r="C906" s="77"/>
      <c r="D906" s="79"/>
      <c r="E906" s="79"/>
      <c r="F906" s="93"/>
      <c r="G906" s="93"/>
      <c r="H906" s="103"/>
      <c r="I906" s="79"/>
      <c r="J906" s="100"/>
      <c r="K906" s="97" t="b">
        <f>IF(AND($M906=TRUE,$N906=TRUE),VLOOKUP($E906,RH!$B$47:$S$67,MONTH($G906)+6,FALSE))</f>
        <v>0</v>
      </c>
      <c r="L906" s="98">
        <f>IFERROR(IF(AND($M906=TRUE,$N906=TRUE),VLOOKUP($E906,RH!$B$47:$S$67,MONTH($G906)+6,FALSE)*$H906,0),0)</f>
        <v>0</v>
      </c>
      <c r="M906" s="99" t="b">
        <f t="shared" si="1"/>
        <v>0</v>
      </c>
      <c r="N906" s="99"/>
      <c r="O906" s="85"/>
      <c r="P906" s="68"/>
    </row>
    <row r="907" hidden="1">
      <c r="A907" s="68"/>
      <c r="B907" s="79"/>
      <c r="C907" s="77"/>
      <c r="D907" s="79"/>
      <c r="E907" s="79"/>
      <c r="F907" s="93"/>
      <c r="G907" s="93"/>
      <c r="H907" s="103"/>
      <c r="I907" s="79"/>
      <c r="J907" s="100"/>
      <c r="K907" s="97" t="b">
        <f>IF(AND($M907=TRUE,$N907=TRUE),VLOOKUP($E907,RH!$B$47:$S$67,MONTH($G907)+6,FALSE))</f>
        <v>0</v>
      </c>
      <c r="L907" s="98">
        <f>IFERROR(IF(AND($M907=TRUE,$N907=TRUE),VLOOKUP($E907,RH!$B$47:$S$67,MONTH($G907)+6,FALSE)*$H907,0),0)</f>
        <v>0</v>
      </c>
      <c r="M907" s="99" t="b">
        <f t="shared" si="1"/>
        <v>0</v>
      </c>
      <c r="N907" s="99"/>
      <c r="O907" s="85"/>
      <c r="P907" s="68"/>
    </row>
    <row r="908" hidden="1">
      <c r="A908" s="68"/>
      <c r="B908" s="79"/>
      <c r="C908" s="77"/>
      <c r="D908" s="79"/>
      <c r="E908" s="79"/>
      <c r="F908" s="93"/>
      <c r="G908" s="93"/>
      <c r="H908" s="103"/>
      <c r="I908" s="79"/>
      <c r="J908" s="100"/>
      <c r="K908" s="97" t="b">
        <f>IF(AND($M908=TRUE,$N908=TRUE),VLOOKUP($E908,RH!$B$47:$S$67,MONTH($G908)+6,FALSE))</f>
        <v>0</v>
      </c>
      <c r="L908" s="98">
        <f>IFERROR(IF(AND($M908=TRUE,$N908=TRUE),VLOOKUP($E908,RH!$B$47:$S$67,MONTH($G908)+6,FALSE)*$H908,0),0)</f>
        <v>0</v>
      </c>
      <c r="M908" s="99" t="b">
        <f t="shared" si="1"/>
        <v>0</v>
      </c>
      <c r="N908" s="99"/>
      <c r="O908" s="85"/>
      <c r="P908" s="68"/>
    </row>
    <row r="909" hidden="1">
      <c r="A909" s="68"/>
      <c r="B909" s="79"/>
      <c r="C909" s="77"/>
      <c r="D909" s="79"/>
      <c r="E909" s="79"/>
      <c r="F909" s="93"/>
      <c r="G909" s="93"/>
      <c r="H909" s="103"/>
      <c r="I909" s="79"/>
      <c r="J909" s="100"/>
      <c r="K909" s="97" t="b">
        <f>IF(AND($M909=TRUE,$N909=TRUE),VLOOKUP($E909,RH!$B$47:$S$67,MONTH($G909)+6,FALSE))</f>
        <v>0</v>
      </c>
      <c r="L909" s="98">
        <f>IFERROR(IF(AND($M909=TRUE,$N909=TRUE),VLOOKUP($E909,RH!$B$47:$S$67,MONTH($G909)+6,FALSE)*$H909,0),0)</f>
        <v>0</v>
      </c>
      <c r="M909" s="99" t="b">
        <f t="shared" si="1"/>
        <v>0</v>
      </c>
      <c r="N909" s="99"/>
      <c r="O909" s="85"/>
      <c r="P909" s="68"/>
    </row>
    <row r="910" hidden="1">
      <c r="A910" s="68"/>
      <c r="B910" s="79"/>
      <c r="C910" s="77"/>
      <c r="D910" s="79"/>
      <c r="E910" s="79"/>
      <c r="F910" s="93"/>
      <c r="G910" s="93"/>
      <c r="H910" s="103"/>
      <c r="I910" s="79"/>
      <c r="J910" s="100"/>
      <c r="K910" s="97" t="b">
        <f>IF(AND($M910=TRUE,$N910=TRUE),VLOOKUP($E910,RH!$B$47:$S$67,MONTH($G910)+6,FALSE))</f>
        <v>0</v>
      </c>
      <c r="L910" s="98">
        <f>IFERROR(IF(AND($M910=TRUE,$N910=TRUE),VLOOKUP($E910,RH!$B$47:$S$67,MONTH($G910)+6,FALSE)*$H910,0),0)</f>
        <v>0</v>
      </c>
      <c r="M910" s="99" t="b">
        <f t="shared" si="1"/>
        <v>0</v>
      </c>
      <c r="N910" s="99"/>
      <c r="O910" s="85"/>
      <c r="P910" s="68"/>
    </row>
    <row r="911" hidden="1">
      <c r="A911" s="68"/>
      <c r="B911" s="79"/>
      <c r="C911" s="77"/>
      <c r="D911" s="79"/>
      <c r="E911" s="79"/>
      <c r="F911" s="93"/>
      <c r="G911" s="93"/>
      <c r="H911" s="103"/>
      <c r="I911" s="79"/>
      <c r="J911" s="100"/>
      <c r="K911" s="97" t="b">
        <f>IF(AND($M911=TRUE,$N911=TRUE),VLOOKUP($E911,RH!$B$47:$S$67,MONTH($G911)+6,FALSE))</f>
        <v>0</v>
      </c>
      <c r="L911" s="98">
        <f>IFERROR(IF(AND($M911=TRUE,$N911=TRUE),VLOOKUP($E911,RH!$B$47:$S$67,MONTH($G911)+6,FALSE)*$H911,0),0)</f>
        <v>0</v>
      </c>
      <c r="M911" s="99" t="b">
        <f t="shared" si="1"/>
        <v>0</v>
      </c>
      <c r="N911" s="99"/>
      <c r="O911" s="85"/>
      <c r="P911" s="68"/>
    </row>
    <row r="912" hidden="1">
      <c r="A912" s="68"/>
      <c r="B912" s="79"/>
      <c r="C912" s="77"/>
      <c r="D912" s="79"/>
      <c r="E912" s="79"/>
      <c r="F912" s="93"/>
      <c r="G912" s="93"/>
      <c r="H912" s="103"/>
      <c r="I912" s="79"/>
      <c r="J912" s="100"/>
      <c r="K912" s="97" t="b">
        <f>IF(AND($M912=TRUE,$N912=TRUE),VLOOKUP($E912,RH!$B$47:$S$67,MONTH($G912)+6,FALSE))</f>
        <v>0</v>
      </c>
      <c r="L912" s="98">
        <f>IFERROR(IF(AND($M912=TRUE,$N912=TRUE),VLOOKUP($E912,RH!$B$47:$S$67,MONTH($G912)+6,FALSE)*$H912,0),0)</f>
        <v>0</v>
      </c>
      <c r="M912" s="99" t="b">
        <f t="shared" si="1"/>
        <v>0</v>
      </c>
      <c r="N912" s="99"/>
      <c r="O912" s="85"/>
      <c r="P912" s="68"/>
    </row>
    <row r="913" hidden="1">
      <c r="A913" s="68"/>
      <c r="B913" s="79"/>
      <c r="C913" s="77"/>
      <c r="D913" s="79"/>
      <c r="E913" s="79"/>
      <c r="F913" s="93"/>
      <c r="G913" s="93"/>
      <c r="H913" s="103"/>
      <c r="I913" s="79"/>
      <c r="J913" s="100"/>
      <c r="K913" s="97" t="b">
        <f>IF(AND($M913=TRUE,$N913=TRUE),VLOOKUP($E913,RH!$B$47:$S$67,MONTH($G913)+6,FALSE))</f>
        <v>0</v>
      </c>
      <c r="L913" s="98">
        <f>IFERROR(IF(AND($M913=TRUE,$N913=TRUE),VLOOKUP($E913,RH!$B$47:$S$67,MONTH($G913)+6,FALSE)*$H913,0),0)</f>
        <v>0</v>
      </c>
      <c r="M913" s="99" t="b">
        <f t="shared" si="1"/>
        <v>0</v>
      </c>
      <c r="N913" s="99"/>
      <c r="O913" s="85"/>
      <c r="P913" s="68"/>
    </row>
    <row r="914" hidden="1">
      <c r="A914" s="68"/>
      <c r="B914" s="79"/>
      <c r="C914" s="77"/>
      <c r="D914" s="79"/>
      <c r="E914" s="79"/>
      <c r="F914" s="93"/>
      <c r="G914" s="93"/>
      <c r="H914" s="103"/>
      <c r="I914" s="79"/>
      <c r="J914" s="100"/>
      <c r="K914" s="97" t="b">
        <f>IF(AND($M914=TRUE,$N914=TRUE),VLOOKUP($E914,RH!$B$47:$S$67,MONTH($G914)+6,FALSE))</f>
        <v>0</v>
      </c>
      <c r="L914" s="98">
        <f>IFERROR(IF(AND($M914=TRUE,$N914=TRUE),VLOOKUP($E914,RH!$B$47:$S$67,MONTH($G914)+6,FALSE)*$H914,0),0)</f>
        <v>0</v>
      </c>
      <c r="M914" s="99" t="b">
        <f t="shared" si="1"/>
        <v>0</v>
      </c>
      <c r="N914" s="99"/>
      <c r="O914" s="85"/>
      <c r="P914" s="68"/>
    </row>
    <row r="915" hidden="1">
      <c r="A915" s="68"/>
      <c r="B915" s="79"/>
      <c r="C915" s="77"/>
      <c r="D915" s="79"/>
      <c r="E915" s="79"/>
      <c r="F915" s="93"/>
      <c r="G915" s="93"/>
      <c r="H915" s="103"/>
      <c r="I915" s="79"/>
      <c r="J915" s="100"/>
      <c r="K915" s="97" t="b">
        <f>IF(AND($M915=TRUE,$N915=TRUE),VLOOKUP($E915,RH!$B$47:$S$67,MONTH($G915)+6,FALSE))</f>
        <v>0</v>
      </c>
      <c r="L915" s="98">
        <f>IFERROR(IF(AND($M915=TRUE,$N915=TRUE),VLOOKUP($E915,RH!$B$47:$S$67,MONTH($G915)+6,FALSE)*$H915,0),0)</f>
        <v>0</v>
      </c>
      <c r="M915" s="99" t="b">
        <f t="shared" si="1"/>
        <v>0</v>
      </c>
      <c r="N915" s="99"/>
      <c r="O915" s="85"/>
      <c r="P915" s="68"/>
    </row>
    <row r="916" hidden="1">
      <c r="A916" s="68"/>
      <c r="B916" s="79"/>
      <c r="C916" s="77"/>
      <c r="D916" s="79"/>
      <c r="E916" s="79"/>
      <c r="F916" s="93"/>
      <c r="G916" s="93"/>
      <c r="H916" s="103"/>
      <c r="I916" s="79"/>
      <c r="J916" s="100"/>
      <c r="K916" s="97" t="b">
        <f>IF(AND($M916=TRUE,$N916=TRUE),VLOOKUP($E916,RH!$B$47:$S$67,MONTH($G916)+6,FALSE))</f>
        <v>0</v>
      </c>
      <c r="L916" s="98">
        <f>IFERROR(IF(AND($M916=TRUE,$N916=TRUE),VLOOKUP($E916,RH!$B$47:$S$67,MONTH($G916)+6,FALSE)*$H916,0),0)</f>
        <v>0</v>
      </c>
      <c r="M916" s="99" t="b">
        <f t="shared" si="1"/>
        <v>0</v>
      </c>
      <c r="N916" s="99"/>
      <c r="O916" s="85"/>
      <c r="P916" s="68"/>
    </row>
    <row r="917" hidden="1">
      <c r="A917" s="68"/>
      <c r="B917" s="79"/>
      <c r="C917" s="77"/>
      <c r="D917" s="79"/>
      <c r="E917" s="79"/>
      <c r="F917" s="93"/>
      <c r="G917" s="93"/>
      <c r="H917" s="103"/>
      <c r="I917" s="79"/>
      <c r="J917" s="100"/>
      <c r="K917" s="97" t="b">
        <f>IF(AND($M917=TRUE,$N917=TRUE),VLOOKUP($E917,RH!$B$47:$S$67,MONTH($G917)+6,FALSE))</f>
        <v>0</v>
      </c>
      <c r="L917" s="98">
        <f>IFERROR(IF(AND($M917=TRUE,$N917=TRUE),VLOOKUP($E917,RH!$B$47:$S$67,MONTH($G917)+6,FALSE)*$H917,0),0)</f>
        <v>0</v>
      </c>
      <c r="M917" s="99" t="b">
        <f t="shared" si="1"/>
        <v>0</v>
      </c>
      <c r="N917" s="99"/>
      <c r="O917" s="85"/>
      <c r="P917" s="68"/>
    </row>
    <row r="918" hidden="1">
      <c r="A918" s="68"/>
      <c r="B918" s="79"/>
      <c r="C918" s="77"/>
      <c r="D918" s="79"/>
      <c r="E918" s="79"/>
      <c r="F918" s="93"/>
      <c r="G918" s="93"/>
      <c r="H918" s="103"/>
      <c r="I918" s="79"/>
      <c r="J918" s="100"/>
      <c r="K918" s="97" t="b">
        <f>IF(AND($M918=TRUE,$N918=TRUE),VLOOKUP($E918,RH!$B$47:$S$67,MONTH($G918)+6,FALSE))</f>
        <v>0</v>
      </c>
      <c r="L918" s="98">
        <f>IFERROR(IF(AND($M918=TRUE,$N918=TRUE),VLOOKUP($E918,RH!$B$47:$S$67,MONTH($G918)+6,FALSE)*$H918,0),0)</f>
        <v>0</v>
      </c>
      <c r="M918" s="99" t="b">
        <f t="shared" si="1"/>
        <v>0</v>
      </c>
      <c r="N918" s="99"/>
      <c r="O918" s="85"/>
      <c r="P918" s="68"/>
    </row>
    <row r="919" hidden="1">
      <c r="A919" s="68"/>
      <c r="B919" s="79"/>
      <c r="C919" s="77"/>
      <c r="D919" s="79"/>
      <c r="E919" s="79"/>
      <c r="F919" s="93"/>
      <c r="G919" s="93"/>
      <c r="H919" s="103"/>
      <c r="I919" s="79"/>
      <c r="J919" s="100"/>
      <c r="K919" s="97" t="b">
        <f>IF(AND($M919=TRUE,$N919=TRUE),VLOOKUP($E919,RH!$B$47:$S$67,MONTH($G919)+6,FALSE))</f>
        <v>0</v>
      </c>
      <c r="L919" s="98">
        <f>IFERROR(IF(AND($M919=TRUE,$N919=TRUE),VLOOKUP($E919,RH!$B$47:$S$67,MONTH($G919)+6,FALSE)*$H919,0),0)</f>
        <v>0</v>
      </c>
      <c r="M919" s="99" t="b">
        <f t="shared" si="1"/>
        <v>0</v>
      </c>
      <c r="N919" s="99"/>
      <c r="O919" s="85"/>
      <c r="P919" s="68"/>
    </row>
    <row r="920" hidden="1">
      <c r="A920" s="68"/>
      <c r="B920" s="79"/>
      <c r="C920" s="77"/>
      <c r="D920" s="79"/>
      <c r="E920" s="79"/>
      <c r="F920" s="93"/>
      <c r="G920" s="93"/>
      <c r="H920" s="103"/>
      <c r="I920" s="79"/>
      <c r="J920" s="100"/>
      <c r="K920" s="97" t="b">
        <f>IF(AND($M920=TRUE,$N920=TRUE),VLOOKUP($E920,RH!$B$47:$S$67,MONTH($G920)+6,FALSE))</f>
        <v>0</v>
      </c>
      <c r="L920" s="98">
        <f>IFERROR(IF(AND($M920=TRUE,$N920=TRUE),VLOOKUP($E920,RH!$B$47:$S$67,MONTH($G920)+6,FALSE)*$H920,0),0)</f>
        <v>0</v>
      </c>
      <c r="M920" s="99" t="b">
        <f t="shared" si="1"/>
        <v>0</v>
      </c>
      <c r="N920" s="99"/>
      <c r="O920" s="85"/>
      <c r="P920" s="68"/>
    </row>
    <row r="921" hidden="1">
      <c r="A921" s="68"/>
      <c r="B921" s="79"/>
      <c r="C921" s="77"/>
      <c r="D921" s="79"/>
      <c r="E921" s="79"/>
      <c r="F921" s="93"/>
      <c r="G921" s="93"/>
      <c r="H921" s="103"/>
      <c r="I921" s="79"/>
      <c r="J921" s="100"/>
      <c r="K921" s="97" t="b">
        <f>IF(AND($M921=TRUE,$N921=TRUE),VLOOKUP($E921,RH!$B$47:$S$67,MONTH($G921)+6,FALSE))</f>
        <v>0</v>
      </c>
      <c r="L921" s="98">
        <f>IFERROR(IF(AND($M921=TRUE,$N921=TRUE),VLOOKUP($E921,RH!$B$47:$S$67,MONTH($G921)+6,FALSE)*$H921,0),0)</f>
        <v>0</v>
      </c>
      <c r="M921" s="99" t="b">
        <f t="shared" si="1"/>
        <v>0</v>
      </c>
      <c r="N921" s="99"/>
      <c r="O921" s="85"/>
      <c r="P921" s="68"/>
    </row>
    <row r="922" hidden="1">
      <c r="A922" s="68"/>
      <c r="B922" s="79"/>
      <c r="C922" s="77"/>
      <c r="D922" s="79"/>
      <c r="E922" s="79"/>
      <c r="F922" s="93"/>
      <c r="G922" s="93"/>
      <c r="H922" s="103"/>
      <c r="I922" s="79"/>
      <c r="J922" s="100"/>
      <c r="K922" s="97" t="b">
        <f>IF(AND($M922=TRUE,$N922=TRUE),VLOOKUP($E922,RH!$B$47:$S$67,MONTH($G922)+6,FALSE))</f>
        <v>0</v>
      </c>
      <c r="L922" s="98">
        <f>IFERROR(IF(AND($M922=TRUE,$N922=TRUE),VLOOKUP($E922,RH!$B$47:$S$67,MONTH($G922)+6,FALSE)*$H922,0),0)</f>
        <v>0</v>
      </c>
      <c r="M922" s="99" t="b">
        <f t="shared" si="1"/>
        <v>0</v>
      </c>
      <c r="N922" s="99"/>
      <c r="O922" s="85"/>
      <c r="P922" s="68"/>
    </row>
    <row r="923" hidden="1">
      <c r="A923" s="68"/>
      <c r="B923" s="79"/>
      <c r="C923" s="77"/>
      <c r="D923" s="79"/>
      <c r="E923" s="79"/>
      <c r="F923" s="93"/>
      <c r="G923" s="93"/>
      <c r="H923" s="103"/>
      <c r="I923" s="79"/>
      <c r="J923" s="100"/>
      <c r="K923" s="97" t="b">
        <f>IF(AND($M923=TRUE,$N923=TRUE),VLOOKUP($E923,RH!$B$47:$S$67,MONTH($G923)+6,FALSE))</f>
        <v>0</v>
      </c>
      <c r="L923" s="98">
        <f>IFERROR(IF(AND($M923=TRUE,$N923=TRUE),VLOOKUP($E923,RH!$B$47:$S$67,MONTH($G923)+6,FALSE)*$H923,0),0)</f>
        <v>0</v>
      </c>
      <c r="M923" s="99" t="b">
        <f t="shared" si="1"/>
        <v>0</v>
      </c>
      <c r="N923" s="99"/>
      <c r="O923" s="85"/>
      <c r="P923" s="68"/>
    </row>
    <row r="924" hidden="1">
      <c r="A924" s="68"/>
      <c r="B924" s="79"/>
      <c r="C924" s="77"/>
      <c r="D924" s="79"/>
      <c r="E924" s="79"/>
      <c r="F924" s="93"/>
      <c r="G924" s="93"/>
      <c r="H924" s="103"/>
      <c r="I924" s="79"/>
      <c r="J924" s="100"/>
      <c r="K924" s="97" t="b">
        <f>IF(AND($M924=TRUE,$N924=TRUE),VLOOKUP($E924,RH!$B$47:$S$67,MONTH($G924)+6,FALSE))</f>
        <v>0</v>
      </c>
      <c r="L924" s="98">
        <f>IFERROR(IF(AND($M924=TRUE,$N924=TRUE),VLOOKUP($E924,RH!$B$47:$S$67,MONTH($G924)+6,FALSE)*$H924,0),0)</f>
        <v>0</v>
      </c>
      <c r="M924" s="99" t="b">
        <f t="shared" si="1"/>
        <v>0</v>
      </c>
      <c r="N924" s="99"/>
      <c r="O924" s="85"/>
      <c r="P924" s="68"/>
    </row>
    <row r="925" hidden="1">
      <c r="A925" s="68"/>
      <c r="B925" s="79"/>
      <c r="C925" s="77"/>
      <c r="D925" s="79"/>
      <c r="E925" s="79"/>
      <c r="F925" s="93"/>
      <c r="G925" s="93"/>
      <c r="H925" s="103"/>
      <c r="I925" s="79"/>
      <c r="J925" s="100"/>
      <c r="K925" s="97" t="b">
        <f>IF(AND($M925=TRUE,$N925=TRUE),VLOOKUP($E925,RH!$B$47:$S$67,MONTH($G925)+6,FALSE))</f>
        <v>0</v>
      </c>
      <c r="L925" s="98">
        <f>IFERROR(IF(AND($M925=TRUE,$N925=TRUE),VLOOKUP($E925,RH!$B$47:$S$67,MONTH($G925)+6,FALSE)*$H925,0),0)</f>
        <v>0</v>
      </c>
      <c r="M925" s="99" t="b">
        <f t="shared" si="1"/>
        <v>0</v>
      </c>
      <c r="N925" s="99"/>
      <c r="O925" s="85"/>
      <c r="P925" s="68"/>
    </row>
    <row r="926" hidden="1">
      <c r="A926" s="68"/>
      <c r="B926" s="79"/>
      <c r="C926" s="77"/>
      <c r="D926" s="79"/>
      <c r="E926" s="79"/>
      <c r="F926" s="93"/>
      <c r="G926" s="93"/>
      <c r="H926" s="103"/>
      <c r="I926" s="79"/>
      <c r="J926" s="100"/>
      <c r="K926" s="97" t="b">
        <f>IF(AND($M926=TRUE,$N926=TRUE),VLOOKUP($E926,RH!$B$47:$S$67,MONTH($G926)+6,FALSE))</f>
        <v>0</v>
      </c>
      <c r="L926" s="98">
        <f>IFERROR(IF(AND($M926=TRUE,$N926=TRUE),VLOOKUP($E926,RH!$B$47:$S$67,MONTH($G926)+6,FALSE)*$H926,0),0)</f>
        <v>0</v>
      </c>
      <c r="M926" s="99" t="b">
        <f t="shared" si="1"/>
        <v>0</v>
      </c>
      <c r="N926" s="99"/>
      <c r="O926" s="85"/>
      <c r="P926" s="68"/>
    </row>
    <row r="927" hidden="1">
      <c r="A927" s="68"/>
      <c r="B927" s="79"/>
      <c r="C927" s="77"/>
      <c r="D927" s="79"/>
      <c r="E927" s="79"/>
      <c r="F927" s="93"/>
      <c r="G927" s="93"/>
      <c r="H927" s="103"/>
      <c r="I927" s="79"/>
      <c r="J927" s="100"/>
      <c r="K927" s="97" t="b">
        <f>IF(AND($M927=TRUE,$N927=TRUE),VLOOKUP($E927,RH!$B$47:$S$67,MONTH($G927)+6,FALSE))</f>
        <v>0</v>
      </c>
      <c r="L927" s="98">
        <f>IFERROR(IF(AND($M927=TRUE,$N927=TRUE),VLOOKUP($E927,RH!$B$47:$S$67,MONTH($G927)+6,FALSE)*$H927,0),0)</f>
        <v>0</v>
      </c>
      <c r="M927" s="99" t="b">
        <f t="shared" si="1"/>
        <v>0</v>
      </c>
      <c r="N927" s="99"/>
      <c r="O927" s="85"/>
      <c r="P927" s="68"/>
    </row>
    <row r="928" hidden="1">
      <c r="A928" s="68"/>
      <c r="B928" s="79"/>
      <c r="C928" s="77"/>
      <c r="D928" s="79"/>
      <c r="E928" s="79"/>
      <c r="F928" s="93"/>
      <c r="G928" s="93"/>
      <c r="H928" s="103"/>
      <c r="I928" s="79"/>
      <c r="J928" s="100"/>
      <c r="K928" s="97" t="b">
        <f>IF(AND($M928=TRUE,$N928=TRUE),VLOOKUP($E928,RH!$B$47:$S$67,MONTH($G928)+6,FALSE))</f>
        <v>0</v>
      </c>
      <c r="L928" s="98">
        <f>IFERROR(IF(AND($M928=TRUE,$N928=TRUE),VLOOKUP($E928,RH!$B$47:$S$67,MONTH($G928)+6,FALSE)*$H928,0),0)</f>
        <v>0</v>
      </c>
      <c r="M928" s="99" t="b">
        <f t="shared" si="1"/>
        <v>0</v>
      </c>
      <c r="N928" s="99"/>
      <c r="O928" s="85"/>
      <c r="P928" s="68"/>
    </row>
    <row r="929" hidden="1">
      <c r="A929" s="68"/>
      <c r="B929" s="79"/>
      <c r="C929" s="77"/>
      <c r="D929" s="79"/>
      <c r="E929" s="79"/>
      <c r="F929" s="93"/>
      <c r="G929" s="93"/>
      <c r="H929" s="103"/>
      <c r="I929" s="79"/>
      <c r="J929" s="100"/>
      <c r="K929" s="97" t="b">
        <f>IF(AND($M929=TRUE,$N929=TRUE),VLOOKUP($E929,RH!$B$47:$S$67,MONTH($G929)+6,FALSE))</f>
        <v>0</v>
      </c>
      <c r="L929" s="98">
        <f>IFERROR(IF(AND($M929=TRUE,$N929=TRUE),VLOOKUP($E929,RH!$B$47:$S$67,MONTH($G929)+6,FALSE)*$H929,0),0)</f>
        <v>0</v>
      </c>
      <c r="M929" s="99" t="b">
        <f t="shared" si="1"/>
        <v>0</v>
      </c>
      <c r="N929" s="99"/>
      <c r="O929" s="85"/>
      <c r="P929" s="68"/>
    </row>
    <row r="930" hidden="1">
      <c r="A930" s="68"/>
      <c r="B930" s="79"/>
      <c r="C930" s="77"/>
      <c r="D930" s="79"/>
      <c r="E930" s="79"/>
      <c r="F930" s="93"/>
      <c r="G930" s="93"/>
      <c r="H930" s="103"/>
      <c r="I930" s="79"/>
      <c r="J930" s="100"/>
      <c r="K930" s="97" t="b">
        <f>IF(AND($M930=TRUE,$N930=TRUE),VLOOKUP($E930,RH!$B$47:$S$67,MONTH($G930)+6,FALSE))</f>
        <v>0</v>
      </c>
      <c r="L930" s="98">
        <f>IFERROR(IF(AND($M930=TRUE,$N930=TRUE),VLOOKUP($E930,RH!$B$47:$S$67,MONTH($G930)+6,FALSE)*$H930,0),0)</f>
        <v>0</v>
      </c>
      <c r="M930" s="99" t="b">
        <f t="shared" si="1"/>
        <v>0</v>
      </c>
      <c r="N930" s="99"/>
      <c r="O930" s="85"/>
      <c r="P930" s="68"/>
    </row>
    <row r="931" hidden="1">
      <c r="A931" s="68"/>
      <c r="B931" s="79"/>
      <c r="C931" s="77"/>
      <c r="D931" s="79"/>
      <c r="E931" s="79"/>
      <c r="F931" s="93"/>
      <c r="G931" s="93"/>
      <c r="H931" s="103"/>
      <c r="I931" s="79"/>
      <c r="J931" s="100"/>
      <c r="K931" s="97" t="b">
        <f>IF(AND($M931=TRUE,$N931=TRUE),VLOOKUP($E931,RH!$B$47:$S$67,MONTH($G931)+6,FALSE))</f>
        <v>0</v>
      </c>
      <c r="L931" s="98">
        <f>IFERROR(IF(AND($M931=TRUE,$N931=TRUE),VLOOKUP($E931,RH!$B$47:$S$67,MONTH($G931)+6,FALSE)*$H931,0),0)</f>
        <v>0</v>
      </c>
      <c r="M931" s="99" t="b">
        <f t="shared" si="1"/>
        <v>0</v>
      </c>
      <c r="N931" s="99"/>
      <c r="O931" s="85"/>
      <c r="P931" s="68"/>
    </row>
    <row r="932" hidden="1">
      <c r="A932" s="68"/>
      <c r="B932" s="79"/>
      <c r="C932" s="77"/>
      <c r="D932" s="79"/>
      <c r="E932" s="79"/>
      <c r="F932" s="93"/>
      <c r="G932" s="93"/>
      <c r="H932" s="103"/>
      <c r="I932" s="79"/>
      <c r="J932" s="100"/>
      <c r="K932" s="97" t="b">
        <f>IF(AND($M932=TRUE,$N932=TRUE),VLOOKUP($E932,RH!$B$47:$S$67,MONTH($G932)+6,FALSE))</f>
        <v>0</v>
      </c>
      <c r="L932" s="98">
        <f>IFERROR(IF(AND($M932=TRUE,$N932=TRUE),VLOOKUP($E932,RH!$B$47:$S$67,MONTH($G932)+6,FALSE)*$H932,0),0)</f>
        <v>0</v>
      </c>
      <c r="M932" s="99" t="b">
        <f t="shared" si="1"/>
        <v>0</v>
      </c>
      <c r="N932" s="99"/>
      <c r="O932" s="85"/>
      <c r="P932" s="68"/>
    </row>
    <row r="933" hidden="1">
      <c r="A933" s="68"/>
      <c r="B933" s="79"/>
      <c r="C933" s="77"/>
      <c r="D933" s="79"/>
      <c r="E933" s="79"/>
      <c r="F933" s="93"/>
      <c r="G933" s="93"/>
      <c r="H933" s="103"/>
      <c r="I933" s="79"/>
      <c r="J933" s="100"/>
      <c r="K933" s="97" t="b">
        <f>IF(AND($M933=TRUE,$N933=TRUE),VLOOKUP($E933,RH!$B$47:$S$67,MONTH($G933)+6,FALSE))</f>
        <v>0</v>
      </c>
      <c r="L933" s="98">
        <f>IFERROR(IF(AND($M933=TRUE,$N933=TRUE),VLOOKUP($E933,RH!$B$47:$S$67,MONTH($G933)+6,FALSE)*$H933,0),0)</f>
        <v>0</v>
      </c>
      <c r="M933" s="99" t="b">
        <f t="shared" si="1"/>
        <v>0</v>
      </c>
      <c r="N933" s="99"/>
      <c r="O933" s="85"/>
      <c r="P933" s="68"/>
    </row>
    <row r="934" hidden="1">
      <c r="A934" s="68"/>
      <c r="B934" s="79"/>
      <c r="C934" s="77"/>
      <c r="D934" s="79"/>
      <c r="E934" s="79"/>
      <c r="F934" s="93"/>
      <c r="G934" s="93"/>
      <c r="H934" s="103"/>
      <c r="I934" s="79"/>
      <c r="J934" s="100"/>
      <c r="K934" s="97" t="b">
        <f>IF(AND($M934=TRUE,$N934=TRUE),VLOOKUP($E934,RH!$B$47:$S$67,MONTH($G934)+6,FALSE))</f>
        <v>0</v>
      </c>
      <c r="L934" s="98">
        <f>IFERROR(IF(AND($M934=TRUE,$N934=TRUE),VLOOKUP($E934,RH!$B$47:$S$67,MONTH($G934)+6,FALSE)*$H934,0),0)</f>
        <v>0</v>
      </c>
      <c r="M934" s="99" t="b">
        <f t="shared" si="1"/>
        <v>0</v>
      </c>
      <c r="N934" s="99"/>
      <c r="O934" s="85"/>
      <c r="P934" s="68"/>
    </row>
    <row r="935" hidden="1">
      <c r="A935" s="68"/>
      <c r="B935" s="79"/>
      <c r="C935" s="77"/>
      <c r="D935" s="79"/>
      <c r="E935" s="79"/>
      <c r="F935" s="93"/>
      <c r="G935" s="93"/>
      <c r="H935" s="103"/>
      <c r="I935" s="79"/>
      <c r="J935" s="100"/>
      <c r="K935" s="97" t="b">
        <f>IF(AND($M935=TRUE,$N935=TRUE),VLOOKUP($E935,RH!$B$47:$S$67,MONTH($G935)+6,FALSE))</f>
        <v>0</v>
      </c>
      <c r="L935" s="98">
        <f>IFERROR(IF(AND($M935=TRUE,$N935=TRUE),VLOOKUP($E935,RH!$B$47:$S$67,MONTH($G935)+6,FALSE)*$H935,0),0)</f>
        <v>0</v>
      </c>
      <c r="M935" s="99" t="b">
        <f t="shared" si="1"/>
        <v>0</v>
      </c>
      <c r="N935" s="99"/>
      <c r="O935" s="85"/>
      <c r="P935" s="68"/>
    </row>
    <row r="936" hidden="1">
      <c r="A936" s="68"/>
      <c r="B936" s="79"/>
      <c r="C936" s="77"/>
      <c r="D936" s="79"/>
      <c r="E936" s="79"/>
      <c r="F936" s="93"/>
      <c r="G936" s="93"/>
      <c r="H936" s="103"/>
      <c r="I936" s="79"/>
      <c r="J936" s="100"/>
      <c r="K936" s="97" t="b">
        <f>IF(AND($M936=TRUE,$N936=TRUE),VLOOKUP($E936,RH!$B$47:$S$67,MONTH($G936)+6,FALSE))</f>
        <v>0</v>
      </c>
      <c r="L936" s="98">
        <f>IFERROR(IF(AND($M936=TRUE,$N936=TRUE),VLOOKUP($E936,RH!$B$47:$S$67,MONTH($G936)+6,FALSE)*$H936,0),0)</f>
        <v>0</v>
      </c>
      <c r="M936" s="99" t="b">
        <f t="shared" si="1"/>
        <v>0</v>
      </c>
      <c r="N936" s="99"/>
      <c r="O936" s="85"/>
      <c r="P936" s="68"/>
    </row>
    <row r="937" hidden="1">
      <c r="A937" s="68"/>
      <c r="B937" s="79"/>
      <c r="C937" s="77"/>
      <c r="D937" s="79"/>
      <c r="E937" s="79"/>
      <c r="F937" s="93"/>
      <c r="G937" s="93"/>
      <c r="H937" s="103"/>
      <c r="I937" s="79"/>
      <c r="J937" s="100"/>
      <c r="K937" s="97" t="b">
        <f>IF(AND($M937=TRUE,$N937=TRUE),VLOOKUP($E937,RH!$B$47:$S$67,MONTH($G937)+6,FALSE))</f>
        <v>0</v>
      </c>
      <c r="L937" s="98">
        <f>IFERROR(IF(AND($M937=TRUE,$N937=TRUE),VLOOKUP($E937,RH!$B$47:$S$67,MONTH($G937)+6,FALSE)*$H937,0),0)</f>
        <v>0</v>
      </c>
      <c r="M937" s="99" t="b">
        <f t="shared" si="1"/>
        <v>0</v>
      </c>
      <c r="N937" s="99"/>
      <c r="O937" s="85"/>
      <c r="P937" s="68"/>
    </row>
    <row r="938" hidden="1">
      <c r="A938" s="68"/>
      <c r="B938" s="79"/>
      <c r="C938" s="77"/>
      <c r="D938" s="79"/>
      <c r="E938" s="79"/>
      <c r="F938" s="93"/>
      <c r="G938" s="93"/>
      <c r="H938" s="103"/>
      <c r="I938" s="79"/>
      <c r="J938" s="100"/>
      <c r="K938" s="97" t="b">
        <f>IF(AND($M938=TRUE,$N938=TRUE),VLOOKUP($E938,RH!$B$47:$S$67,MONTH($G938)+6,FALSE))</f>
        <v>0</v>
      </c>
      <c r="L938" s="98">
        <f>IFERROR(IF(AND($M938=TRUE,$N938=TRUE),VLOOKUP($E938,RH!$B$47:$S$67,MONTH($G938)+6,FALSE)*$H938,0),0)</f>
        <v>0</v>
      </c>
      <c r="M938" s="99" t="b">
        <f t="shared" si="1"/>
        <v>0</v>
      </c>
      <c r="N938" s="99"/>
      <c r="O938" s="85"/>
      <c r="P938" s="68"/>
    </row>
    <row r="939" hidden="1">
      <c r="A939" s="68"/>
      <c r="B939" s="79"/>
      <c r="C939" s="77"/>
      <c r="D939" s="79"/>
      <c r="E939" s="79"/>
      <c r="F939" s="93"/>
      <c r="G939" s="93"/>
      <c r="H939" s="103"/>
      <c r="I939" s="79"/>
      <c r="J939" s="100"/>
      <c r="K939" s="97" t="b">
        <f>IF(AND($M939=TRUE,$N939=TRUE),VLOOKUP($E939,RH!$B$47:$S$67,MONTH($G939)+6,FALSE))</f>
        <v>0</v>
      </c>
      <c r="L939" s="98">
        <f>IFERROR(IF(AND($M939=TRUE,$N939=TRUE),VLOOKUP($E939,RH!$B$47:$S$67,MONTH($G939)+6,FALSE)*$H939,0),0)</f>
        <v>0</v>
      </c>
      <c r="M939" s="99" t="b">
        <f t="shared" si="1"/>
        <v>0</v>
      </c>
      <c r="N939" s="99"/>
      <c r="O939" s="85"/>
      <c r="P939" s="68"/>
    </row>
    <row r="940" hidden="1">
      <c r="A940" s="68"/>
      <c r="B940" s="79"/>
      <c r="C940" s="77"/>
      <c r="D940" s="79"/>
      <c r="E940" s="79"/>
      <c r="F940" s="93"/>
      <c r="G940" s="93"/>
      <c r="H940" s="103"/>
      <c r="I940" s="79"/>
      <c r="J940" s="100"/>
      <c r="K940" s="97" t="b">
        <f>IF(AND($M940=TRUE,$N940=TRUE),VLOOKUP($E940,RH!$B$47:$S$67,MONTH($G940)+6,FALSE))</f>
        <v>0</v>
      </c>
      <c r="L940" s="98">
        <f>IFERROR(IF(AND($M940=TRUE,$N940=TRUE),VLOOKUP($E940,RH!$B$47:$S$67,MONTH($G940)+6,FALSE)*$H940,0),0)</f>
        <v>0</v>
      </c>
      <c r="M940" s="99" t="b">
        <f t="shared" si="1"/>
        <v>0</v>
      </c>
      <c r="N940" s="99"/>
      <c r="O940" s="85"/>
      <c r="P940" s="68"/>
    </row>
    <row r="941" hidden="1">
      <c r="A941" s="68"/>
      <c r="B941" s="79"/>
      <c r="C941" s="77"/>
      <c r="D941" s="79"/>
      <c r="E941" s="79"/>
      <c r="F941" s="93"/>
      <c r="G941" s="93"/>
      <c r="H941" s="103"/>
      <c r="I941" s="79"/>
      <c r="J941" s="100"/>
      <c r="K941" s="97" t="b">
        <f>IF(AND($M941=TRUE,$N941=TRUE),VLOOKUP($E941,RH!$B$47:$S$67,MONTH($G941)+6,FALSE))</f>
        <v>0</v>
      </c>
      <c r="L941" s="98">
        <f>IFERROR(IF(AND($M941=TRUE,$N941=TRUE),VLOOKUP($E941,RH!$B$47:$S$67,MONTH($G941)+6,FALSE)*$H941,0),0)</f>
        <v>0</v>
      </c>
      <c r="M941" s="99" t="b">
        <f t="shared" si="1"/>
        <v>0</v>
      </c>
      <c r="N941" s="99"/>
      <c r="O941" s="85"/>
      <c r="P941" s="68"/>
    </row>
    <row r="942" hidden="1">
      <c r="A942" s="68"/>
      <c r="B942" s="79"/>
      <c r="C942" s="77"/>
      <c r="D942" s="79"/>
      <c r="E942" s="79"/>
      <c r="F942" s="93"/>
      <c r="G942" s="93"/>
      <c r="H942" s="103"/>
      <c r="I942" s="79"/>
      <c r="J942" s="100"/>
      <c r="K942" s="97" t="b">
        <f>IF(AND($M942=TRUE,$N942=TRUE),VLOOKUP($E942,RH!$B$47:$S$67,MONTH($G942)+6,FALSE))</f>
        <v>0</v>
      </c>
      <c r="L942" s="98">
        <f>IFERROR(IF(AND($M942=TRUE,$N942=TRUE),VLOOKUP($E942,RH!$B$47:$S$67,MONTH($G942)+6,FALSE)*$H942,0),0)</f>
        <v>0</v>
      </c>
      <c r="M942" s="99" t="b">
        <f t="shared" si="1"/>
        <v>0</v>
      </c>
      <c r="N942" s="99"/>
      <c r="O942" s="85"/>
      <c r="P942" s="68"/>
    </row>
    <row r="943" hidden="1">
      <c r="A943" s="68"/>
      <c r="B943" s="79"/>
      <c r="C943" s="77"/>
      <c r="D943" s="79"/>
      <c r="E943" s="79"/>
      <c r="F943" s="93"/>
      <c r="G943" s="93"/>
      <c r="H943" s="103"/>
      <c r="I943" s="79"/>
      <c r="J943" s="100"/>
      <c r="K943" s="97" t="b">
        <f>IF(AND($M943=TRUE,$N943=TRUE),VLOOKUP($E943,RH!$B$47:$S$67,MONTH($G943)+6,FALSE))</f>
        <v>0</v>
      </c>
      <c r="L943" s="98">
        <f>IFERROR(IF(AND($M943=TRUE,$N943=TRUE),VLOOKUP($E943,RH!$B$47:$S$67,MONTH($G943)+6,FALSE)*$H943,0),0)</f>
        <v>0</v>
      </c>
      <c r="M943" s="99" t="b">
        <f t="shared" si="1"/>
        <v>0</v>
      </c>
      <c r="N943" s="99"/>
      <c r="O943" s="85"/>
      <c r="P943" s="68"/>
    </row>
    <row r="944" hidden="1">
      <c r="A944" s="68"/>
      <c r="B944" s="79"/>
      <c r="C944" s="77"/>
      <c r="D944" s="79"/>
      <c r="E944" s="79"/>
      <c r="F944" s="93"/>
      <c r="G944" s="93"/>
      <c r="H944" s="103"/>
      <c r="I944" s="79"/>
      <c r="J944" s="100"/>
      <c r="K944" s="97" t="b">
        <f>IF(AND($M944=TRUE,$N944=TRUE),VLOOKUP($E944,RH!$B$47:$S$67,MONTH($G944)+6,FALSE))</f>
        <v>0</v>
      </c>
      <c r="L944" s="98">
        <f>IFERROR(IF(AND($M944=TRUE,$N944=TRUE),VLOOKUP($E944,RH!$B$47:$S$67,MONTH($G944)+6,FALSE)*$H944,0),0)</f>
        <v>0</v>
      </c>
      <c r="M944" s="99" t="b">
        <f t="shared" si="1"/>
        <v>0</v>
      </c>
      <c r="N944" s="99"/>
      <c r="O944" s="85"/>
      <c r="P944" s="68"/>
    </row>
    <row r="945" hidden="1">
      <c r="A945" s="68"/>
      <c r="B945" s="79"/>
      <c r="C945" s="77"/>
      <c r="D945" s="79"/>
      <c r="E945" s="79"/>
      <c r="F945" s="93"/>
      <c r="G945" s="93"/>
      <c r="H945" s="103"/>
      <c r="I945" s="79"/>
      <c r="J945" s="100"/>
      <c r="K945" s="97" t="b">
        <f>IF(AND($M945=TRUE,$N945=TRUE),VLOOKUP($E945,RH!$B$47:$S$67,MONTH($G945)+6,FALSE))</f>
        <v>0</v>
      </c>
      <c r="L945" s="98">
        <f>IFERROR(IF(AND($M945=TRUE,$N945=TRUE),VLOOKUP($E945,RH!$B$47:$S$67,MONTH($G945)+6,FALSE)*$H945,0),0)</f>
        <v>0</v>
      </c>
      <c r="M945" s="99" t="b">
        <f t="shared" si="1"/>
        <v>0</v>
      </c>
      <c r="N945" s="99"/>
      <c r="O945" s="85"/>
      <c r="P945" s="68"/>
    </row>
    <row r="946" hidden="1">
      <c r="A946" s="68"/>
      <c r="B946" s="79"/>
      <c r="C946" s="77"/>
      <c r="D946" s="79"/>
      <c r="E946" s="79"/>
      <c r="F946" s="93"/>
      <c r="G946" s="93"/>
      <c r="H946" s="103"/>
      <c r="I946" s="79"/>
      <c r="J946" s="100"/>
      <c r="K946" s="97" t="b">
        <f>IF(AND($M946=TRUE,$N946=TRUE),VLOOKUP($E946,RH!$B$47:$S$67,MONTH($G946)+6,FALSE))</f>
        <v>0</v>
      </c>
      <c r="L946" s="98">
        <f>IFERROR(IF(AND($M946=TRUE,$N946=TRUE),VLOOKUP($E946,RH!$B$47:$S$67,MONTH($G946)+6,FALSE)*$H946,0),0)</f>
        <v>0</v>
      </c>
      <c r="M946" s="99" t="b">
        <f t="shared" si="1"/>
        <v>0</v>
      </c>
      <c r="N946" s="99"/>
      <c r="O946" s="85"/>
      <c r="P946" s="68"/>
    </row>
    <row r="947" hidden="1">
      <c r="A947" s="68"/>
      <c r="B947" s="79"/>
      <c r="C947" s="77"/>
      <c r="D947" s="79"/>
      <c r="E947" s="79"/>
      <c r="F947" s="93"/>
      <c r="G947" s="93"/>
      <c r="H947" s="103"/>
      <c r="I947" s="79"/>
      <c r="J947" s="100"/>
      <c r="K947" s="97" t="b">
        <f>IF(AND($M947=TRUE,$N947=TRUE),VLOOKUP($E947,RH!$B$47:$S$67,MONTH($G947)+6,FALSE))</f>
        <v>0</v>
      </c>
      <c r="L947" s="98">
        <f>IFERROR(IF(AND($M947=TRUE,$N947=TRUE),VLOOKUP($E947,RH!$B$47:$S$67,MONTH($G947)+6,FALSE)*$H947,0),0)</f>
        <v>0</v>
      </c>
      <c r="M947" s="99" t="b">
        <f t="shared" si="1"/>
        <v>0</v>
      </c>
      <c r="N947" s="99"/>
      <c r="O947" s="85"/>
      <c r="P947" s="68"/>
    </row>
    <row r="948" hidden="1">
      <c r="A948" s="68"/>
      <c r="B948" s="79"/>
      <c r="C948" s="77"/>
      <c r="D948" s="79"/>
      <c r="E948" s="79"/>
      <c r="F948" s="93"/>
      <c r="G948" s="93"/>
      <c r="H948" s="103"/>
      <c r="I948" s="79"/>
      <c r="J948" s="100"/>
      <c r="K948" s="97" t="b">
        <f>IF(AND($M948=TRUE,$N948=TRUE),VLOOKUP($E948,RH!$B$47:$S$67,MONTH($G948)+6,FALSE))</f>
        <v>0</v>
      </c>
      <c r="L948" s="98">
        <f>IFERROR(IF(AND($M948=TRUE,$N948=TRUE),VLOOKUP($E948,RH!$B$47:$S$67,MONTH($G948)+6,FALSE)*$H948,0),0)</f>
        <v>0</v>
      </c>
      <c r="M948" s="99" t="b">
        <f t="shared" si="1"/>
        <v>0</v>
      </c>
      <c r="N948" s="99"/>
      <c r="O948" s="85"/>
      <c r="P948" s="68"/>
    </row>
    <row r="949" hidden="1">
      <c r="A949" s="68"/>
      <c r="B949" s="79"/>
      <c r="C949" s="77"/>
      <c r="D949" s="79"/>
      <c r="E949" s="79"/>
      <c r="F949" s="93"/>
      <c r="G949" s="93"/>
      <c r="H949" s="103"/>
      <c r="I949" s="79"/>
      <c r="J949" s="100"/>
      <c r="K949" s="97" t="b">
        <f>IF(AND($M949=TRUE,$N949=TRUE),VLOOKUP($E949,RH!$B$47:$S$67,MONTH($G949)+6,FALSE))</f>
        <v>0</v>
      </c>
      <c r="L949" s="98">
        <f>IFERROR(IF(AND($M949=TRUE,$N949=TRUE),VLOOKUP($E949,RH!$B$47:$S$67,MONTH($G949)+6,FALSE)*$H949,0),0)</f>
        <v>0</v>
      </c>
      <c r="M949" s="99" t="b">
        <f t="shared" si="1"/>
        <v>0</v>
      </c>
      <c r="N949" s="99"/>
      <c r="O949" s="85"/>
      <c r="P949" s="68"/>
    </row>
    <row r="950" hidden="1">
      <c r="A950" s="68"/>
      <c r="B950" s="79"/>
      <c r="C950" s="77"/>
      <c r="D950" s="79"/>
      <c r="E950" s="79"/>
      <c r="F950" s="93"/>
      <c r="G950" s="93"/>
      <c r="H950" s="103"/>
      <c r="I950" s="79"/>
      <c r="J950" s="100"/>
      <c r="K950" s="97" t="b">
        <f>IF(AND($M950=TRUE,$N950=TRUE),VLOOKUP($E950,RH!$B$47:$S$67,MONTH($G950)+6,FALSE))</f>
        <v>0</v>
      </c>
      <c r="L950" s="98">
        <f>IFERROR(IF(AND($M950=TRUE,$N950=TRUE),VLOOKUP($E950,RH!$B$47:$S$67,MONTH($G950)+6,FALSE)*$H950,0),0)</f>
        <v>0</v>
      </c>
      <c r="M950" s="99" t="b">
        <f t="shared" si="1"/>
        <v>0</v>
      </c>
      <c r="N950" s="99"/>
      <c r="O950" s="85"/>
      <c r="P950" s="68"/>
    </row>
    <row r="951" hidden="1">
      <c r="A951" s="68"/>
      <c r="B951" s="79"/>
      <c r="C951" s="77"/>
      <c r="D951" s="79"/>
      <c r="E951" s="79"/>
      <c r="F951" s="93"/>
      <c r="G951" s="93"/>
      <c r="H951" s="103"/>
      <c r="I951" s="79"/>
      <c r="J951" s="100"/>
      <c r="K951" s="97" t="b">
        <f>IF(AND($M951=TRUE,$N951=TRUE),VLOOKUP($E951,RH!$B$47:$S$67,MONTH($G951)+6,FALSE))</f>
        <v>0</v>
      </c>
      <c r="L951" s="98">
        <f>IFERROR(IF(AND($M951=TRUE,$N951=TRUE),VLOOKUP($E951,RH!$B$47:$S$67,MONTH($G951)+6,FALSE)*$H951,0),0)</f>
        <v>0</v>
      </c>
      <c r="M951" s="99" t="b">
        <f t="shared" si="1"/>
        <v>0</v>
      </c>
      <c r="N951" s="99"/>
      <c r="O951" s="85"/>
      <c r="P951" s="68"/>
    </row>
    <row r="952" hidden="1">
      <c r="A952" s="68"/>
      <c r="B952" s="79"/>
      <c r="C952" s="77"/>
      <c r="D952" s="79"/>
      <c r="E952" s="79"/>
      <c r="F952" s="93"/>
      <c r="G952" s="93"/>
      <c r="H952" s="103"/>
      <c r="I952" s="79"/>
      <c r="J952" s="100"/>
      <c r="K952" s="97" t="b">
        <f>IF(AND($M952=TRUE,$N952=TRUE),VLOOKUP($E952,RH!$B$47:$S$67,MONTH($G952)+6,FALSE))</f>
        <v>0</v>
      </c>
      <c r="L952" s="98">
        <f>IFERROR(IF(AND($M952=TRUE,$N952=TRUE),VLOOKUP($E952,RH!$B$47:$S$67,MONTH($G952)+6,FALSE)*$H952,0),0)</f>
        <v>0</v>
      </c>
      <c r="M952" s="99" t="b">
        <f t="shared" si="1"/>
        <v>0</v>
      </c>
      <c r="N952" s="99"/>
      <c r="O952" s="85"/>
      <c r="P952" s="68"/>
    </row>
    <row r="953" hidden="1">
      <c r="A953" s="68"/>
      <c r="B953" s="79"/>
      <c r="C953" s="77"/>
      <c r="D953" s="79"/>
      <c r="E953" s="79"/>
      <c r="F953" s="93"/>
      <c r="G953" s="93"/>
      <c r="H953" s="103"/>
      <c r="I953" s="79"/>
      <c r="J953" s="100"/>
      <c r="K953" s="97" t="b">
        <f>IF(AND($M953=TRUE,$N953=TRUE),VLOOKUP($E953,RH!$B$47:$S$67,MONTH($G953)+6,FALSE))</f>
        <v>0</v>
      </c>
      <c r="L953" s="98">
        <f>IFERROR(IF(AND($M953=TRUE,$N953=TRUE),VLOOKUP($E953,RH!$B$47:$S$67,MONTH($G953)+6,FALSE)*$H953,0),0)</f>
        <v>0</v>
      </c>
      <c r="M953" s="99" t="b">
        <f t="shared" si="1"/>
        <v>0</v>
      </c>
      <c r="N953" s="99"/>
      <c r="O953" s="85"/>
      <c r="P953" s="68"/>
    </row>
    <row r="954" hidden="1">
      <c r="A954" s="68"/>
      <c r="B954" s="79"/>
      <c r="C954" s="77"/>
      <c r="D954" s="79"/>
      <c r="E954" s="79"/>
      <c r="F954" s="93"/>
      <c r="G954" s="93"/>
      <c r="H954" s="103"/>
      <c r="I954" s="79"/>
      <c r="J954" s="100"/>
      <c r="K954" s="97" t="b">
        <f>IF(AND($M954=TRUE,$N954=TRUE),VLOOKUP($E954,RH!$B$47:$S$67,MONTH($G954)+6,FALSE))</f>
        <v>0</v>
      </c>
      <c r="L954" s="98">
        <f>IFERROR(IF(AND($M954=TRUE,$N954=TRUE),VLOOKUP($E954,RH!$B$47:$S$67,MONTH($G954)+6,FALSE)*$H954,0),0)</f>
        <v>0</v>
      </c>
      <c r="M954" s="99" t="b">
        <f t="shared" si="1"/>
        <v>0</v>
      </c>
      <c r="N954" s="99"/>
      <c r="O954" s="85"/>
      <c r="P954" s="68"/>
    </row>
    <row r="955" hidden="1">
      <c r="A955" s="68"/>
      <c r="B955" s="79"/>
      <c r="C955" s="77"/>
      <c r="D955" s="79"/>
      <c r="E955" s="79"/>
      <c r="F955" s="93"/>
      <c r="G955" s="93"/>
      <c r="H955" s="103"/>
      <c r="I955" s="79"/>
      <c r="J955" s="100"/>
      <c r="K955" s="97" t="b">
        <f>IF(AND($M955=TRUE,$N955=TRUE),VLOOKUP($E955,RH!$B$47:$S$67,MONTH($G955)+6,FALSE))</f>
        <v>0</v>
      </c>
      <c r="L955" s="98">
        <f>IFERROR(IF(AND($M955=TRUE,$N955=TRUE),VLOOKUP($E955,RH!$B$47:$S$67,MONTH($G955)+6,FALSE)*$H955,0),0)</f>
        <v>0</v>
      </c>
      <c r="M955" s="99" t="b">
        <f t="shared" si="1"/>
        <v>0</v>
      </c>
      <c r="N955" s="99"/>
      <c r="O955" s="85"/>
      <c r="P955" s="68"/>
    </row>
    <row r="956" hidden="1">
      <c r="A956" s="68"/>
      <c r="B956" s="79"/>
      <c r="C956" s="77"/>
      <c r="D956" s="79"/>
      <c r="E956" s="79"/>
      <c r="F956" s="93"/>
      <c r="G956" s="93"/>
      <c r="H956" s="103"/>
      <c r="I956" s="79"/>
      <c r="J956" s="100"/>
      <c r="K956" s="97" t="b">
        <f>IF(AND($M956=TRUE,$N956=TRUE),VLOOKUP($E956,RH!$B$47:$S$67,MONTH($G956)+6,FALSE))</f>
        <v>0</v>
      </c>
      <c r="L956" s="98">
        <f>IFERROR(IF(AND($M956=TRUE,$N956=TRUE),VLOOKUP($E956,RH!$B$47:$S$67,MONTH($G956)+6,FALSE)*$H956,0),0)</f>
        <v>0</v>
      </c>
      <c r="M956" s="99" t="b">
        <f t="shared" si="1"/>
        <v>0</v>
      </c>
      <c r="N956" s="99"/>
      <c r="O956" s="85"/>
      <c r="P956" s="68"/>
    </row>
    <row r="957" hidden="1">
      <c r="A957" s="68"/>
      <c r="B957" s="79"/>
      <c r="C957" s="77"/>
      <c r="D957" s="79"/>
      <c r="E957" s="79"/>
      <c r="F957" s="93"/>
      <c r="G957" s="93"/>
      <c r="H957" s="103"/>
      <c r="I957" s="79"/>
      <c r="J957" s="100"/>
      <c r="K957" s="97" t="b">
        <f>IF(AND($M957=TRUE,$N957=TRUE),VLOOKUP($E957,RH!$B$47:$S$67,MONTH($G957)+6,FALSE))</f>
        <v>0</v>
      </c>
      <c r="L957" s="98">
        <f>IFERROR(IF(AND($M957=TRUE,$N957=TRUE),VLOOKUP($E957,RH!$B$47:$S$67,MONTH($G957)+6,FALSE)*$H957,0),0)</f>
        <v>0</v>
      </c>
      <c r="M957" s="99" t="b">
        <f t="shared" si="1"/>
        <v>0</v>
      </c>
      <c r="N957" s="99"/>
      <c r="O957" s="85"/>
      <c r="P957" s="68"/>
    </row>
    <row r="958" hidden="1">
      <c r="A958" s="68"/>
      <c r="B958" s="79"/>
      <c r="C958" s="77"/>
      <c r="D958" s="79"/>
      <c r="E958" s="79"/>
      <c r="F958" s="93"/>
      <c r="G958" s="93"/>
      <c r="H958" s="103"/>
      <c r="I958" s="79"/>
      <c r="J958" s="100"/>
      <c r="K958" s="97" t="b">
        <f>IF(AND($M958=TRUE,$N958=TRUE),VLOOKUP($E958,RH!$B$47:$S$67,MONTH($G958)+6,FALSE))</f>
        <v>0</v>
      </c>
      <c r="L958" s="98">
        <f>IFERROR(IF(AND($M958=TRUE,$N958=TRUE),VLOOKUP($E958,RH!$B$47:$S$67,MONTH($G958)+6,FALSE)*$H958,0),0)</f>
        <v>0</v>
      </c>
      <c r="M958" s="99" t="b">
        <f t="shared" si="1"/>
        <v>0</v>
      </c>
      <c r="N958" s="99"/>
      <c r="O958" s="85"/>
      <c r="P958" s="68"/>
    </row>
    <row r="959" hidden="1">
      <c r="A959" s="68"/>
      <c r="B959" s="79"/>
      <c r="C959" s="77"/>
      <c r="D959" s="79"/>
      <c r="E959" s="79"/>
      <c r="F959" s="93"/>
      <c r="G959" s="93"/>
      <c r="H959" s="103"/>
      <c r="I959" s="79"/>
      <c r="J959" s="100"/>
      <c r="K959" s="97" t="b">
        <f>IF(AND($M959=TRUE,$N959=TRUE),VLOOKUP($E959,RH!$B$47:$S$67,MONTH($G959)+6,FALSE))</f>
        <v>0</v>
      </c>
      <c r="L959" s="98">
        <f>IFERROR(IF(AND($M959=TRUE,$N959=TRUE),VLOOKUP($E959,RH!$B$47:$S$67,MONTH($G959)+6,FALSE)*$H959,0),0)</f>
        <v>0</v>
      </c>
      <c r="M959" s="99" t="b">
        <f t="shared" si="1"/>
        <v>0</v>
      </c>
      <c r="N959" s="99"/>
      <c r="O959" s="85"/>
      <c r="P959" s="68"/>
    </row>
    <row r="960" hidden="1">
      <c r="A960" s="68"/>
      <c r="B960" s="79"/>
      <c r="C960" s="77"/>
      <c r="D960" s="79"/>
      <c r="E960" s="79"/>
      <c r="F960" s="93"/>
      <c r="G960" s="93"/>
      <c r="H960" s="103"/>
      <c r="I960" s="79"/>
      <c r="J960" s="100"/>
      <c r="K960" s="97" t="b">
        <f>IF(AND($M960=TRUE,$N960=TRUE),VLOOKUP($E960,RH!$B$47:$S$67,MONTH($G960)+6,FALSE))</f>
        <v>0</v>
      </c>
      <c r="L960" s="98">
        <f>IFERROR(IF(AND($M960=TRUE,$N960=TRUE),VLOOKUP($E960,RH!$B$47:$S$67,MONTH($G960)+6,FALSE)*$H960,0),0)</f>
        <v>0</v>
      </c>
      <c r="M960" s="99" t="b">
        <f t="shared" si="1"/>
        <v>0</v>
      </c>
      <c r="N960" s="99"/>
      <c r="O960" s="85"/>
      <c r="P960" s="68"/>
    </row>
    <row r="961" hidden="1">
      <c r="A961" s="68"/>
      <c r="B961" s="79"/>
      <c r="C961" s="77"/>
      <c r="D961" s="79"/>
      <c r="E961" s="79"/>
      <c r="F961" s="93"/>
      <c r="G961" s="93"/>
      <c r="H961" s="103"/>
      <c r="I961" s="79"/>
      <c r="J961" s="100"/>
      <c r="K961" s="97" t="b">
        <f>IF(AND($M961=TRUE,$N961=TRUE),VLOOKUP($E961,RH!$B$47:$S$67,MONTH($G961)+6,FALSE))</f>
        <v>0</v>
      </c>
      <c r="L961" s="98">
        <f>IFERROR(IF(AND($M961=TRUE,$N961=TRUE),VLOOKUP($E961,RH!$B$47:$S$67,MONTH($G961)+6,FALSE)*$H961,0),0)</f>
        <v>0</v>
      </c>
      <c r="M961" s="99" t="b">
        <f t="shared" si="1"/>
        <v>0</v>
      </c>
      <c r="N961" s="99"/>
      <c r="O961" s="85"/>
      <c r="P961" s="68"/>
    </row>
    <row r="962" hidden="1">
      <c r="A962" s="68"/>
      <c r="B962" s="79"/>
      <c r="C962" s="77"/>
      <c r="D962" s="79"/>
      <c r="E962" s="79"/>
      <c r="F962" s="93"/>
      <c r="G962" s="93"/>
      <c r="H962" s="103"/>
      <c r="I962" s="79"/>
      <c r="J962" s="100"/>
      <c r="K962" s="97" t="b">
        <f>IF(AND($M962=TRUE,$N962=TRUE),VLOOKUP($E962,RH!$B$47:$S$67,MONTH($G962)+6,FALSE))</f>
        <v>0</v>
      </c>
      <c r="L962" s="98">
        <f>IFERROR(IF(AND($M962=TRUE,$N962=TRUE),VLOOKUP($E962,RH!$B$47:$S$67,MONTH($G962)+6,FALSE)*$H962,0),0)</f>
        <v>0</v>
      </c>
      <c r="M962" s="99" t="b">
        <f t="shared" si="1"/>
        <v>0</v>
      </c>
      <c r="N962" s="99"/>
      <c r="O962" s="85"/>
      <c r="P962" s="68"/>
    </row>
    <row r="963" hidden="1">
      <c r="A963" s="68"/>
      <c r="B963" s="79"/>
      <c r="C963" s="77"/>
      <c r="D963" s="79"/>
      <c r="E963" s="79"/>
      <c r="F963" s="93"/>
      <c r="G963" s="93"/>
      <c r="H963" s="103"/>
      <c r="I963" s="79"/>
      <c r="J963" s="100"/>
      <c r="K963" s="97" t="b">
        <f>IF(AND($M963=TRUE,$N963=TRUE),VLOOKUP($E963,RH!$B$47:$S$67,MONTH($G963)+6,FALSE))</f>
        <v>0</v>
      </c>
      <c r="L963" s="98">
        <f>IFERROR(IF(AND($M963=TRUE,$N963=TRUE),VLOOKUP($E963,RH!$B$47:$S$67,MONTH($G963)+6,FALSE)*$H963,0),0)</f>
        <v>0</v>
      </c>
      <c r="M963" s="99" t="b">
        <f t="shared" si="1"/>
        <v>0</v>
      </c>
      <c r="N963" s="99"/>
      <c r="O963" s="85"/>
      <c r="P963" s="68"/>
    </row>
    <row r="964" hidden="1">
      <c r="A964" s="68"/>
      <c r="B964" s="79"/>
      <c r="C964" s="77"/>
      <c r="D964" s="79"/>
      <c r="E964" s="79"/>
      <c r="F964" s="93"/>
      <c r="G964" s="93"/>
      <c r="H964" s="103"/>
      <c r="I964" s="79"/>
      <c r="J964" s="100"/>
      <c r="K964" s="97" t="b">
        <f>IF(AND($M964=TRUE,$N964=TRUE),VLOOKUP($E964,RH!$B$47:$S$67,MONTH($G964)+6,FALSE))</f>
        <v>0</v>
      </c>
      <c r="L964" s="98">
        <f>IFERROR(IF(AND($M964=TRUE,$N964=TRUE),VLOOKUP($E964,RH!$B$47:$S$67,MONTH($G964)+6,FALSE)*$H964,0),0)</f>
        <v>0</v>
      </c>
      <c r="M964" s="99" t="b">
        <f t="shared" si="1"/>
        <v>0</v>
      </c>
      <c r="N964" s="99"/>
      <c r="O964" s="85"/>
      <c r="P964" s="68"/>
    </row>
    <row r="965" hidden="1">
      <c r="A965" s="68"/>
      <c r="B965" s="79"/>
      <c r="C965" s="77"/>
      <c r="D965" s="79"/>
      <c r="E965" s="79"/>
      <c r="F965" s="93"/>
      <c r="G965" s="93"/>
      <c r="H965" s="103"/>
      <c r="I965" s="79"/>
      <c r="J965" s="100"/>
      <c r="K965" s="97" t="b">
        <f>IF(AND($M965=TRUE,$N965=TRUE),VLOOKUP($E965,RH!$B$47:$S$67,MONTH($G965)+6,FALSE))</f>
        <v>0</v>
      </c>
      <c r="L965" s="98">
        <f>IFERROR(IF(AND($M965=TRUE,$N965=TRUE),VLOOKUP($E965,RH!$B$47:$S$67,MONTH($G965)+6,FALSE)*$H965,0),0)</f>
        <v>0</v>
      </c>
      <c r="M965" s="99" t="b">
        <f t="shared" si="1"/>
        <v>0</v>
      </c>
      <c r="N965" s="99"/>
      <c r="O965" s="85"/>
      <c r="P965" s="68"/>
    </row>
    <row r="966" hidden="1">
      <c r="A966" s="68"/>
      <c r="B966" s="79"/>
      <c r="C966" s="77"/>
      <c r="D966" s="79"/>
      <c r="E966" s="79"/>
      <c r="F966" s="93"/>
      <c r="G966" s="93"/>
      <c r="H966" s="103"/>
      <c r="I966" s="79"/>
      <c r="J966" s="100"/>
      <c r="K966" s="97" t="b">
        <f>IF(AND($M966=TRUE,$N966=TRUE),VLOOKUP($E966,RH!$B$47:$S$67,MONTH($G966)+6,FALSE))</f>
        <v>0</v>
      </c>
      <c r="L966" s="98">
        <f>IFERROR(IF(AND($M966=TRUE,$N966=TRUE),VLOOKUP($E966,RH!$B$47:$S$67,MONTH($G966)+6,FALSE)*$H966,0),0)</f>
        <v>0</v>
      </c>
      <c r="M966" s="99" t="b">
        <f t="shared" si="1"/>
        <v>0</v>
      </c>
      <c r="N966" s="99"/>
      <c r="O966" s="85"/>
      <c r="P966" s="68"/>
    </row>
    <row r="967" hidden="1">
      <c r="A967" s="68"/>
      <c r="B967" s="79"/>
      <c r="C967" s="77"/>
      <c r="D967" s="79"/>
      <c r="E967" s="79"/>
      <c r="F967" s="93"/>
      <c r="G967" s="93"/>
      <c r="H967" s="103"/>
      <c r="I967" s="79"/>
      <c r="J967" s="100"/>
      <c r="K967" s="97" t="b">
        <f>IF(AND($M967=TRUE,$N967=TRUE),VLOOKUP($E967,RH!$B$47:$S$67,MONTH($G967)+6,FALSE))</f>
        <v>0</v>
      </c>
      <c r="L967" s="98">
        <f>IFERROR(IF(AND($M967=TRUE,$N967=TRUE),VLOOKUP($E967,RH!$B$47:$S$67,MONTH($G967)+6,FALSE)*$H967,0),0)</f>
        <v>0</v>
      </c>
      <c r="M967" s="99" t="b">
        <f t="shared" si="1"/>
        <v>0</v>
      </c>
      <c r="N967" s="99"/>
      <c r="O967" s="85"/>
      <c r="P967" s="68"/>
    </row>
    <row r="968" hidden="1">
      <c r="A968" s="68"/>
      <c r="B968" s="79"/>
      <c r="C968" s="77"/>
      <c r="D968" s="79"/>
      <c r="E968" s="79"/>
      <c r="F968" s="93"/>
      <c r="G968" s="93"/>
      <c r="H968" s="103"/>
      <c r="I968" s="79"/>
      <c r="J968" s="100"/>
      <c r="K968" s="97" t="b">
        <f>IF(AND($M968=TRUE,$N968=TRUE),VLOOKUP($E968,RH!$B$47:$S$67,MONTH($G968)+6,FALSE))</f>
        <v>0</v>
      </c>
      <c r="L968" s="98">
        <f>IFERROR(IF(AND($M968=TRUE,$N968=TRUE),VLOOKUP($E968,RH!$B$47:$S$67,MONTH($G968)+6,FALSE)*$H968,0),0)</f>
        <v>0</v>
      </c>
      <c r="M968" s="99" t="b">
        <f t="shared" si="1"/>
        <v>0</v>
      </c>
      <c r="N968" s="99"/>
      <c r="O968" s="85"/>
      <c r="P968" s="68"/>
    </row>
    <row r="969" hidden="1">
      <c r="A969" s="68"/>
      <c r="B969" s="79"/>
      <c r="C969" s="77"/>
      <c r="D969" s="79"/>
      <c r="E969" s="79"/>
      <c r="F969" s="93"/>
      <c r="G969" s="93"/>
      <c r="H969" s="103"/>
      <c r="I969" s="79"/>
      <c r="J969" s="100"/>
      <c r="K969" s="97" t="b">
        <f>IF(AND($M969=TRUE,$N969=TRUE),VLOOKUP($E969,RH!$B$47:$S$67,MONTH($G969)+6,FALSE))</f>
        <v>0</v>
      </c>
      <c r="L969" s="98">
        <f>IFERROR(IF(AND($M969=TRUE,$N969=TRUE),VLOOKUP($E969,RH!$B$47:$S$67,MONTH($G969)+6,FALSE)*$H969,0),0)</f>
        <v>0</v>
      </c>
      <c r="M969" s="99" t="b">
        <f t="shared" si="1"/>
        <v>0</v>
      </c>
      <c r="N969" s="99"/>
      <c r="O969" s="85"/>
      <c r="P969" s="68"/>
    </row>
    <row r="970" hidden="1">
      <c r="A970" s="68"/>
      <c r="B970" s="79"/>
      <c r="C970" s="77"/>
      <c r="D970" s="79"/>
      <c r="E970" s="79"/>
      <c r="F970" s="93"/>
      <c r="G970" s="93"/>
      <c r="H970" s="103"/>
      <c r="I970" s="79"/>
      <c r="J970" s="100"/>
      <c r="K970" s="97" t="b">
        <f>IF(AND($M970=TRUE,$N970=TRUE),VLOOKUP($E970,RH!$B$47:$S$67,MONTH($G970)+6,FALSE))</f>
        <v>0</v>
      </c>
      <c r="L970" s="98">
        <f>IFERROR(IF(AND($M970=TRUE,$N970=TRUE),VLOOKUP($E970,RH!$B$47:$S$67,MONTH($G970)+6,FALSE)*$H970,0),0)</f>
        <v>0</v>
      </c>
      <c r="M970" s="99" t="b">
        <f t="shared" si="1"/>
        <v>0</v>
      </c>
      <c r="N970" s="99"/>
      <c r="O970" s="85"/>
      <c r="P970" s="68"/>
    </row>
    <row r="971" hidden="1">
      <c r="A971" s="68"/>
      <c r="B971" s="79"/>
      <c r="C971" s="77"/>
      <c r="D971" s="79"/>
      <c r="E971" s="79"/>
      <c r="F971" s="93"/>
      <c r="G971" s="93"/>
      <c r="H971" s="103"/>
      <c r="I971" s="79"/>
      <c r="J971" s="100"/>
      <c r="K971" s="97" t="b">
        <f>IF(AND($M971=TRUE,$N971=TRUE),VLOOKUP($E971,RH!$B$47:$S$67,MONTH($G971)+6,FALSE))</f>
        <v>0</v>
      </c>
      <c r="L971" s="98">
        <f>IFERROR(IF(AND($M971=TRUE,$N971=TRUE),VLOOKUP($E971,RH!$B$47:$S$67,MONTH($G971)+6,FALSE)*$H971,0),0)</f>
        <v>0</v>
      </c>
      <c r="M971" s="99" t="b">
        <f t="shared" si="1"/>
        <v>0</v>
      </c>
      <c r="N971" s="99"/>
      <c r="O971" s="85"/>
      <c r="P971" s="68"/>
    </row>
    <row r="972" hidden="1">
      <c r="A972" s="68"/>
      <c r="B972" s="79"/>
      <c r="C972" s="77"/>
      <c r="D972" s="79"/>
      <c r="E972" s="79"/>
      <c r="F972" s="93"/>
      <c r="G972" s="93"/>
      <c r="H972" s="103"/>
      <c r="I972" s="79"/>
      <c r="J972" s="100"/>
      <c r="K972" s="97" t="b">
        <f>IF(AND($M972=TRUE,$N972=TRUE),VLOOKUP($E972,RH!$B$47:$S$67,MONTH($G972)+6,FALSE))</f>
        <v>0</v>
      </c>
      <c r="L972" s="98">
        <f>IFERROR(IF(AND($M972=TRUE,$N972=TRUE),VLOOKUP($E972,RH!$B$47:$S$67,MONTH($G972)+6,FALSE)*$H972,0),0)</f>
        <v>0</v>
      </c>
      <c r="M972" s="99" t="b">
        <f t="shared" si="1"/>
        <v>0</v>
      </c>
      <c r="N972" s="99"/>
      <c r="O972" s="85"/>
      <c r="P972" s="68"/>
    </row>
    <row r="973" hidden="1">
      <c r="A973" s="68"/>
      <c r="B973" s="79"/>
      <c r="C973" s="77"/>
      <c r="D973" s="79"/>
      <c r="E973" s="79"/>
      <c r="F973" s="93"/>
      <c r="G973" s="93"/>
      <c r="H973" s="103"/>
      <c r="I973" s="79"/>
      <c r="J973" s="100"/>
      <c r="K973" s="97" t="b">
        <f>IF(AND($M973=TRUE,$N973=TRUE),VLOOKUP($E973,RH!$B$47:$S$67,MONTH($G973)+6,FALSE))</f>
        <v>0</v>
      </c>
      <c r="L973" s="98">
        <f>IFERROR(IF(AND($M973=TRUE,$N973=TRUE),VLOOKUP($E973,RH!$B$47:$S$67,MONTH($G973)+6,FALSE)*$H973,0),0)</f>
        <v>0</v>
      </c>
      <c r="M973" s="99" t="b">
        <f t="shared" si="1"/>
        <v>0</v>
      </c>
      <c r="N973" s="99"/>
      <c r="O973" s="85"/>
      <c r="P973" s="68"/>
    </row>
    <row r="974" hidden="1">
      <c r="A974" s="68"/>
      <c r="B974" s="79"/>
      <c r="C974" s="77"/>
      <c r="D974" s="79"/>
      <c r="E974" s="79"/>
      <c r="F974" s="93"/>
      <c r="G974" s="93"/>
      <c r="H974" s="103"/>
      <c r="I974" s="79"/>
      <c r="J974" s="100"/>
      <c r="K974" s="97" t="b">
        <f>IF(AND($M974=TRUE,$N974=TRUE),VLOOKUP($E974,RH!$B$47:$S$67,MONTH($G974)+6,FALSE))</f>
        <v>0</v>
      </c>
      <c r="L974" s="98">
        <f>IFERROR(IF(AND($M974=TRUE,$N974=TRUE),VLOOKUP($E974,RH!$B$47:$S$67,MONTH($G974)+6,FALSE)*$H974,0),0)</f>
        <v>0</v>
      </c>
      <c r="M974" s="99" t="b">
        <f t="shared" si="1"/>
        <v>0</v>
      </c>
      <c r="N974" s="99"/>
      <c r="O974" s="85"/>
      <c r="P974" s="68"/>
    </row>
    <row r="975" hidden="1">
      <c r="A975" s="68"/>
      <c r="B975" s="79"/>
      <c r="C975" s="77"/>
      <c r="D975" s="79"/>
      <c r="E975" s="79"/>
      <c r="F975" s="93"/>
      <c r="G975" s="93"/>
      <c r="H975" s="103"/>
      <c r="I975" s="79"/>
      <c r="J975" s="100"/>
      <c r="K975" s="97" t="b">
        <f>IF(AND($M975=TRUE,$N975=TRUE),VLOOKUP($E975,RH!$B$47:$S$67,MONTH($G975)+6,FALSE))</f>
        <v>0</v>
      </c>
      <c r="L975" s="98">
        <f>IFERROR(IF(AND($M975=TRUE,$N975=TRUE),VLOOKUP($E975,RH!$B$47:$S$67,MONTH($G975)+6,FALSE)*$H975,0),0)</f>
        <v>0</v>
      </c>
      <c r="M975" s="99" t="b">
        <f t="shared" si="1"/>
        <v>0</v>
      </c>
      <c r="N975" s="99"/>
      <c r="O975" s="85"/>
      <c r="P975" s="68"/>
    </row>
    <row r="976" hidden="1">
      <c r="A976" s="68"/>
      <c r="B976" s="79"/>
      <c r="C976" s="77"/>
      <c r="D976" s="79"/>
      <c r="E976" s="79"/>
      <c r="F976" s="93"/>
      <c r="G976" s="93"/>
      <c r="H976" s="103"/>
      <c r="I976" s="79"/>
      <c r="J976" s="100"/>
      <c r="K976" s="97" t="b">
        <f>IF(AND($M976=TRUE,$N976=TRUE),VLOOKUP($E976,RH!$B$47:$S$67,MONTH($G976)+6,FALSE))</f>
        <v>0</v>
      </c>
      <c r="L976" s="98">
        <f>IFERROR(IF(AND($M976=TRUE,$N976=TRUE),VLOOKUP($E976,RH!$B$47:$S$67,MONTH($G976)+6,FALSE)*$H976,0),0)</f>
        <v>0</v>
      </c>
      <c r="M976" s="99" t="b">
        <f t="shared" si="1"/>
        <v>0</v>
      </c>
      <c r="N976" s="99"/>
      <c r="O976" s="85"/>
      <c r="P976" s="68"/>
    </row>
    <row r="977" hidden="1">
      <c r="A977" s="68"/>
      <c r="B977" s="79"/>
      <c r="C977" s="77"/>
      <c r="D977" s="79"/>
      <c r="E977" s="79"/>
      <c r="F977" s="93"/>
      <c r="G977" s="93"/>
      <c r="H977" s="103"/>
      <c r="I977" s="79"/>
      <c r="J977" s="100"/>
      <c r="K977" s="97" t="b">
        <f>IF(AND($M977=TRUE,$N977=TRUE),VLOOKUP($E977,RH!$B$47:$S$67,MONTH($G977)+6,FALSE))</f>
        <v>0</v>
      </c>
      <c r="L977" s="98">
        <f>IFERROR(IF(AND($M977=TRUE,$N977=TRUE),VLOOKUP($E977,RH!$B$47:$S$67,MONTH($G977)+6,FALSE)*$H977,0),0)</f>
        <v>0</v>
      </c>
      <c r="M977" s="99" t="b">
        <f t="shared" si="1"/>
        <v>0</v>
      </c>
      <c r="N977" s="99"/>
      <c r="O977" s="85"/>
      <c r="P977" s="68"/>
    </row>
    <row r="978" hidden="1">
      <c r="A978" s="68"/>
      <c r="B978" s="79"/>
      <c r="C978" s="77"/>
      <c r="D978" s="79"/>
      <c r="E978" s="79"/>
      <c r="F978" s="93"/>
      <c r="G978" s="93"/>
      <c r="H978" s="103"/>
      <c r="I978" s="79"/>
      <c r="J978" s="100"/>
      <c r="K978" s="97" t="b">
        <f>IF(AND($M978=TRUE,$N978=TRUE),VLOOKUP($E978,RH!$B$47:$S$67,MONTH($G978)+6,FALSE))</f>
        <v>0</v>
      </c>
      <c r="L978" s="98">
        <f>IFERROR(IF(AND($M978=TRUE,$N978=TRUE),VLOOKUP($E978,RH!$B$47:$S$67,MONTH($G978)+6,FALSE)*$H978,0),0)</f>
        <v>0</v>
      </c>
      <c r="M978" s="99" t="b">
        <f t="shared" si="1"/>
        <v>0</v>
      </c>
      <c r="N978" s="99"/>
      <c r="O978" s="85"/>
      <c r="P978" s="68"/>
    </row>
    <row r="979" hidden="1">
      <c r="A979" s="68"/>
      <c r="B979" s="79"/>
      <c r="C979" s="77"/>
      <c r="D979" s="79"/>
      <c r="E979" s="79"/>
      <c r="F979" s="93"/>
      <c r="G979" s="93"/>
      <c r="H979" s="103"/>
      <c r="I979" s="79"/>
      <c r="J979" s="100"/>
      <c r="K979" s="97" t="b">
        <f>IF(AND($M979=TRUE,$N979=TRUE),VLOOKUP($E979,RH!$B$47:$S$67,MONTH($G979)+6,FALSE))</f>
        <v>0</v>
      </c>
      <c r="L979" s="98">
        <f>IFERROR(IF(AND($M979=TRUE,$N979=TRUE),VLOOKUP($E979,RH!$B$47:$S$67,MONTH($G979)+6,FALSE)*$H979,0),0)</f>
        <v>0</v>
      </c>
      <c r="M979" s="99" t="b">
        <f t="shared" si="1"/>
        <v>0</v>
      </c>
      <c r="N979" s="99"/>
      <c r="O979" s="85"/>
      <c r="P979" s="68"/>
    </row>
    <row r="980" hidden="1">
      <c r="A980" s="68"/>
      <c r="B980" s="79"/>
      <c r="C980" s="77"/>
      <c r="D980" s="79"/>
      <c r="E980" s="79"/>
      <c r="F980" s="93"/>
      <c r="G980" s="93"/>
      <c r="H980" s="103"/>
      <c r="I980" s="79"/>
      <c r="J980" s="100"/>
      <c r="K980" s="97" t="b">
        <f>IF(AND($M980=TRUE,$N980=TRUE),VLOOKUP($E980,RH!$B$47:$S$67,MONTH($G980)+6,FALSE))</f>
        <v>0</v>
      </c>
      <c r="L980" s="98">
        <f>IFERROR(IF(AND($M980=TRUE,$N980=TRUE),VLOOKUP($E980,RH!$B$47:$S$67,MONTH($G980)+6,FALSE)*$H980,0),0)</f>
        <v>0</v>
      </c>
      <c r="M980" s="99" t="b">
        <f t="shared" si="1"/>
        <v>0</v>
      </c>
      <c r="N980" s="99"/>
      <c r="O980" s="85"/>
      <c r="P980" s="68"/>
    </row>
    <row r="981" hidden="1">
      <c r="A981" s="68"/>
      <c r="B981" s="79"/>
      <c r="C981" s="77"/>
      <c r="D981" s="79"/>
      <c r="E981" s="79"/>
      <c r="F981" s="93"/>
      <c r="G981" s="93"/>
      <c r="H981" s="103"/>
      <c r="I981" s="79"/>
      <c r="J981" s="100"/>
      <c r="K981" s="97" t="b">
        <f>IF(AND($M981=TRUE,$N981=TRUE),VLOOKUP($E981,RH!$B$47:$S$67,MONTH($G981)+6,FALSE))</f>
        <v>0</v>
      </c>
      <c r="L981" s="98">
        <f>IFERROR(IF(AND($M981=TRUE,$N981=TRUE),VLOOKUP($E981,RH!$B$47:$S$67,MONTH($G981)+6,FALSE)*$H981,0),0)</f>
        <v>0</v>
      </c>
      <c r="M981" s="99" t="b">
        <f t="shared" si="1"/>
        <v>0</v>
      </c>
      <c r="N981" s="99"/>
      <c r="O981" s="85"/>
      <c r="P981" s="68"/>
    </row>
    <row r="982" hidden="1">
      <c r="A982" s="68"/>
      <c r="B982" s="79"/>
      <c r="C982" s="77"/>
      <c r="D982" s="79"/>
      <c r="E982" s="79"/>
      <c r="F982" s="93"/>
      <c r="G982" s="93"/>
      <c r="H982" s="103"/>
      <c r="I982" s="79"/>
      <c r="J982" s="100"/>
      <c r="K982" s="97" t="b">
        <f>IF(AND($M982=TRUE,$N982=TRUE),VLOOKUP($E982,RH!$B$47:$S$67,MONTH($G982)+6,FALSE))</f>
        <v>0</v>
      </c>
      <c r="L982" s="98">
        <f>IFERROR(IF(AND($M982=TRUE,$N982=TRUE),VLOOKUP($E982,RH!$B$47:$S$67,MONTH($G982)+6,FALSE)*$H982,0),0)</f>
        <v>0</v>
      </c>
      <c r="M982" s="99" t="b">
        <f t="shared" si="1"/>
        <v>0</v>
      </c>
      <c r="N982" s="99"/>
      <c r="O982" s="85"/>
      <c r="P982" s="68"/>
    </row>
    <row r="983" hidden="1">
      <c r="A983" s="68"/>
      <c r="B983" s="79"/>
      <c r="C983" s="77"/>
      <c r="D983" s="79"/>
      <c r="E983" s="79"/>
      <c r="F983" s="93"/>
      <c r="G983" s="93"/>
      <c r="H983" s="103"/>
      <c r="I983" s="79"/>
      <c r="J983" s="100"/>
      <c r="K983" s="97" t="b">
        <f>IF(AND($M983=TRUE,$N983=TRUE),VLOOKUP($E983,RH!$B$47:$S$67,MONTH($G983)+6,FALSE))</f>
        <v>0</v>
      </c>
      <c r="L983" s="98">
        <f>IFERROR(IF(AND($M983=TRUE,$N983=TRUE),VLOOKUP($E983,RH!$B$47:$S$67,MONTH($G983)+6,FALSE)*$H983,0),0)</f>
        <v>0</v>
      </c>
      <c r="M983" s="99" t="b">
        <f t="shared" si="1"/>
        <v>0</v>
      </c>
      <c r="N983" s="99"/>
      <c r="O983" s="85"/>
      <c r="P983" s="68"/>
    </row>
    <row r="984" hidden="1">
      <c r="A984" s="68"/>
      <c r="B984" s="79"/>
      <c r="C984" s="77"/>
      <c r="D984" s="79"/>
      <c r="E984" s="79"/>
      <c r="F984" s="93"/>
      <c r="G984" s="93"/>
      <c r="H984" s="103"/>
      <c r="I984" s="79"/>
      <c r="J984" s="100"/>
      <c r="K984" s="97" t="b">
        <f>IF(AND($M984=TRUE,$N984=TRUE),VLOOKUP($E984,RH!$B$47:$S$67,MONTH($G984)+6,FALSE))</f>
        <v>0</v>
      </c>
      <c r="L984" s="98">
        <f>IFERROR(IF(AND($M984=TRUE,$N984=TRUE),VLOOKUP($E984,RH!$B$47:$S$67,MONTH($G984)+6,FALSE)*$H984,0),0)</f>
        <v>0</v>
      </c>
      <c r="M984" s="99" t="b">
        <f t="shared" si="1"/>
        <v>0</v>
      </c>
      <c r="N984" s="99"/>
      <c r="O984" s="85"/>
      <c r="P984" s="68"/>
    </row>
    <row r="985" hidden="1">
      <c r="A985" s="68"/>
      <c r="B985" s="79"/>
      <c r="C985" s="77"/>
      <c r="D985" s="79"/>
      <c r="E985" s="79"/>
      <c r="F985" s="93"/>
      <c r="G985" s="93"/>
      <c r="H985" s="103"/>
      <c r="I985" s="79"/>
      <c r="J985" s="100"/>
      <c r="K985" s="97" t="b">
        <f>IF(AND($M985=TRUE,$N985=TRUE),VLOOKUP($E985,RH!$B$47:$S$67,MONTH($G985)+6,FALSE))</f>
        <v>0</v>
      </c>
      <c r="L985" s="98">
        <f>IFERROR(IF(AND($M985=TRUE,$N985=TRUE),VLOOKUP($E985,RH!$B$47:$S$67,MONTH($G985)+6,FALSE)*$H985,0),0)</f>
        <v>0</v>
      </c>
      <c r="M985" s="99" t="b">
        <f t="shared" si="1"/>
        <v>0</v>
      </c>
      <c r="N985" s="99"/>
      <c r="O985" s="85"/>
      <c r="P985" s="68"/>
    </row>
    <row r="986" hidden="1">
      <c r="A986" s="68"/>
      <c r="B986" s="79"/>
      <c r="C986" s="77"/>
      <c r="D986" s="79"/>
      <c r="E986" s="79"/>
      <c r="F986" s="93"/>
      <c r="G986" s="93"/>
      <c r="H986" s="103"/>
      <c r="I986" s="79"/>
      <c r="J986" s="100"/>
      <c r="K986" s="97" t="b">
        <f>IF(AND($M986=TRUE,$N986=TRUE),VLOOKUP($E986,RH!$B$47:$S$67,MONTH($G986)+6,FALSE))</f>
        <v>0</v>
      </c>
      <c r="L986" s="98">
        <f>IFERROR(IF(AND($M986=TRUE,$N986=TRUE),VLOOKUP($E986,RH!$B$47:$S$67,MONTH($G986)+6,FALSE)*$H986,0),0)</f>
        <v>0</v>
      </c>
      <c r="M986" s="99" t="b">
        <f t="shared" si="1"/>
        <v>0</v>
      </c>
      <c r="N986" s="99"/>
      <c r="O986" s="85"/>
      <c r="P986" s="68"/>
    </row>
    <row r="987" hidden="1">
      <c r="A987" s="68"/>
      <c r="B987" s="79"/>
      <c r="C987" s="77"/>
      <c r="D987" s="79"/>
      <c r="E987" s="79"/>
      <c r="F987" s="93"/>
      <c r="G987" s="93"/>
      <c r="H987" s="103"/>
      <c r="I987" s="79"/>
      <c r="J987" s="100"/>
      <c r="K987" s="97" t="b">
        <f>IF(AND($M987=TRUE,$N987=TRUE),VLOOKUP($E987,RH!$B$47:$S$67,MONTH($G987)+6,FALSE))</f>
        <v>0</v>
      </c>
      <c r="L987" s="98">
        <f>IFERROR(IF(AND($M987=TRUE,$N987=TRUE),VLOOKUP($E987,RH!$B$47:$S$67,MONTH($G987)+6,FALSE)*$H987,0),0)</f>
        <v>0</v>
      </c>
      <c r="M987" s="99" t="b">
        <f t="shared" si="1"/>
        <v>0</v>
      </c>
      <c r="N987" s="99"/>
      <c r="O987" s="85"/>
      <c r="P987" s="68"/>
    </row>
    <row r="988" hidden="1">
      <c r="A988" s="68"/>
      <c r="B988" s="79"/>
      <c r="C988" s="77"/>
      <c r="D988" s="79"/>
      <c r="E988" s="79"/>
      <c r="F988" s="93"/>
      <c r="G988" s="93"/>
      <c r="H988" s="103"/>
      <c r="I988" s="79"/>
      <c r="J988" s="100"/>
      <c r="K988" s="97" t="b">
        <f>IF(AND($M988=TRUE,$N988=TRUE),VLOOKUP($E988,RH!$B$47:$S$67,MONTH($G988)+6,FALSE))</f>
        <v>0</v>
      </c>
      <c r="L988" s="98">
        <f>IFERROR(IF(AND($M988=TRUE,$N988=TRUE),VLOOKUP($E988,RH!$B$47:$S$67,MONTH($G988)+6,FALSE)*$H988,0),0)</f>
        <v>0</v>
      </c>
      <c r="M988" s="99" t="b">
        <f t="shared" si="1"/>
        <v>0</v>
      </c>
      <c r="N988" s="99"/>
      <c r="O988" s="85"/>
      <c r="P988" s="68"/>
    </row>
    <row r="989" hidden="1">
      <c r="A989" s="68"/>
      <c r="B989" s="79"/>
      <c r="C989" s="77"/>
      <c r="D989" s="79"/>
      <c r="E989" s="79"/>
      <c r="F989" s="93"/>
      <c r="G989" s="93"/>
      <c r="H989" s="103"/>
      <c r="I989" s="79"/>
      <c r="J989" s="100"/>
      <c r="K989" s="97" t="b">
        <f>IF(AND($M989=TRUE,$N989=TRUE),VLOOKUP($E989,RH!$B$47:$S$67,MONTH($G989)+6,FALSE))</f>
        <v>0</v>
      </c>
      <c r="L989" s="98">
        <f>IFERROR(IF(AND($M989=TRUE,$N989=TRUE),VLOOKUP($E989,RH!$B$47:$S$67,MONTH($G989)+6,FALSE)*$H989,0),0)</f>
        <v>0</v>
      </c>
      <c r="M989" s="99" t="b">
        <f t="shared" si="1"/>
        <v>0</v>
      </c>
      <c r="N989" s="99"/>
      <c r="O989" s="85"/>
      <c r="P989" s="68"/>
    </row>
    <row r="990" hidden="1">
      <c r="A990" s="68"/>
      <c r="B990" s="79"/>
      <c r="C990" s="77"/>
      <c r="D990" s="79"/>
      <c r="E990" s="79"/>
      <c r="F990" s="93"/>
      <c r="G990" s="93"/>
      <c r="H990" s="103"/>
      <c r="I990" s="79"/>
      <c r="J990" s="100"/>
      <c r="K990" s="97" t="b">
        <f>IF(AND($M990=TRUE,$N990=TRUE),VLOOKUP($E990,RH!$B$47:$S$67,MONTH($G990)+6,FALSE))</f>
        <v>0</v>
      </c>
      <c r="L990" s="98">
        <f>IFERROR(IF(AND($M990=TRUE,$N990=TRUE),VLOOKUP($E990,RH!$B$47:$S$67,MONTH($G990)+6,FALSE)*$H990,0),0)</f>
        <v>0</v>
      </c>
      <c r="M990" s="99" t="b">
        <f t="shared" si="1"/>
        <v>0</v>
      </c>
      <c r="N990" s="99"/>
      <c r="O990" s="85"/>
      <c r="P990" s="68"/>
    </row>
    <row r="991" hidden="1">
      <c r="A991" s="68"/>
      <c r="B991" s="79"/>
      <c r="C991" s="77"/>
      <c r="D991" s="79"/>
      <c r="E991" s="79"/>
      <c r="F991" s="93"/>
      <c r="G991" s="93"/>
      <c r="H991" s="103"/>
      <c r="I991" s="79"/>
      <c r="J991" s="100"/>
      <c r="K991" s="97" t="b">
        <f>IF(AND($M991=TRUE,$N991=TRUE),VLOOKUP($E991,RH!$B$47:$S$67,MONTH($G991)+6,FALSE))</f>
        <v>0</v>
      </c>
      <c r="L991" s="98">
        <f>IFERROR(IF(AND($M991=TRUE,$N991=TRUE),VLOOKUP($E991,RH!$B$47:$S$67,MONTH($G991)+6,FALSE)*$H991,0),0)</f>
        <v>0</v>
      </c>
      <c r="M991" s="99" t="b">
        <f t="shared" si="1"/>
        <v>0</v>
      </c>
      <c r="N991" s="99"/>
      <c r="O991" s="85"/>
      <c r="P991" s="68"/>
    </row>
    <row r="992" hidden="1">
      <c r="A992" s="68"/>
      <c r="B992" s="79"/>
      <c r="C992" s="77"/>
      <c r="D992" s="79"/>
      <c r="E992" s="79"/>
      <c r="F992" s="93"/>
      <c r="G992" s="93"/>
      <c r="H992" s="103"/>
      <c r="I992" s="79"/>
      <c r="J992" s="100"/>
      <c r="K992" s="97" t="b">
        <f>IF(AND($M992=TRUE,$N992=TRUE),VLOOKUP($E992,RH!$B$47:$S$67,MONTH($G992)+6,FALSE))</f>
        <v>0</v>
      </c>
      <c r="L992" s="98">
        <f>IFERROR(IF(AND($M992=TRUE,$N992=TRUE),VLOOKUP($E992,RH!$B$47:$S$67,MONTH($G992)+6,FALSE)*$H992,0),0)</f>
        <v>0</v>
      </c>
      <c r="M992" s="99" t="b">
        <f t="shared" si="1"/>
        <v>0</v>
      </c>
      <c r="N992" s="99"/>
      <c r="O992" s="85"/>
      <c r="P992" s="68"/>
    </row>
    <row r="993" hidden="1">
      <c r="A993" s="68"/>
      <c r="B993" s="79"/>
      <c r="C993" s="77"/>
      <c r="D993" s="79"/>
      <c r="E993" s="79"/>
      <c r="F993" s="93"/>
      <c r="G993" s="93"/>
      <c r="H993" s="103"/>
      <c r="I993" s="79"/>
      <c r="J993" s="100"/>
      <c r="K993" s="97" t="b">
        <f>IF(AND($M993=TRUE,$N993=TRUE),VLOOKUP($E993,RH!$B$47:$S$67,MONTH($G993)+6,FALSE))</f>
        <v>0</v>
      </c>
      <c r="L993" s="98">
        <f>IFERROR(IF(AND($M993=TRUE,$N993=TRUE),VLOOKUP($E993,RH!$B$47:$S$67,MONTH($G993)+6,FALSE)*$H993,0),0)</f>
        <v>0</v>
      </c>
      <c r="M993" s="99" t="b">
        <f t="shared" si="1"/>
        <v>0</v>
      </c>
      <c r="N993" s="99"/>
      <c r="O993" s="85"/>
      <c r="P993" s="68"/>
    </row>
    <row r="994" hidden="1">
      <c r="A994" s="68"/>
      <c r="B994" s="79"/>
      <c r="C994" s="77"/>
      <c r="D994" s="79"/>
      <c r="E994" s="79"/>
      <c r="F994" s="93"/>
      <c r="G994" s="93"/>
      <c r="H994" s="103"/>
      <c r="I994" s="79"/>
      <c r="J994" s="100"/>
      <c r="K994" s="97" t="b">
        <f>IF(AND($M994=TRUE,$N994=TRUE),VLOOKUP($E994,RH!$B$47:$S$67,MONTH($G994)+6,FALSE))</f>
        <v>0</v>
      </c>
      <c r="L994" s="98">
        <f>IFERROR(IF(AND($M994=TRUE,$N994=TRUE),VLOOKUP($E994,RH!$B$47:$S$67,MONTH($G994)+6,FALSE)*$H994,0),0)</f>
        <v>0</v>
      </c>
      <c r="M994" s="99" t="b">
        <f t="shared" si="1"/>
        <v>0</v>
      </c>
      <c r="N994" s="99"/>
      <c r="O994" s="85"/>
      <c r="P994" s="68"/>
    </row>
    <row r="995" hidden="1">
      <c r="A995" s="68"/>
      <c r="B995" s="79"/>
      <c r="C995" s="77"/>
      <c r="D995" s="79"/>
      <c r="E995" s="79"/>
      <c r="F995" s="93"/>
      <c r="G995" s="93"/>
      <c r="H995" s="103"/>
      <c r="I995" s="79"/>
      <c r="J995" s="100"/>
      <c r="K995" s="97" t="b">
        <f>IF(AND($M995=TRUE,$N995=TRUE),VLOOKUP($E995,RH!$B$47:$S$67,MONTH($G995)+6,FALSE))</f>
        <v>0</v>
      </c>
      <c r="L995" s="98">
        <f>IFERROR(IF(AND($M995=TRUE,$N995=TRUE),VLOOKUP($E995,RH!$B$47:$S$67,MONTH($G995)+6,FALSE)*$H995,0),0)</f>
        <v>0</v>
      </c>
      <c r="M995" s="99" t="b">
        <f t="shared" si="1"/>
        <v>0</v>
      </c>
      <c r="N995" s="99"/>
      <c r="O995" s="85"/>
      <c r="P995" s="68"/>
    </row>
    <row r="996" hidden="1">
      <c r="A996" s="68"/>
      <c r="B996" s="79"/>
      <c r="C996" s="77"/>
      <c r="D996" s="79"/>
      <c r="E996" s="79"/>
      <c r="F996" s="93"/>
      <c r="G996" s="93"/>
      <c r="H996" s="103"/>
      <c r="I996" s="79"/>
      <c r="J996" s="100"/>
      <c r="K996" s="97" t="b">
        <f>IF(AND($M996=TRUE,$N996=TRUE),VLOOKUP($E996,RH!$B$47:$S$67,MONTH($G996)+6,FALSE))</f>
        <v>0</v>
      </c>
      <c r="L996" s="98">
        <f>IFERROR(IF(AND($M996=TRUE,$N996=TRUE),VLOOKUP($E996,RH!$B$47:$S$67,MONTH($G996)+6,FALSE)*$H996,0),0)</f>
        <v>0</v>
      </c>
      <c r="M996" s="99" t="b">
        <f t="shared" si="1"/>
        <v>0</v>
      </c>
      <c r="N996" s="99"/>
      <c r="O996" s="85"/>
      <c r="P996" s="68"/>
    </row>
    <row r="997" hidden="1">
      <c r="A997" s="68"/>
      <c r="B997" s="79"/>
      <c r="C997" s="77"/>
      <c r="D997" s="79"/>
      <c r="E997" s="79"/>
      <c r="F997" s="93"/>
      <c r="G997" s="93"/>
      <c r="H997" s="103"/>
      <c r="I997" s="79"/>
      <c r="J997" s="100"/>
      <c r="K997" s="97" t="b">
        <f>IF(AND($M997=TRUE,$N997=TRUE),VLOOKUP($E997,RH!$B$47:$S$67,MONTH($G997)+6,FALSE))</f>
        <v>0</v>
      </c>
      <c r="L997" s="98">
        <f>IFERROR(IF(AND($M997=TRUE,$N997=TRUE),VLOOKUP($E997,RH!$B$47:$S$67,MONTH($G997)+6,FALSE)*$H997,0),0)</f>
        <v>0</v>
      </c>
      <c r="M997" s="99" t="b">
        <f t="shared" si="1"/>
        <v>0</v>
      </c>
      <c r="N997" s="99"/>
      <c r="O997" s="85"/>
      <c r="P997" s="68"/>
    </row>
    <row r="998" hidden="1">
      <c r="A998" s="68"/>
      <c r="B998" s="79"/>
      <c r="C998" s="77"/>
      <c r="D998" s="79"/>
      <c r="E998" s="79"/>
      <c r="F998" s="93"/>
      <c r="G998" s="93"/>
      <c r="H998" s="103"/>
      <c r="I998" s="79"/>
      <c r="J998" s="100"/>
      <c r="K998" s="97" t="b">
        <f>IF(AND($M998=TRUE,$N998=TRUE),VLOOKUP($E998,RH!$B$47:$S$67,MONTH($G998)+6,FALSE))</f>
        <v>0</v>
      </c>
      <c r="L998" s="98">
        <f>IFERROR(IF(AND($M998=TRUE,$N998=TRUE),VLOOKUP($E998,RH!$B$47:$S$67,MONTH($G998)+6,FALSE)*$H998,0),0)</f>
        <v>0</v>
      </c>
      <c r="M998" s="99" t="b">
        <f t="shared" si="1"/>
        <v>0</v>
      </c>
      <c r="N998" s="99"/>
      <c r="O998" s="85"/>
      <c r="P998" s="68"/>
    </row>
    <row r="999" hidden="1">
      <c r="A999" s="68"/>
      <c r="B999" s="79"/>
      <c r="C999" s="77"/>
      <c r="D999" s="79"/>
      <c r="E999" s="79"/>
      <c r="F999" s="93"/>
      <c r="G999" s="93"/>
      <c r="H999" s="103"/>
      <c r="I999" s="79"/>
      <c r="J999" s="100"/>
      <c r="K999" s="97" t="b">
        <f>IF(AND($M999=TRUE,$N999=TRUE),VLOOKUP($E999,RH!$B$47:$S$67,MONTH($G999)+6,FALSE))</f>
        <v>0</v>
      </c>
      <c r="L999" s="98">
        <f>IFERROR(IF(AND($M999=TRUE,$N999=TRUE),VLOOKUP($E999,RH!$B$47:$S$67,MONTH($G999)+6,FALSE)*$H999,0),0)</f>
        <v>0</v>
      </c>
      <c r="M999" s="99" t="b">
        <f t="shared" si="1"/>
        <v>0</v>
      </c>
      <c r="N999" s="99"/>
      <c r="O999" s="85"/>
      <c r="P999" s="68"/>
    </row>
    <row r="1000" hidden="1">
      <c r="A1000" s="68"/>
      <c r="B1000" s="79"/>
      <c r="C1000" s="77"/>
      <c r="D1000" s="79"/>
      <c r="E1000" s="79"/>
      <c r="F1000" s="93"/>
      <c r="G1000" s="93"/>
      <c r="H1000" s="103"/>
      <c r="I1000" s="79"/>
      <c r="J1000" s="100"/>
      <c r="K1000" s="97" t="b">
        <f>IF(AND($M1000=TRUE,$N1000=TRUE),VLOOKUP($E1000,RH!$B$47:$S$67,MONTH($G1000)+6,FALSE))</f>
        <v>0</v>
      </c>
      <c r="L1000" s="98">
        <f>IFERROR(IF(AND($M1000=TRUE,$N1000=TRUE),VLOOKUP($E1000,RH!$B$47:$S$67,MONTH($G1000)+6,FALSE)*$H1000,0),0)</f>
        <v>0</v>
      </c>
      <c r="M1000" s="99" t="b">
        <f t="shared" si="1"/>
        <v>0</v>
      </c>
      <c r="N1000" s="99"/>
      <c r="O1000" s="85"/>
      <c r="P1000" s="68"/>
    </row>
    <row r="1001" hidden="1">
      <c r="A1001" s="68"/>
      <c r="B1001" s="79"/>
      <c r="C1001" s="77"/>
      <c r="D1001" s="79"/>
      <c r="E1001" s="79"/>
      <c r="F1001" s="93"/>
      <c r="G1001" s="93"/>
      <c r="H1001" s="103"/>
      <c r="I1001" s="79"/>
      <c r="J1001" s="100"/>
      <c r="K1001" s="97" t="b">
        <f>IF(AND($M1001=TRUE,$N1001=TRUE),VLOOKUP($E1001,RH!$B$47:$S$67,MONTH($G1001)+6,FALSE))</f>
        <v>0</v>
      </c>
      <c r="L1001" s="98">
        <f>IFERROR(IF(AND($M1001=TRUE,$N1001=TRUE),VLOOKUP($E1001,RH!$B$47:$S$67,MONTH($G1001)+6,FALSE)*$H1001,0),0)</f>
        <v>0</v>
      </c>
      <c r="M1001" s="99" t="b">
        <f t="shared" si="1"/>
        <v>0</v>
      </c>
      <c r="N1001" s="99"/>
      <c r="O1001" s="85"/>
      <c r="P1001" s="68"/>
    </row>
    <row r="1002" hidden="1">
      <c r="A1002" s="68"/>
      <c r="B1002" s="79"/>
      <c r="C1002" s="77"/>
      <c r="D1002" s="79"/>
      <c r="E1002" s="79"/>
      <c r="F1002" s="93"/>
      <c r="G1002" s="93"/>
      <c r="H1002" s="103"/>
      <c r="I1002" s="79"/>
      <c r="J1002" s="100"/>
      <c r="K1002" s="97" t="b">
        <f>IF(AND($M1002=TRUE,$N1002=TRUE),VLOOKUP($E1002,RH!$B$47:$S$67,MONTH($G1002)+6,FALSE))</f>
        <v>0</v>
      </c>
      <c r="L1002" s="98">
        <f>IFERROR(IF(AND($M1002=TRUE,$N1002=TRUE),VLOOKUP($E1002,RH!$B$47:$S$67,MONTH($G1002)+6,FALSE)*$H1002,0),0)</f>
        <v>0</v>
      </c>
      <c r="M1002" s="99" t="b">
        <f t="shared" si="1"/>
        <v>0</v>
      </c>
      <c r="N1002" s="99"/>
      <c r="O1002" s="85"/>
      <c r="P1002" s="68"/>
    </row>
    <row r="1003" hidden="1">
      <c r="A1003" s="68"/>
      <c r="B1003" s="79"/>
      <c r="C1003" s="77"/>
      <c r="D1003" s="79"/>
      <c r="E1003" s="79"/>
      <c r="F1003" s="93"/>
      <c r="G1003" s="93"/>
      <c r="H1003" s="103"/>
      <c r="I1003" s="79"/>
      <c r="J1003" s="100"/>
      <c r="K1003" s="97" t="b">
        <f>IF(AND($M1003=TRUE,$N1003=TRUE),VLOOKUP($E1003,RH!$B$47:$S$67,MONTH($G1003)+6,FALSE))</f>
        <v>0</v>
      </c>
      <c r="L1003" s="98">
        <f>IFERROR(IF(AND($M1003=TRUE,$N1003=TRUE),VLOOKUP($E1003,RH!$B$47:$S$67,MONTH($G1003)+6,FALSE)*$H1003,0),0)</f>
        <v>0</v>
      </c>
      <c r="M1003" s="99" t="b">
        <f t="shared" si="1"/>
        <v>0</v>
      </c>
      <c r="N1003" s="99"/>
      <c r="O1003" s="85"/>
      <c r="P1003" s="68"/>
    </row>
    <row r="1004" hidden="1">
      <c r="A1004" s="68"/>
      <c r="B1004" s="79"/>
      <c r="C1004" s="77"/>
      <c r="D1004" s="79"/>
      <c r="E1004" s="79"/>
      <c r="F1004" s="93"/>
      <c r="G1004" s="93"/>
      <c r="H1004" s="103"/>
      <c r="I1004" s="79"/>
      <c r="J1004" s="100"/>
      <c r="K1004" s="97" t="b">
        <f>IF(AND($M1004=TRUE,$N1004=TRUE),VLOOKUP($E1004,RH!$B$47:$S$67,MONTH($G1004)+6,FALSE))</f>
        <v>0</v>
      </c>
      <c r="L1004" s="98">
        <f>IFERROR(IF(AND($M1004=TRUE,$N1004=TRUE),VLOOKUP($E1004,RH!$B$47:$S$67,MONTH($G1004)+6,FALSE)*$H1004,0),0)</f>
        <v>0</v>
      </c>
      <c r="M1004" s="99" t="b">
        <f t="shared" si="1"/>
        <v>0</v>
      </c>
      <c r="N1004" s="99"/>
      <c r="O1004" s="85"/>
      <c r="P1004" s="68"/>
    </row>
    <row r="1005" hidden="1">
      <c r="A1005" s="68"/>
      <c r="B1005" s="79"/>
      <c r="C1005" s="77"/>
      <c r="D1005" s="79"/>
      <c r="E1005" s="79"/>
      <c r="F1005" s="93"/>
      <c r="G1005" s="93"/>
      <c r="H1005" s="103"/>
      <c r="I1005" s="79"/>
      <c r="J1005" s="100"/>
      <c r="K1005" s="97" t="b">
        <f>IF(AND($M1005=TRUE,$N1005=TRUE),VLOOKUP($E1005,RH!$B$47:$S$67,MONTH($G1005)+6,FALSE))</f>
        <v>0</v>
      </c>
      <c r="L1005" s="98">
        <f>IFERROR(IF(AND($M1005=TRUE,$N1005=TRUE),VLOOKUP($E1005,RH!$B$47:$S$67,MONTH($G1005)+6,FALSE)*$H1005,0),0)</f>
        <v>0</v>
      </c>
      <c r="M1005" s="99" t="b">
        <f t="shared" si="1"/>
        <v>0</v>
      </c>
      <c r="N1005" s="99"/>
      <c r="O1005" s="85"/>
      <c r="P1005" s="68"/>
    </row>
    <row r="1006" hidden="1">
      <c r="A1006" s="68"/>
      <c r="B1006" s="79"/>
      <c r="C1006" s="77"/>
      <c r="D1006" s="79"/>
      <c r="E1006" s="79"/>
      <c r="F1006" s="93"/>
      <c r="G1006" s="93"/>
      <c r="H1006" s="103"/>
      <c r="I1006" s="79"/>
      <c r="J1006" s="100"/>
      <c r="K1006" s="97" t="b">
        <f>IF(AND($M1006=TRUE,$N1006=TRUE),VLOOKUP($E1006,RH!$B$47:$S$67,MONTH($G1006)+6,FALSE))</f>
        <v>0</v>
      </c>
      <c r="L1006" s="98">
        <f>IFERROR(IF(AND($M1006=TRUE,$N1006=TRUE),VLOOKUP($E1006,RH!$B$47:$S$67,MONTH($G1006)+6,FALSE)*$H1006,0),0)</f>
        <v>0</v>
      </c>
      <c r="M1006" s="99" t="b">
        <f t="shared" si="1"/>
        <v>0</v>
      </c>
      <c r="N1006" s="99"/>
      <c r="O1006" s="85"/>
      <c r="P1006" s="68"/>
    </row>
    <row r="1007" hidden="1">
      <c r="A1007" s="68"/>
      <c r="B1007" s="79"/>
      <c r="C1007" s="77"/>
      <c r="D1007" s="79"/>
      <c r="E1007" s="79"/>
      <c r="F1007" s="93"/>
      <c r="G1007" s="93"/>
      <c r="H1007" s="103"/>
      <c r="I1007" s="79"/>
      <c r="J1007" s="100"/>
      <c r="K1007" s="97" t="b">
        <f>IF(AND($M1007=TRUE,$N1007=TRUE),VLOOKUP($E1007,RH!$B$47:$S$67,MONTH($G1007)+6,FALSE))</f>
        <v>0</v>
      </c>
      <c r="L1007" s="98">
        <f>IFERROR(IF(AND($M1007=TRUE,$N1007=TRUE),VLOOKUP($E1007,RH!$B$47:$S$67,MONTH($G1007)+6,FALSE)*$H1007,0),0)</f>
        <v>0</v>
      </c>
      <c r="M1007" s="99" t="b">
        <f t="shared" si="1"/>
        <v>0</v>
      </c>
      <c r="N1007" s="99"/>
      <c r="O1007" s="85"/>
      <c r="P1007" s="68"/>
    </row>
    <row r="1008" hidden="1">
      <c r="A1008" s="68"/>
      <c r="B1008" s="79"/>
      <c r="C1008" s="77"/>
      <c r="D1008" s="79"/>
      <c r="E1008" s="79"/>
      <c r="F1008" s="93"/>
      <c r="G1008" s="93"/>
      <c r="H1008" s="103"/>
      <c r="I1008" s="79"/>
      <c r="J1008" s="100"/>
      <c r="K1008" s="97" t="b">
        <f>IF(AND($M1008=TRUE,$N1008=TRUE),VLOOKUP($E1008,RH!$B$47:$S$67,MONTH($G1008)+6,FALSE))</f>
        <v>0</v>
      </c>
      <c r="L1008" s="98">
        <f>IFERROR(IF(AND($M1008=TRUE,$N1008=TRUE),VLOOKUP($E1008,RH!$B$47:$S$67,MONTH($G1008)+6,FALSE)*$H1008,0),0)</f>
        <v>0</v>
      </c>
      <c r="M1008" s="99" t="b">
        <f t="shared" si="1"/>
        <v>0</v>
      </c>
      <c r="N1008" s="99"/>
      <c r="O1008" s="85"/>
      <c r="P1008" s="68"/>
    </row>
    <row r="1009" hidden="1">
      <c r="A1009" s="68"/>
      <c r="B1009" s="79"/>
      <c r="C1009" s="77"/>
      <c r="D1009" s="79"/>
      <c r="E1009" s="79"/>
      <c r="F1009" s="93"/>
      <c r="G1009" s="93"/>
      <c r="H1009" s="103"/>
      <c r="I1009" s="79"/>
      <c r="J1009" s="100"/>
      <c r="K1009" s="97" t="b">
        <f>IF(AND($M1009=TRUE,$N1009=TRUE),VLOOKUP($E1009,RH!$B$47:$S$67,MONTH($G1009)+6,FALSE))</f>
        <v>0</v>
      </c>
      <c r="L1009" s="98">
        <f>IFERROR(IF(AND($M1009=TRUE,$N1009=TRUE),VLOOKUP($E1009,RH!$B$47:$S$67,MONTH($G1009)+6,FALSE)*$H1009,0),0)</f>
        <v>0</v>
      </c>
      <c r="M1009" s="99" t="b">
        <f t="shared" si="1"/>
        <v>0</v>
      </c>
      <c r="N1009" s="99"/>
      <c r="O1009" s="85"/>
      <c r="P1009" s="68"/>
    </row>
    <row r="1010" hidden="1">
      <c r="A1010" s="68"/>
      <c r="B1010" s="79"/>
      <c r="C1010" s="77"/>
      <c r="D1010" s="79"/>
      <c r="E1010" s="79"/>
      <c r="F1010" s="93"/>
      <c r="G1010" s="93"/>
      <c r="H1010" s="103"/>
      <c r="I1010" s="79"/>
      <c r="J1010" s="100"/>
      <c r="K1010" s="97" t="b">
        <f>IF(AND($M1010=TRUE,$N1010=TRUE),VLOOKUP($E1010,RH!$B$47:$S$67,MONTH($G1010)+6,FALSE))</f>
        <v>0</v>
      </c>
      <c r="L1010" s="98">
        <f>IFERROR(IF(AND($M1010=TRUE,$N1010=TRUE),VLOOKUP($E1010,RH!$B$47:$S$67,MONTH($G1010)+6,FALSE)*$H1010,0),0)</f>
        <v>0</v>
      </c>
      <c r="M1010" s="99" t="b">
        <f t="shared" si="1"/>
        <v>0</v>
      </c>
      <c r="N1010" s="99"/>
      <c r="O1010" s="85"/>
      <c r="P1010" s="68"/>
    </row>
    <row r="1011" hidden="1">
      <c r="A1011" s="68"/>
      <c r="B1011" s="79"/>
      <c r="C1011" s="77"/>
      <c r="D1011" s="79"/>
      <c r="E1011" s="79"/>
      <c r="F1011" s="93"/>
      <c r="G1011" s="93"/>
      <c r="H1011" s="103"/>
      <c r="I1011" s="79"/>
      <c r="J1011" s="100"/>
      <c r="K1011" s="97" t="b">
        <f>IF(AND($M1011=TRUE,$N1011=TRUE),VLOOKUP($E1011,RH!$B$47:$S$67,MONTH($G1011)+6,FALSE))</f>
        <v>0</v>
      </c>
      <c r="L1011" s="98">
        <f>IFERROR(IF(AND($M1011=TRUE,$N1011=TRUE),VLOOKUP($E1011,RH!$B$47:$S$67,MONTH($G1011)+6,FALSE)*$H1011,0),0)</f>
        <v>0</v>
      </c>
      <c r="M1011" s="99" t="b">
        <f t="shared" si="1"/>
        <v>0</v>
      </c>
      <c r="N1011" s="99"/>
      <c r="O1011" s="85"/>
      <c r="P1011" s="68"/>
    </row>
    <row r="1012" hidden="1">
      <c r="A1012" s="68"/>
      <c r="B1012" s="79"/>
      <c r="C1012" s="77"/>
      <c r="D1012" s="79"/>
      <c r="E1012" s="79"/>
      <c r="F1012" s="93"/>
      <c r="G1012" s="93"/>
      <c r="H1012" s="103"/>
      <c r="I1012" s="79"/>
      <c r="J1012" s="100"/>
      <c r="K1012" s="97" t="b">
        <f>IF(AND($M1012=TRUE,$N1012=TRUE),VLOOKUP($E1012,RH!$B$47:$S$67,MONTH($G1012)+6,FALSE))</f>
        <v>0</v>
      </c>
      <c r="L1012" s="98">
        <f>IFERROR(IF(AND($M1012=TRUE,$N1012=TRUE),VLOOKUP($E1012,RH!$B$47:$S$67,MONTH($G1012)+6,FALSE)*$H1012,0),0)</f>
        <v>0</v>
      </c>
      <c r="M1012" s="99" t="b">
        <f t="shared" si="1"/>
        <v>0</v>
      </c>
      <c r="N1012" s="99"/>
      <c r="O1012" s="85"/>
      <c r="P1012" s="68"/>
    </row>
    <row r="1013">
      <c r="A1013" s="68"/>
      <c r="B1013" s="79"/>
      <c r="C1013" s="77"/>
      <c r="D1013" s="79"/>
      <c r="E1013" s="79"/>
      <c r="F1013" s="93"/>
      <c r="G1013" s="93"/>
      <c r="H1013" s="103"/>
      <c r="I1013" s="79"/>
      <c r="J1013" s="100"/>
      <c r="K1013" s="97"/>
      <c r="L1013" s="98"/>
      <c r="M1013" s="99" t="b">
        <v>0</v>
      </c>
      <c r="N1013" s="99"/>
      <c r="O1013" s="85"/>
      <c r="P1013" s="68"/>
    </row>
    <row r="1014">
      <c r="A1014" s="68"/>
      <c r="B1014" s="79"/>
      <c r="C1014" s="77"/>
      <c r="D1014" s="79"/>
      <c r="E1014" s="79"/>
      <c r="F1014" s="93"/>
      <c r="G1014" s="93"/>
      <c r="H1014" s="103"/>
      <c r="I1014" s="79"/>
      <c r="J1014" s="100"/>
      <c r="K1014" s="97"/>
      <c r="L1014" s="98"/>
      <c r="M1014" s="99" t="b">
        <v>0</v>
      </c>
      <c r="N1014" s="99"/>
      <c r="O1014" s="85"/>
      <c r="P1014" s="68"/>
    </row>
    <row r="1015">
      <c r="A1015" s="68"/>
      <c r="B1015" s="79"/>
      <c r="C1015" s="77"/>
      <c r="D1015" s="79"/>
      <c r="E1015" s="79"/>
      <c r="F1015" s="93"/>
      <c r="G1015" s="93"/>
      <c r="H1015" s="103"/>
      <c r="I1015" s="79"/>
      <c r="J1015" s="100"/>
      <c r="K1015" s="97"/>
      <c r="L1015" s="98"/>
      <c r="M1015" s="99" t="b">
        <v>0</v>
      </c>
      <c r="N1015" s="99"/>
      <c r="O1015" s="85"/>
      <c r="P1015" s="68"/>
    </row>
    <row r="1016">
      <c r="A1016" s="68"/>
      <c r="B1016" s="79"/>
      <c r="C1016" s="77"/>
      <c r="D1016" s="79"/>
      <c r="E1016" s="79"/>
      <c r="F1016" s="93"/>
      <c r="G1016" s="93"/>
      <c r="H1016" s="103"/>
      <c r="I1016" s="79"/>
      <c r="J1016" s="100"/>
      <c r="K1016" s="97"/>
      <c r="L1016" s="98"/>
      <c r="M1016" s="99" t="b">
        <v>0</v>
      </c>
      <c r="N1016" s="99"/>
      <c r="O1016" s="85"/>
      <c r="P1016" s="68"/>
    </row>
    <row r="1017">
      <c r="A1017" s="68"/>
      <c r="B1017" s="79"/>
      <c r="C1017" s="77"/>
      <c r="D1017" s="79"/>
      <c r="E1017" s="79"/>
      <c r="F1017" s="93"/>
      <c r="G1017" s="93"/>
      <c r="H1017" s="103"/>
      <c r="I1017" s="79"/>
      <c r="J1017" s="100"/>
      <c r="K1017" s="97"/>
      <c r="L1017" s="98"/>
      <c r="M1017" s="99" t="b">
        <v>0</v>
      </c>
      <c r="N1017" s="99"/>
      <c r="O1017" s="85"/>
      <c r="P1017" s="68"/>
    </row>
    <row r="1018">
      <c r="A1018" s="68"/>
      <c r="B1018" s="79"/>
      <c r="C1018" s="77"/>
      <c r="D1018" s="79"/>
      <c r="E1018" s="79"/>
      <c r="F1018" s="93"/>
      <c r="G1018" s="93"/>
      <c r="H1018" s="103"/>
      <c r="I1018" s="79"/>
      <c r="J1018" s="100"/>
      <c r="K1018" s="97"/>
      <c r="L1018" s="98"/>
      <c r="M1018" s="99" t="b">
        <v>0</v>
      </c>
      <c r="N1018" s="99"/>
      <c r="O1018" s="85"/>
      <c r="P1018" s="68"/>
    </row>
    <row r="1019">
      <c r="A1019" s="68"/>
      <c r="B1019" s="79"/>
      <c r="C1019" s="77"/>
      <c r="D1019" s="79"/>
      <c r="E1019" s="79"/>
      <c r="F1019" s="93"/>
      <c r="G1019" s="93"/>
      <c r="H1019" s="103"/>
      <c r="I1019" s="79"/>
      <c r="J1019" s="100"/>
      <c r="K1019" s="97"/>
      <c r="L1019" s="98"/>
      <c r="M1019" s="99" t="b">
        <v>0</v>
      </c>
      <c r="N1019" s="99"/>
      <c r="O1019" s="85"/>
      <c r="P1019" s="68"/>
    </row>
    <row r="1020">
      <c r="A1020" s="68"/>
      <c r="B1020" s="79"/>
      <c r="C1020" s="77"/>
      <c r="D1020" s="79"/>
      <c r="E1020" s="79"/>
      <c r="F1020" s="93"/>
      <c r="G1020" s="93"/>
      <c r="H1020" s="103"/>
      <c r="I1020" s="79"/>
      <c r="J1020" s="100"/>
      <c r="K1020" s="97"/>
      <c r="L1020" s="98"/>
      <c r="M1020" s="99" t="b">
        <v>0</v>
      </c>
      <c r="N1020" s="99"/>
      <c r="O1020" s="85"/>
      <c r="P1020" s="68"/>
    </row>
    <row r="1021">
      <c r="A1021" s="68"/>
      <c r="B1021" s="79"/>
      <c r="C1021" s="77"/>
      <c r="D1021" s="79"/>
      <c r="E1021" s="79"/>
      <c r="F1021" s="93"/>
      <c r="G1021" s="93"/>
      <c r="H1021" s="103"/>
      <c r="I1021" s="79"/>
      <c r="J1021" s="100"/>
      <c r="K1021" s="97"/>
      <c r="L1021" s="98"/>
      <c r="M1021" s="99" t="b">
        <v>0</v>
      </c>
      <c r="N1021" s="99"/>
      <c r="O1021" s="85"/>
      <c r="P1021" s="68"/>
    </row>
    <row r="1022">
      <c r="A1022" s="68"/>
      <c r="B1022" s="79"/>
      <c r="C1022" s="77"/>
      <c r="D1022" s="79"/>
      <c r="E1022" s="79"/>
      <c r="F1022" s="93"/>
      <c r="G1022" s="93"/>
      <c r="H1022" s="103"/>
      <c r="I1022" s="79"/>
      <c r="J1022" s="100"/>
      <c r="K1022" s="97"/>
      <c r="L1022" s="98"/>
      <c r="M1022" s="99" t="b">
        <v>0</v>
      </c>
      <c r="N1022" s="99"/>
      <c r="O1022" s="85"/>
      <c r="P1022" s="68"/>
    </row>
    <row r="1023">
      <c r="A1023" s="68"/>
      <c r="B1023" s="79"/>
      <c r="C1023" s="77"/>
      <c r="D1023" s="79"/>
      <c r="E1023" s="79"/>
      <c r="F1023" s="93"/>
      <c r="G1023" s="93"/>
      <c r="H1023" s="103"/>
      <c r="I1023" s="79"/>
      <c r="J1023" s="100"/>
      <c r="K1023" s="97"/>
      <c r="L1023" s="98"/>
      <c r="M1023" s="99" t="b">
        <v>0</v>
      </c>
      <c r="N1023" s="99"/>
      <c r="O1023" s="85"/>
      <c r="P1023" s="68"/>
    </row>
    <row r="1024">
      <c r="A1024" s="68"/>
      <c r="B1024" s="79"/>
      <c r="C1024" s="77"/>
      <c r="D1024" s="79"/>
      <c r="E1024" s="79"/>
      <c r="F1024" s="93"/>
      <c r="G1024" s="93"/>
      <c r="H1024" s="103"/>
      <c r="I1024" s="79"/>
      <c r="J1024" s="100"/>
      <c r="K1024" s="97"/>
      <c r="L1024" s="98"/>
      <c r="M1024" s="99" t="b">
        <v>0</v>
      </c>
      <c r="N1024" s="99"/>
      <c r="O1024" s="85"/>
      <c r="P1024" s="68"/>
    </row>
    <row r="1025">
      <c r="A1025" s="68"/>
      <c r="B1025" s="79"/>
      <c r="C1025" s="77"/>
      <c r="D1025" s="79"/>
      <c r="E1025" s="79"/>
      <c r="F1025" s="93"/>
      <c r="G1025" s="93"/>
      <c r="H1025" s="103"/>
      <c r="I1025" s="79"/>
      <c r="J1025" s="100"/>
      <c r="K1025" s="97"/>
      <c r="L1025" s="98"/>
      <c r="M1025" s="99" t="b">
        <v>0</v>
      </c>
      <c r="N1025" s="99"/>
      <c r="O1025" s="85"/>
      <c r="P1025" s="68"/>
    </row>
    <row r="1026">
      <c r="A1026" s="68"/>
      <c r="B1026" s="79"/>
      <c r="C1026" s="77"/>
      <c r="D1026" s="79"/>
      <c r="E1026" s="79"/>
      <c r="F1026" s="93"/>
      <c r="G1026" s="93"/>
      <c r="H1026" s="103"/>
      <c r="I1026" s="79"/>
      <c r="J1026" s="100"/>
      <c r="K1026" s="97"/>
      <c r="L1026" s="98"/>
      <c r="M1026" s="99" t="b">
        <v>0</v>
      </c>
      <c r="N1026" s="99"/>
      <c r="O1026" s="85"/>
      <c r="P1026" s="68"/>
    </row>
    <row r="1027">
      <c r="A1027" s="68"/>
      <c r="B1027" s="79"/>
      <c r="C1027" s="77"/>
      <c r="D1027" s="79"/>
      <c r="E1027" s="79"/>
      <c r="F1027" s="93"/>
      <c r="G1027" s="93"/>
      <c r="H1027" s="103"/>
      <c r="I1027" s="79"/>
      <c r="J1027" s="100"/>
      <c r="K1027" s="97"/>
      <c r="L1027" s="98"/>
      <c r="M1027" s="99" t="b">
        <v>0</v>
      </c>
      <c r="N1027" s="99"/>
      <c r="O1027" s="85"/>
      <c r="P1027" s="68"/>
    </row>
    <row r="1028">
      <c r="A1028" s="68"/>
      <c r="B1028" s="79"/>
      <c r="C1028" s="77"/>
      <c r="D1028" s="79"/>
      <c r="E1028" s="79"/>
      <c r="F1028" s="93"/>
      <c r="G1028" s="93"/>
      <c r="H1028" s="103"/>
      <c r="I1028" s="79"/>
      <c r="J1028" s="100"/>
      <c r="K1028" s="97"/>
      <c r="L1028" s="98"/>
      <c r="M1028" s="99" t="b">
        <v>0</v>
      </c>
      <c r="N1028" s="99"/>
      <c r="O1028" s="85"/>
      <c r="P1028" s="68"/>
    </row>
    <row r="1029">
      <c r="A1029" s="68"/>
      <c r="B1029" s="79"/>
      <c r="C1029" s="77"/>
      <c r="D1029" s="79"/>
      <c r="E1029" s="79"/>
      <c r="F1029" s="93"/>
      <c r="G1029" s="93"/>
      <c r="H1029" s="103"/>
      <c r="I1029" s="79"/>
      <c r="J1029" s="100"/>
      <c r="K1029" s="97"/>
      <c r="L1029" s="98"/>
      <c r="M1029" s="99" t="b">
        <v>0</v>
      </c>
      <c r="N1029" s="99"/>
      <c r="O1029" s="85"/>
      <c r="P1029" s="68"/>
    </row>
    <row r="1030">
      <c r="A1030" s="68"/>
      <c r="B1030" s="79"/>
      <c r="C1030" s="77"/>
      <c r="D1030" s="79"/>
      <c r="E1030" s="79"/>
      <c r="F1030" s="93"/>
      <c r="G1030" s="93"/>
      <c r="H1030" s="103"/>
      <c r="I1030" s="79"/>
      <c r="J1030" s="100"/>
      <c r="K1030" s="97"/>
      <c r="L1030" s="98"/>
      <c r="M1030" s="99" t="b">
        <v>0</v>
      </c>
      <c r="N1030" s="99"/>
      <c r="O1030" s="85"/>
      <c r="P1030" s="68"/>
    </row>
    <row r="1031">
      <c r="A1031" s="68"/>
      <c r="B1031" s="79"/>
      <c r="C1031" s="77"/>
      <c r="D1031" s="79"/>
      <c r="E1031" s="79"/>
      <c r="F1031" s="93"/>
      <c r="G1031" s="93"/>
      <c r="H1031" s="103"/>
      <c r="I1031" s="79"/>
      <c r="J1031" s="100"/>
      <c r="K1031" s="97"/>
      <c r="L1031" s="98"/>
      <c r="M1031" s="99" t="b">
        <v>0</v>
      </c>
      <c r="N1031" s="99"/>
      <c r="O1031" s="85"/>
      <c r="P1031" s="68"/>
    </row>
    <row r="1032">
      <c r="A1032" s="68"/>
      <c r="B1032" s="79"/>
      <c r="C1032" s="77"/>
      <c r="D1032" s="79"/>
      <c r="E1032" s="79"/>
      <c r="F1032" s="93"/>
      <c r="G1032" s="93"/>
      <c r="H1032" s="103"/>
      <c r="I1032" s="79"/>
      <c r="J1032" s="100"/>
      <c r="K1032" s="97"/>
      <c r="L1032" s="98"/>
      <c r="M1032" s="99" t="b">
        <v>0</v>
      </c>
      <c r="N1032" s="99"/>
      <c r="O1032" s="85"/>
      <c r="P1032" s="68"/>
    </row>
    <row r="1033">
      <c r="A1033" s="68"/>
      <c r="B1033" s="79"/>
      <c r="C1033" s="77"/>
      <c r="D1033" s="79"/>
      <c r="E1033" s="79"/>
      <c r="F1033" s="93"/>
      <c r="G1033" s="93"/>
      <c r="H1033" s="103"/>
      <c r="I1033" s="79"/>
      <c r="J1033" s="100"/>
      <c r="K1033" s="97"/>
      <c r="L1033" s="98"/>
      <c r="M1033" s="99" t="b">
        <v>0</v>
      </c>
      <c r="N1033" s="99"/>
      <c r="O1033" s="85"/>
      <c r="P1033" s="68"/>
    </row>
    <row r="1034">
      <c r="A1034" s="68"/>
      <c r="B1034" s="79"/>
      <c r="C1034" s="77"/>
      <c r="D1034" s="79"/>
      <c r="E1034" s="79"/>
      <c r="F1034" s="93"/>
      <c r="G1034" s="93"/>
      <c r="H1034" s="103"/>
      <c r="I1034" s="79"/>
      <c r="J1034" s="100"/>
      <c r="K1034" s="97"/>
      <c r="L1034" s="98"/>
      <c r="M1034" s="99" t="b">
        <v>0</v>
      </c>
      <c r="N1034" s="99"/>
      <c r="O1034" s="85"/>
      <c r="P1034" s="68"/>
    </row>
    <row r="1035">
      <c r="A1035" s="68"/>
      <c r="B1035" s="79"/>
      <c r="C1035" s="77"/>
      <c r="D1035" s="79"/>
      <c r="E1035" s="79"/>
      <c r="F1035" s="93"/>
      <c r="G1035" s="93"/>
      <c r="H1035" s="103"/>
      <c r="I1035" s="79"/>
      <c r="J1035" s="100"/>
      <c r="K1035" s="97"/>
      <c r="L1035" s="98"/>
      <c r="M1035" s="99" t="b">
        <v>0</v>
      </c>
      <c r="N1035" s="99"/>
      <c r="O1035" s="85"/>
      <c r="P1035" s="68"/>
    </row>
    <row r="1036">
      <c r="A1036" s="68"/>
      <c r="B1036" s="79"/>
      <c r="C1036" s="77"/>
      <c r="D1036" s="79"/>
      <c r="E1036" s="79"/>
      <c r="F1036" s="93"/>
      <c r="G1036" s="93"/>
      <c r="H1036" s="103"/>
      <c r="I1036" s="79"/>
      <c r="J1036" s="100"/>
      <c r="K1036" s="97"/>
      <c r="L1036" s="98"/>
      <c r="M1036" s="99" t="b">
        <v>0</v>
      </c>
      <c r="N1036" s="99"/>
      <c r="O1036" s="85"/>
      <c r="P1036" s="68"/>
    </row>
    <row r="1037">
      <c r="A1037" s="68"/>
      <c r="B1037" s="79"/>
      <c r="C1037" s="77"/>
      <c r="D1037" s="79"/>
      <c r="E1037" s="79"/>
      <c r="F1037" s="93"/>
      <c r="G1037" s="93"/>
      <c r="H1037" s="103"/>
      <c r="I1037" s="79"/>
      <c r="J1037" s="100"/>
      <c r="K1037" s="97"/>
      <c r="L1037" s="98"/>
      <c r="M1037" s="99" t="b">
        <v>0</v>
      </c>
      <c r="N1037" s="99"/>
      <c r="O1037" s="85"/>
      <c r="P1037" s="68"/>
    </row>
    <row r="1038">
      <c r="A1038" s="68"/>
      <c r="B1038" s="79"/>
      <c r="C1038" s="77"/>
      <c r="D1038" s="79"/>
      <c r="E1038" s="79"/>
      <c r="F1038" s="93"/>
      <c r="G1038" s="93"/>
      <c r="H1038" s="103"/>
      <c r="I1038" s="79"/>
      <c r="J1038" s="100"/>
      <c r="K1038" s="97"/>
      <c r="L1038" s="98"/>
      <c r="M1038" s="99" t="b">
        <v>0</v>
      </c>
      <c r="N1038" s="99"/>
      <c r="O1038" s="85"/>
      <c r="P1038" s="68"/>
    </row>
    <row r="1039">
      <c r="A1039" s="68"/>
      <c r="B1039" s="79"/>
      <c r="C1039" s="77"/>
      <c r="D1039" s="79"/>
      <c r="E1039" s="79"/>
      <c r="F1039" s="93"/>
      <c r="G1039" s="93"/>
      <c r="H1039" s="103"/>
      <c r="I1039" s="79"/>
      <c r="J1039" s="100"/>
      <c r="K1039" s="97"/>
      <c r="L1039" s="98"/>
      <c r="M1039" s="99" t="b">
        <v>0</v>
      </c>
      <c r="N1039" s="99"/>
      <c r="O1039" s="85"/>
      <c r="P1039" s="68"/>
    </row>
    <row r="1040">
      <c r="A1040" s="68"/>
      <c r="B1040" s="79"/>
      <c r="C1040" s="77"/>
      <c r="D1040" s="79"/>
      <c r="E1040" s="79"/>
      <c r="F1040" s="93"/>
      <c r="G1040" s="93"/>
      <c r="H1040" s="103"/>
      <c r="I1040" s="79"/>
      <c r="J1040" s="100"/>
      <c r="K1040" s="97"/>
      <c r="L1040" s="98"/>
      <c r="M1040" s="99" t="b">
        <v>0</v>
      </c>
      <c r="N1040" s="99"/>
      <c r="O1040" s="85"/>
      <c r="P1040" s="68"/>
    </row>
    <row r="1041">
      <c r="A1041" s="68"/>
      <c r="B1041" s="79"/>
      <c r="C1041" s="77"/>
      <c r="D1041" s="79"/>
      <c r="E1041" s="79"/>
      <c r="F1041" s="93"/>
      <c r="G1041" s="93"/>
      <c r="H1041" s="103"/>
      <c r="I1041" s="79"/>
      <c r="J1041" s="100"/>
      <c r="K1041" s="97"/>
      <c r="L1041" s="98"/>
      <c r="M1041" s="99" t="b">
        <v>0</v>
      </c>
      <c r="N1041" s="99"/>
      <c r="O1041" s="85"/>
      <c r="P1041" s="68"/>
    </row>
    <row r="1042">
      <c r="A1042" s="68"/>
      <c r="B1042" s="79"/>
      <c r="C1042" s="77"/>
      <c r="D1042" s="79"/>
      <c r="E1042" s="79"/>
      <c r="F1042" s="93"/>
      <c r="G1042" s="93"/>
      <c r="H1042" s="103"/>
      <c r="I1042" s="79"/>
      <c r="J1042" s="100"/>
      <c r="K1042" s="97"/>
      <c r="L1042" s="98"/>
      <c r="M1042" s="99" t="b">
        <v>0</v>
      </c>
      <c r="N1042" s="99"/>
      <c r="O1042" s="85"/>
      <c r="P1042" s="68"/>
    </row>
    <row r="1043">
      <c r="A1043" s="68"/>
      <c r="B1043" s="79"/>
      <c r="C1043" s="77"/>
      <c r="D1043" s="79"/>
      <c r="E1043" s="79"/>
      <c r="F1043" s="93"/>
      <c r="G1043" s="93"/>
      <c r="H1043" s="103"/>
      <c r="I1043" s="79"/>
      <c r="J1043" s="100"/>
      <c r="K1043" s="97"/>
      <c r="L1043" s="98"/>
      <c r="M1043" s="99" t="b">
        <v>0</v>
      </c>
      <c r="N1043" s="99"/>
      <c r="O1043" s="85"/>
      <c r="P1043" s="68"/>
    </row>
    <row r="1044">
      <c r="A1044" s="68"/>
      <c r="B1044" s="79"/>
      <c r="C1044" s="77"/>
      <c r="D1044" s="79"/>
      <c r="E1044" s="79"/>
      <c r="F1044" s="93"/>
      <c r="G1044" s="93"/>
      <c r="H1044" s="103"/>
      <c r="I1044" s="79"/>
      <c r="J1044" s="100"/>
      <c r="K1044" s="97"/>
      <c r="L1044" s="98"/>
      <c r="M1044" s="99" t="b">
        <v>0</v>
      </c>
      <c r="N1044" s="99"/>
      <c r="O1044" s="85"/>
      <c r="P1044" s="68"/>
    </row>
    <row r="1045">
      <c r="A1045" s="68"/>
      <c r="B1045" s="79"/>
      <c r="C1045" s="77"/>
      <c r="D1045" s="79"/>
      <c r="E1045" s="79"/>
      <c r="F1045" s="93"/>
      <c r="G1045" s="93"/>
      <c r="H1045" s="103"/>
      <c r="I1045" s="79"/>
      <c r="J1045" s="100"/>
      <c r="K1045" s="97"/>
      <c r="L1045" s="98"/>
      <c r="M1045" s="99" t="b">
        <v>0</v>
      </c>
      <c r="N1045" s="99"/>
      <c r="O1045" s="85"/>
      <c r="P1045" s="68"/>
    </row>
    <row r="1046">
      <c r="A1046" s="68"/>
      <c r="B1046" s="79"/>
      <c r="C1046" s="77"/>
      <c r="D1046" s="79"/>
      <c r="E1046" s="79"/>
      <c r="F1046" s="93"/>
      <c r="G1046" s="93"/>
      <c r="H1046" s="103"/>
      <c r="I1046" s="79"/>
      <c r="J1046" s="100"/>
      <c r="K1046" s="97"/>
      <c r="L1046" s="98"/>
      <c r="M1046" s="99" t="b">
        <v>0</v>
      </c>
      <c r="N1046" s="99"/>
      <c r="O1046" s="85"/>
      <c r="P1046" s="68"/>
    </row>
    <row r="1047">
      <c r="A1047" s="68"/>
      <c r="B1047" s="79"/>
      <c r="C1047" s="77"/>
      <c r="D1047" s="79"/>
      <c r="E1047" s="79"/>
      <c r="F1047" s="93"/>
      <c r="G1047" s="93"/>
      <c r="H1047" s="103"/>
      <c r="I1047" s="79"/>
      <c r="J1047" s="100"/>
      <c r="K1047" s="97"/>
      <c r="L1047" s="98"/>
      <c r="M1047" s="99" t="b">
        <v>0</v>
      </c>
      <c r="N1047" s="99"/>
      <c r="O1047" s="85"/>
      <c r="P1047" s="68"/>
    </row>
    <row r="1048">
      <c r="A1048" s="68"/>
      <c r="B1048" s="79"/>
      <c r="C1048" s="77"/>
      <c r="D1048" s="79"/>
      <c r="E1048" s="79"/>
      <c r="F1048" s="93"/>
      <c r="G1048" s="93"/>
      <c r="H1048" s="103"/>
      <c r="I1048" s="79"/>
      <c r="J1048" s="100"/>
      <c r="K1048" s="97"/>
      <c r="L1048" s="98"/>
      <c r="M1048" s="99" t="b">
        <v>0</v>
      </c>
      <c r="N1048" s="99"/>
      <c r="O1048" s="85"/>
      <c r="P1048" s="68"/>
    </row>
    <row r="1049">
      <c r="A1049" s="68"/>
      <c r="B1049" s="79"/>
      <c r="C1049" s="77"/>
      <c r="D1049" s="79"/>
      <c r="E1049" s="79"/>
      <c r="F1049" s="93"/>
      <c r="G1049" s="93"/>
      <c r="H1049" s="103"/>
      <c r="I1049" s="79"/>
      <c r="J1049" s="100"/>
      <c r="K1049" s="97"/>
      <c r="L1049" s="98"/>
      <c r="M1049" s="99" t="b">
        <v>0</v>
      </c>
      <c r="N1049" s="99"/>
      <c r="O1049" s="85"/>
      <c r="P1049" s="68"/>
    </row>
    <row r="1050">
      <c r="A1050" s="68"/>
      <c r="B1050" s="79"/>
      <c r="C1050" s="77"/>
      <c r="D1050" s="79"/>
      <c r="E1050" s="79"/>
      <c r="F1050" s="93"/>
      <c r="G1050" s="93"/>
      <c r="H1050" s="103"/>
      <c r="I1050" s="79"/>
      <c r="J1050" s="100"/>
      <c r="K1050" s="97"/>
      <c r="L1050" s="98"/>
      <c r="M1050" s="99" t="b">
        <v>0</v>
      </c>
      <c r="N1050" s="99"/>
      <c r="O1050" s="85"/>
      <c r="P1050" s="68"/>
    </row>
    <row r="1051">
      <c r="A1051" s="68"/>
      <c r="B1051" s="79"/>
      <c r="C1051" s="77"/>
      <c r="D1051" s="79"/>
      <c r="E1051" s="79"/>
      <c r="F1051" s="93"/>
      <c r="G1051" s="93"/>
      <c r="H1051" s="103"/>
      <c r="I1051" s="79"/>
      <c r="J1051" s="100"/>
      <c r="K1051" s="97"/>
      <c r="L1051" s="98"/>
      <c r="M1051" s="99" t="b">
        <v>0</v>
      </c>
      <c r="N1051" s="99"/>
      <c r="O1051" s="85"/>
      <c r="P1051" s="68"/>
    </row>
    <row r="1052">
      <c r="A1052" s="68"/>
      <c r="B1052" s="79"/>
      <c r="C1052" s="77"/>
      <c r="D1052" s="79"/>
      <c r="E1052" s="79"/>
      <c r="F1052" s="93"/>
      <c r="G1052" s="93"/>
      <c r="H1052" s="103"/>
      <c r="I1052" s="79"/>
      <c r="J1052" s="100"/>
      <c r="K1052" s="97"/>
      <c r="L1052" s="98"/>
      <c r="M1052" s="99" t="b">
        <v>0</v>
      </c>
      <c r="N1052" s="99"/>
      <c r="O1052" s="85"/>
      <c r="P1052" s="68"/>
    </row>
    <row r="1053">
      <c r="A1053" s="68"/>
      <c r="B1053" s="79"/>
      <c r="C1053" s="77"/>
      <c r="D1053" s="79"/>
      <c r="E1053" s="79"/>
      <c r="F1053" s="93"/>
      <c r="G1053" s="93"/>
      <c r="H1053" s="103"/>
      <c r="I1053" s="79"/>
      <c r="J1053" s="100"/>
      <c r="K1053" s="97"/>
      <c r="L1053" s="98"/>
      <c r="M1053" s="99" t="b">
        <v>0</v>
      </c>
      <c r="N1053" s="99"/>
      <c r="O1053" s="85"/>
      <c r="P1053" s="68"/>
    </row>
    <row r="1054">
      <c r="A1054" s="68"/>
      <c r="B1054" s="79"/>
      <c r="C1054" s="77"/>
      <c r="D1054" s="79"/>
      <c r="E1054" s="79"/>
      <c r="F1054" s="93"/>
      <c r="G1054" s="93"/>
      <c r="H1054" s="103"/>
      <c r="I1054" s="79"/>
      <c r="J1054" s="100"/>
      <c r="K1054" s="97"/>
      <c r="L1054" s="98"/>
      <c r="M1054" s="99" t="b">
        <v>0</v>
      </c>
      <c r="N1054" s="99"/>
      <c r="O1054" s="85"/>
      <c r="P1054" s="68"/>
    </row>
    <row r="1055">
      <c r="A1055" s="68"/>
      <c r="B1055" s="79"/>
      <c r="C1055" s="77"/>
      <c r="D1055" s="79"/>
      <c r="E1055" s="79"/>
      <c r="F1055" s="93"/>
      <c r="G1055" s="93"/>
      <c r="H1055" s="103"/>
      <c r="I1055" s="79"/>
      <c r="J1055" s="100"/>
      <c r="K1055" s="97"/>
      <c r="L1055" s="98"/>
      <c r="M1055" s="99" t="b">
        <v>0</v>
      </c>
      <c r="N1055" s="99"/>
      <c r="O1055" s="85"/>
      <c r="P1055" s="68"/>
    </row>
    <row r="1056">
      <c r="A1056" s="68"/>
      <c r="B1056" s="79"/>
      <c r="C1056" s="77"/>
      <c r="D1056" s="79"/>
      <c r="E1056" s="79"/>
      <c r="F1056" s="93"/>
      <c r="G1056" s="93"/>
      <c r="H1056" s="103"/>
      <c r="I1056" s="79"/>
      <c r="J1056" s="100"/>
      <c r="K1056" s="97"/>
      <c r="L1056" s="98"/>
      <c r="M1056" s="99" t="b">
        <v>0</v>
      </c>
      <c r="N1056" s="99"/>
      <c r="O1056" s="85"/>
      <c r="P1056" s="68"/>
    </row>
    <row r="1057">
      <c r="A1057" s="68"/>
      <c r="B1057" s="79"/>
      <c r="C1057" s="77"/>
      <c r="D1057" s="79"/>
      <c r="E1057" s="79"/>
      <c r="F1057" s="93"/>
      <c r="G1057" s="93"/>
      <c r="H1057" s="103"/>
      <c r="I1057" s="79"/>
      <c r="J1057" s="100"/>
      <c r="K1057" s="97"/>
      <c r="L1057" s="98"/>
      <c r="M1057" s="99" t="b">
        <v>0</v>
      </c>
      <c r="N1057" s="99"/>
      <c r="O1057" s="85"/>
      <c r="P1057" s="68"/>
    </row>
    <row r="1058">
      <c r="A1058" s="68"/>
      <c r="B1058" s="79"/>
      <c r="C1058" s="77"/>
      <c r="D1058" s="79"/>
      <c r="E1058" s="79"/>
      <c r="F1058" s="93"/>
      <c r="G1058" s="93"/>
      <c r="H1058" s="103"/>
      <c r="I1058" s="79"/>
      <c r="J1058" s="100"/>
      <c r="K1058" s="97"/>
      <c r="L1058" s="98"/>
      <c r="M1058" s="99" t="b">
        <v>0</v>
      </c>
      <c r="N1058" s="99"/>
      <c r="O1058" s="85"/>
      <c r="P1058" s="68"/>
    </row>
    <row r="1059">
      <c r="A1059" s="68"/>
      <c r="B1059" s="79"/>
      <c r="C1059" s="77"/>
      <c r="D1059" s="79"/>
      <c r="E1059" s="79"/>
      <c r="F1059" s="93"/>
      <c r="G1059" s="93"/>
      <c r="H1059" s="103"/>
      <c r="I1059" s="79"/>
      <c r="J1059" s="100"/>
      <c r="K1059" s="97"/>
      <c r="L1059" s="98"/>
      <c r="M1059" s="99" t="b">
        <v>0</v>
      </c>
      <c r="N1059" s="99"/>
      <c r="O1059" s="85"/>
      <c r="P1059" s="68"/>
    </row>
    <row r="1060">
      <c r="A1060" s="68"/>
      <c r="B1060" s="79"/>
      <c r="C1060" s="77"/>
      <c r="D1060" s="79"/>
      <c r="E1060" s="79"/>
      <c r="F1060" s="93"/>
      <c r="G1060" s="93"/>
      <c r="H1060" s="103"/>
      <c r="I1060" s="79"/>
      <c r="J1060" s="100"/>
      <c r="K1060" s="97"/>
      <c r="L1060" s="98"/>
      <c r="M1060" s="99" t="b">
        <v>0</v>
      </c>
      <c r="N1060" s="99"/>
      <c r="O1060" s="85"/>
      <c r="P1060" s="68"/>
    </row>
    <row r="1061">
      <c r="A1061" s="68"/>
      <c r="B1061" s="79"/>
      <c r="C1061" s="77"/>
      <c r="D1061" s="79"/>
      <c r="E1061" s="79"/>
      <c r="F1061" s="93"/>
      <c r="G1061" s="93"/>
      <c r="H1061" s="103"/>
      <c r="I1061" s="79"/>
      <c r="J1061" s="100"/>
      <c r="K1061" s="97"/>
      <c r="L1061" s="98"/>
      <c r="M1061" s="99" t="b">
        <v>0</v>
      </c>
      <c r="N1061" s="99"/>
      <c r="O1061" s="85"/>
      <c r="P1061" s="68"/>
    </row>
    <row r="1062">
      <c r="A1062" s="68"/>
      <c r="B1062" s="79"/>
      <c r="C1062" s="77"/>
      <c r="D1062" s="79"/>
      <c r="E1062" s="79"/>
      <c r="F1062" s="93"/>
      <c r="G1062" s="93"/>
      <c r="H1062" s="103"/>
      <c r="I1062" s="79"/>
      <c r="J1062" s="100"/>
      <c r="K1062" s="97"/>
      <c r="L1062" s="98"/>
      <c r="M1062" s="99" t="b">
        <v>0</v>
      </c>
      <c r="N1062" s="99"/>
      <c r="O1062" s="85"/>
      <c r="P1062" s="68"/>
    </row>
    <row r="1063">
      <c r="A1063" s="68"/>
      <c r="B1063" s="79"/>
      <c r="C1063" s="77"/>
      <c r="D1063" s="79"/>
      <c r="E1063" s="79"/>
      <c r="F1063" s="93"/>
      <c r="G1063" s="93"/>
      <c r="H1063" s="103"/>
      <c r="I1063" s="79"/>
      <c r="J1063" s="100"/>
      <c r="K1063" s="97"/>
      <c r="L1063" s="98"/>
      <c r="M1063" s="99" t="b">
        <v>0</v>
      </c>
      <c r="N1063" s="99"/>
      <c r="O1063" s="85"/>
      <c r="P1063" s="68"/>
    </row>
    <row r="1064">
      <c r="A1064" s="68"/>
      <c r="B1064" s="79"/>
      <c r="C1064" s="77"/>
      <c r="D1064" s="79"/>
      <c r="E1064" s="79"/>
      <c r="F1064" s="93"/>
      <c r="G1064" s="93"/>
      <c r="H1064" s="103"/>
      <c r="I1064" s="79"/>
      <c r="J1064" s="100"/>
      <c r="K1064" s="97"/>
      <c r="L1064" s="98"/>
      <c r="M1064" s="99" t="b">
        <v>0</v>
      </c>
      <c r="N1064" s="99"/>
      <c r="O1064" s="85"/>
      <c r="P1064" s="68"/>
    </row>
    <row r="1065">
      <c r="A1065" s="68"/>
      <c r="B1065" s="79"/>
      <c r="C1065" s="77"/>
      <c r="D1065" s="79"/>
      <c r="E1065" s="79"/>
      <c r="F1065" s="93"/>
      <c r="G1065" s="93"/>
      <c r="H1065" s="103"/>
      <c r="I1065" s="79"/>
      <c r="J1065" s="100"/>
      <c r="K1065" s="97"/>
      <c r="L1065" s="98"/>
      <c r="M1065" s="99" t="b">
        <v>0</v>
      </c>
      <c r="N1065" s="99"/>
      <c r="O1065" s="85"/>
      <c r="P1065" s="68"/>
    </row>
    <row r="1066">
      <c r="A1066" s="68"/>
      <c r="B1066" s="79"/>
      <c r="C1066" s="77"/>
      <c r="D1066" s="79"/>
      <c r="E1066" s="79"/>
      <c r="F1066" s="93"/>
      <c r="G1066" s="93"/>
      <c r="H1066" s="103"/>
      <c r="I1066" s="79"/>
      <c r="J1066" s="100"/>
      <c r="K1066" s="97"/>
      <c r="L1066" s="98"/>
      <c r="M1066" s="99" t="b">
        <v>0</v>
      </c>
      <c r="N1066" s="99"/>
      <c r="O1066" s="85"/>
      <c r="P1066" s="68"/>
    </row>
    <row r="1067">
      <c r="A1067" s="68"/>
      <c r="B1067" s="79"/>
      <c r="C1067" s="77"/>
      <c r="D1067" s="79"/>
      <c r="E1067" s="79"/>
      <c r="F1067" s="93"/>
      <c r="G1067" s="93"/>
      <c r="H1067" s="103"/>
      <c r="I1067" s="79"/>
      <c r="J1067" s="100"/>
      <c r="K1067" s="97"/>
      <c r="L1067" s="98"/>
      <c r="M1067" s="99" t="b">
        <v>0</v>
      </c>
      <c r="N1067" s="99"/>
      <c r="O1067" s="85"/>
      <c r="P1067" s="68"/>
    </row>
    <row r="1068">
      <c r="A1068" s="68"/>
      <c r="B1068" s="79"/>
      <c r="C1068" s="77"/>
      <c r="D1068" s="79"/>
      <c r="E1068" s="79"/>
      <c r="F1068" s="93"/>
      <c r="G1068" s="93"/>
      <c r="H1068" s="103"/>
      <c r="I1068" s="79"/>
      <c r="J1068" s="100"/>
      <c r="K1068" s="97"/>
      <c r="L1068" s="98"/>
      <c r="M1068" s="99" t="b">
        <v>0</v>
      </c>
      <c r="N1068" s="99"/>
      <c r="O1068" s="85"/>
      <c r="P1068" s="68"/>
    </row>
    <row r="1069">
      <c r="A1069" s="68"/>
      <c r="B1069" s="79"/>
      <c r="C1069" s="77"/>
      <c r="D1069" s="79"/>
      <c r="E1069" s="79"/>
      <c r="F1069" s="93"/>
      <c r="G1069" s="93"/>
      <c r="H1069" s="103"/>
      <c r="I1069" s="79"/>
      <c r="J1069" s="100"/>
      <c r="K1069" s="97"/>
      <c r="L1069" s="98"/>
      <c r="M1069" s="99" t="b">
        <v>0</v>
      </c>
      <c r="N1069" s="99"/>
      <c r="O1069" s="85"/>
      <c r="P1069" s="68"/>
    </row>
    <row r="1070">
      <c r="A1070" s="68"/>
      <c r="B1070" s="79"/>
      <c r="C1070" s="77"/>
      <c r="D1070" s="79"/>
      <c r="E1070" s="79"/>
      <c r="F1070" s="93"/>
      <c r="G1070" s="93"/>
      <c r="H1070" s="103"/>
      <c r="I1070" s="79"/>
      <c r="J1070" s="100"/>
      <c r="K1070" s="97"/>
      <c r="L1070" s="98"/>
      <c r="M1070" s="99" t="b">
        <v>0</v>
      </c>
      <c r="N1070" s="99"/>
      <c r="O1070" s="85"/>
      <c r="P1070" s="68"/>
    </row>
    <row r="1071">
      <c r="A1071" s="68"/>
      <c r="B1071" s="79"/>
      <c r="C1071" s="77"/>
      <c r="D1071" s="79"/>
      <c r="E1071" s="79"/>
      <c r="F1071" s="93"/>
      <c r="G1071" s="93"/>
      <c r="H1071" s="103"/>
      <c r="I1071" s="79"/>
      <c r="J1071" s="100"/>
      <c r="K1071" s="97"/>
      <c r="L1071" s="98"/>
      <c r="M1071" s="99" t="b">
        <v>0</v>
      </c>
      <c r="N1071" s="99"/>
      <c r="O1071" s="85"/>
      <c r="P1071" s="68"/>
    </row>
    <row r="1072">
      <c r="A1072" s="68"/>
      <c r="B1072" s="79"/>
      <c r="C1072" s="77"/>
      <c r="D1072" s="79"/>
      <c r="E1072" s="79"/>
      <c r="F1072" s="93"/>
      <c r="G1072" s="93"/>
      <c r="H1072" s="103"/>
      <c r="I1072" s="79"/>
      <c r="J1072" s="100"/>
      <c r="K1072" s="97"/>
      <c r="L1072" s="98"/>
      <c r="M1072" s="99" t="b">
        <v>0</v>
      </c>
      <c r="N1072" s="99"/>
      <c r="O1072" s="85"/>
      <c r="P1072" s="68"/>
    </row>
    <row r="1073">
      <c r="A1073" s="68"/>
      <c r="B1073" s="79"/>
      <c r="C1073" s="77"/>
      <c r="D1073" s="79"/>
      <c r="E1073" s="79"/>
      <c r="F1073" s="93"/>
      <c r="G1073" s="93"/>
      <c r="H1073" s="103"/>
      <c r="I1073" s="79"/>
      <c r="J1073" s="100"/>
      <c r="K1073" s="97"/>
      <c r="L1073" s="98"/>
      <c r="M1073" s="99" t="b">
        <v>0</v>
      </c>
      <c r="N1073" s="99"/>
      <c r="O1073" s="85"/>
      <c r="P1073" s="68"/>
    </row>
    <row r="1074">
      <c r="A1074" s="68"/>
      <c r="B1074" s="79"/>
      <c r="C1074" s="77"/>
      <c r="D1074" s="79"/>
      <c r="E1074" s="79"/>
      <c r="F1074" s="93"/>
      <c r="G1074" s="93"/>
      <c r="H1074" s="103"/>
      <c r="I1074" s="79"/>
      <c r="J1074" s="100"/>
      <c r="K1074" s="97"/>
      <c r="L1074" s="98"/>
      <c r="M1074" s="99" t="b">
        <v>0</v>
      </c>
      <c r="N1074" s="99"/>
      <c r="O1074" s="85"/>
      <c r="P1074" s="68"/>
    </row>
    <row r="1075">
      <c r="A1075" s="68"/>
      <c r="B1075" s="79"/>
      <c r="C1075" s="77"/>
      <c r="D1075" s="79"/>
      <c r="E1075" s="79"/>
      <c r="F1075" s="93"/>
      <c r="G1075" s="93"/>
      <c r="H1075" s="103"/>
      <c r="I1075" s="79"/>
      <c r="J1075" s="100"/>
      <c r="K1075" s="97"/>
      <c r="L1075" s="98"/>
      <c r="M1075" s="99" t="b">
        <v>0</v>
      </c>
      <c r="N1075" s="99"/>
      <c r="O1075" s="85"/>
      <c r="P1075" s="68"/>
    </row>
    <row r="1076">
      <c r="A1076" s="68"/>
      <c r="B1076" s="79"/>
      <c r="C1076" s="77"/>
      <c r="D1076" s="79"/>
      <c r="E1076" s="79"/>
      <c r="F1076" s="93"/>
      <c r="G1076" s="93"/>
      <c r="H1076" s="103"/>
      <c r="I1076" s="79"/>
      <c r="J1076" s="100"/>
      <c r="K1076" s="97"/>
      <c r="L1076" s="98"/>
      <c r="M1076" s="99" t="b">
        <v>0</v>
      </c>
      <c r="N1076" s="99"/>
      <c r="O1076" s="85"/>
      <c r="P1076" s="68"/>
    </row>
    <row r="1077">
      <c r="A1077" s="68"/>
      <c r="B1077" s="79"/>
      <c r="C1077" s="77"/>
      <c r="D1077" s="79"/>
      <c r="E1077" s="79"/>
      <c r="F1077" s="93"/>
      <c r="G1077" s="93"/>
      <c r="H1077" s="103"/>
      <c r="I1077" s="79"/>
      <c r="J1077" s="100"/>
      <c r="K1077" s="97"/>
      <c r="L1077" s="98"/>
      <c r="M1077" s="99" t="b">
        <v>0</v>
      </c>
      <c r="N1077" s="99"/>
      <c r="O1077" s="85"/>
      <c r="P1077" s="68"/>
    </row>
    <row r="1078">
      <c r="A1078" s="68"/>
      <c r="B1078" s="79"/>
      <c r="C1078" s="77"/>
      <c r="D1078" s="79"/>
      <c r="E1078" s="79"/>
      <c r="F1078" s="93"/>
      <c r="G1078" s="93"/>
      <c r="H1078" s="103"/>
      <c r="I1078" s="79"/>
      <c r="J1078" s="100"/>
      <c r="K1078" s="97"/>
      <c r="L1078" s="98"/>
      <c r="M1078" s="99" t="b">
        <v>0</v>
      </c>
      <c r="N1078" s="99"/>
      <c r="O1078" s="85"/>
      <c r="P1078" s="68"/>
    </row>
    <row r="1079">
      <c r="A1079" s="68"/>
      <c r="B1079" s="79"/>
      <c r="C1079" s="77"/>
      <c r="D1079" s="79"/>
      <c r="E1079" s="79"/>
      <c r="F1079" s="93"/>
      <c r="G1079" s="93"/>
      <c r="H1079" s="103"/>
      <c r="I1079" s="79"/>
      <c r="J1079" s="100"/>
      <c r="K1079" s="97"/>
      <c r="L1079" s="98"/>
      <c r="M1079" s="99" t="b">
        <v>0</v>
      </c>
      <c r="N1079" s="99"/>
      <c r="O1079" s="85"/>
      <c r="P1079" s="68"/>
    </row>
    <row r="1080">
      <c r="A1080" s="68"/>
      <c r="B1080" s="79"/>
      <c r="C1080" s="77"/>
      <c r="D1080" s="79"/>
      <c r="E1080" s="79"/>
      <c r="F1080" s="93"/>
      <c r="G1080" s="93"/>
      <c r="H1080" s="103"/>
      <c r="I1080" s="79"/>
      <c r="J1080" s="100"/>
      <c r="K1080" s="97"/>
      <c r="L1080" s="98"/>
      <c r="M1080" s="99" t="b">
        <v>0</v>
      </c>
      <c r="N1080" s="99"/>
      <c r="O1080" s="85"/>
      <c r="P1080" s="68"/>
    </row>
    <row r="1081">
      <c r="A1081" s="68"/>
      <c r="B1081" s="79"/>
      <c r="C1081" s="77"/>
      <c r="D1081" s="79"/>
      <c r="E1081" s="79"/>
      <c r="F1081" s="93"/>
      <c r="G1081" s="93"/>
      <c r="H1081" s="103"/>
      <c r="I1081" s="79"/>
      <c r="J1081" s="100"/>
      <c r="K1081" s="97"/>
      <c r="L1081" s="98"/>
      <c r="M1081" s="99" t="b">
        <v>0</v>
      </c>
      <c r="N1081" s="99"/>
      <c r="O1081" s="85"/>
      <c r="P1081" s="68"/>
    </row>
    <row r="1082">
      <c r="A1082" s="68"/>
      <c r="B1082" s="79"/>
      <c r="C1082" s="77"/>
      <c r="D1082" s="79"/>
      <c r="E1082" s="79"/>
      <c r="F1082" s="93"/>
      <c r="G1082" s="93"/>
      <c r="H1082" s="103"/>
      <c r="I1082" s="79"/>
      <c r="J1082" s="100"/>
      <c r="K1082" s="97"/>
      <c r="L1082" s="98"/>
      <c r="M1082" s="99" t="b">
        <v>0</v>
      </c>
      <c r="N1082" s="99"/>
      <c r="O1082" s="85"/>
      <c r="P1082" s="68"/>
    </row>
    <row r="1083">
      <c r="A1083" s="68"/>
      <c r="B1083" s="79"/>
      <c r="C1083" s="77"/>
      <c r="D1083" s="79"/>
      <c r="E1083" s="79"/>
      <c r="F1083" s="93"/>
      <c r="G1083" s="93"/>
      <c r="H1083" s="103"/>
      <c r="I1083" s="79"/>
      <c r="J1083" s="100"/>
      <c r="K1083" s="97"/>
      <c r="L1083" s="98"/>
      <c r="M1083" s="99" t="b">
        <v>0</v>
      </c>
      <c r="N1083" s="99"/>
      <c r="O1083" s="85"/>
      <c r="P1083" s="68"/>
    </row>
    <row r="1084">
      <c r="A1084" s="68"/>
      <c r="B1084" s="79"/>
      <c r="C1084" s="77"/>
      <c r="D1084" s="79"/>
      <c r="E1084" s="79"/>
      <c r="F1084" s="93"/>
      <c r="G1084" s="93"/>
      <c r="H1084" s="103"/>
      <c r="I1084" s="79"/>
      <c r="J1084" s="100"/>
      <c r="K1084" s="97"/>
      <c r="L1084" s="98"/>
      <c r="M1084" s="99" t="b">
        <v>0</v>
      </c>
      <c r="N1084" s="99"/>
      <c r="O1084" s="85"/>
      <c r="P1084" s="68"/>
    </row>
    <row r="1085">
      <c r="A1085" s="68"/>
      <c r="B1085" s="79"/>
      <c r="C1085" s="77"/>
      <c r="D1085" s="79"/>
      <c r="E1085" s="79"/>
      <c r="F1085" s="93"/>
      <c r="G1085" s="93"/>
      <c r="H1085" s="103"/>
      <c r="I1085" s="79"/>
      <c r="J1085" s="100"/>
      <c r="K1085" s="97"/>
      <c r="L1085" s="98"/>
      <c r="M1085" s="99" t="b">
        <v>0</v>
      </c>
      <c r="N1085" s="99"/>
      <c r="O1085" s="85"/>
      <c r="P1085" s="68"/>
    </row>
    <row r="1086">
      <c r="A1086" s="68"/>
      <c r="B1086" s="79"/>
      <c r="C1086" s="77"/>
      <c r="D1086" s="79"/>
      <c r="E1086" s="79"/>
      <c r="F1086" s="93"/>
      <c r="G1086" s="93"/>
      <c r="H1086" s="103"/>
      <c r="I1086" s="79"/>
      <c r="J1086" s="100"/>
      <c r="K1086" s="97"/>
      <c r="L1086" s="98"/>
      <c r="M1086" s="99" t="b">
        <v>0</v>
      </c>
      <c r="N1086" s="99"/>
      <c r="O1086" s="85"/>
      <c r="P1086" s="68"/>
    </row>
    <row r="1087">
      <c r="A1087" s="68"/>
      <c r="B1087" s="79"/>
      <c r="C1087" s="77"/>
      <c r="D1087" s="79"/>
      <c r="E1087" s="79"/>
      <c r="F1087" s="93"/>
      <c r="G1087" s="93"/>
      <c r="H1087" s="103"/>
      <c r="I1087" s="79"/>
      <c r="J1087" s="100"/>
      <c r="K1087" s="97"/>
      <c r="L1087" s="98"/>
      <c r="M1087" s="99" t="b">
        <v>0</v>
      </c>
      <c r="N1087" s="99"/>
      <c r="O1087" s="85"/>
      <c r="P1087" s="68"/>
    </row>
    <row r="1088">
      <c r="A1088" s="68"/>
      <c r="B1088" s="79"/>
      <c r="C1088" s="77"/>
      <c r="D1088" s="79"/>
      <c r="E1088" s="79"/>
      <c r="F1088" s="93"/>
      <c r="G1088" s="93"/>
      <c r="H1088" s="103"/>
      <c r="I1088" s="79"/>
      <c r="J1088" s="100"/>
      <c r="K1088" s="97"/>
      <c r="L1088" s="98"/>
      <c r="M1088" s="99" t="b">
        <v>0</v>
      </c>
      <c r="N1088" s="99"/>
      <c r="O1088" s="85"/>
      <c r="P1088" s="68"/>
    </row>
    <row r="1089">
      <c r="A1089" s="68"/>
      <c r="B1089" s="79"/>
      <c r="C1089" s="77"/>
      <c r="D1089" s="79"/>
      <c r="E1089" s="79"/>
      <c r="F1089" s="93"/>
      <c r="G1089" s="93"/>
      <c r="H1089" s="103"/>
      <c r="I1089" s="79"/>
      <c r="J1089" s="100"/>
      <c r="K1089" s="97"/>
      <c r="L1089" s="98"/>
      <c r="M1089" s="99" t="b">
        <v>0</v>
      </c>
      <c r="N1089" s="99"/>
      <c r="O1089" s="85"/>
      <c r="P1089" s="68"/>
    </row>
    <row r="1090">
      <c r="A1090" s="68"/>
      <c r="B1090" s="79"/>
      <c r="C1090" s="77"/>
      <c r="D1090" s="79"/>
      <c r="E1090" s="79"/>
      <c r="F1090" s="93"/>
      <c r="G1090" s="93"/>
      <c r="H1090" s="103"/>
      <c r="I1090" s="79"/>
      <c r="J1090" s="100"/>
      <c r="K1090" s="97"/>
      <c r="L1090" s="98"/>
      <c r="M1090" s="99" t="b">
        <v>0</v>
      </c>
      <c r="N1090" s="99"/>
      <c r="O1090" s="85"/>
      <c r="P1090" s="68"/>
    </row>
    <row r="1091">
      <c r="A1091" s="68"/>
      <c r="B1091" s="79"/>
      <c r="C1091" s="77"/>
      <c r="D1091" s="79"/>
      <c r="E1091" s="79"/>
      <c r="F1091" s="93"/>
      <c r="G1091" s="93"/>
      <c r="H1091" s="103"/>
      <c r="I1091" s="79"/>
      <c r="J1091" s="100"/>
      <c r="K1091" s="97"/>
      <c r="L1091" s="98"/>
      <c r="M1091" s="99" t="b">
        <v>0</v>
      </c>
      <c r="N1091" s="99"/>
      <c r="O1091" s="85"/>
      <c r="P1091" s="68"/>
    </row>
    <row r="1092">
      <c r="A1092" s="68"/>
      <c r="B1092" s="79"/>
      <c r="C1092" s="77"/>
      <c r="D1092" s="79"/>
      <c r="E1092" s="79"/>
      <c r="F1092" s="93"/>
      <c r="G1092" s="93"/>
      <c r="H1092" s="103"/>
      <c r="I1092" s="79"/>
      <c r="J1092" s="100"/>
      <c r="K1092" s="97"/>
      <c r="L1092" s="98"/>
      <c r="M1092" s="99" t="b">
        <v>0</v>
      </c>
      <c r="N1092" s="99"/>
      <c r="O1092" s="85"/>
      <c r="P1092" s="68"/>
    </row>
    <row r="1093">
      <c r="A1093" s="68"/>
      <c r="B1093" s="79"/>
      <c r="C1093" s="77"/>
      <c r="D1093" s="79"/>
      <c r="E1093" s="79"/>
      <c r="F1093" s="93"/>
      <c r="G1093" s="93"/>
      <c r="H1093" s="103"/>
      <c r="I1093" s="79"/>
      <c r="J1093" s="100"/>
      <c r="K1093" s="97"/>
      <c r="L1093" s="98"/>
      <c r="M1093" s="99" t="b">
        <v>0</v>
      </c>
      <c r="N1093" s="99"/>
      <c r="O1093" s="85"/>
      <c r="P1093" s="68"/>
    </row>
    <row r="1094">
      <c r="A1094" s="68"/>
      <c r="B1094" s="79"/>
      <c r="C1094" s="77"/>
      <c r="D1094" s="79"/>
      <c r="E1094" s="79"/>
      <c r="F1094" s="93"/>
      <c r="G1094" s="93"/>
      <c r="H1094" s="103"/>
      <c r="I1094" s="79"/>
      <c r="J1094" s="100"/>
      <c r="K1094" s="97"/>
      <c r="L1094" s="98"/>
      <c r="M1094" s="99" t="b">
        <v>0</v>
      </c>
      <c r="N1094" s="99"/>
      <c r="O1094" s="85"/>
      <c r="P1094" s="68"/>
    </row>
    <row r="1095">
      <c r="A1095" s="68"/>
      <c r="B1095" s="79"/>
      <c r="C1095" s="77"/>
      <c r="D1095" s="79"/>
      <c r="E1095" s="79"/>
      <c r="F1095" s="93"/>
      <c r="G1095" s="93"/>
      <c r="H1095" s="103"/>
      <c r="I1095" s="79"/>
      <c r="J1095" s="100"/>
      <c r="K1095" s="97"/>
      <c r="L1095" s="98"/>
      <c r="M1095" s="99" t="b">
        <v>0</v>
      </c>
      <c r="N1095" s="99"/>
      <c r="O1095" s="85"/>
      <c r="P1095" s="68"/>
    </row>
    <row r="1096">
      <c r="A1096" s="68"/>
      <c r="B1096" s="79"/>
      <c r="C1096" s="77"/>
      <c r="D1096" s="79"/>
      <c r="E1096" s="79"/>
      <c r="F1096" s="93"/>
      <c r="G1096" s="93"/>
      <c r="H1096" s="103"/>
      <c r="I1096" s="79"/>
      <c r="J1096" s="100"/>
      <c r="K1096" s="97"/>
      <c r="L1096" s="98"/>
      <c r="M1096" s="99" t="b">
        <v>0</v>
      </c>
      <c r="N1096" s="99"/>
      <c r="O1096" s="85"/>
      <c r="P1096" s="68"/>
    </row>
    <row r="1097">
      <c r="A1097" s="68"/>
      <c r="B1097" s="79"/>
      <c r="C1097" s="77"/>
      <c r="D1097" s="79"/>
      <c r="E1097" s="79"/>
      <c r="F1097" s="93"/>
      <c r="G1097" s="93"/>
      <c r="H1097" s="103"/>
      <c r="I1097" s="79"/>
      <c r="J1097" s="100"/>
      <c r="K1097" s="97"/>
      <c r="L1097" s="98"/>
      <c r="M1097" s="99" t="b">
        <v>0</v>
      </c>
      <c r="N1097" s="99"/>
      <c r="O1097" s="85"/>
      <c r="P1097" s="68"/>
    </row>
    <row r="1098">
      <c r="A1098" s="68"/>
      <c r="B1098" s="79"/>
      <c r="C1098" s="77"/>
      <c r="D1098" s="79"/>
      <c r="E1098" s="79"/>
      <c r="F1098" s="93"/>
      <c r="G1098" s="93"/>
      <c r="H1098" s="103"/>
      <c r="I1098" s="79"/>
      <c r="J1098" s="100"/>
      <c r="K1098" s="97"/>
      <c r="L1098" s="98"/>
      <c r="M1098" s="99" t="b">
        <v>0</v>
      </c>
      <c r="N1098" s="99"/>
      <c r="O1098" s="85"/>
      <c r="P1098" s="68"/>
    </row>
    <row r="1099">
      <c r="A1099" s="68"/>
      <c r="B1099" s="79"/>
      <c r="C1099" s="77"/>
      <c r="D1099" s="79"/>
      <c r="E1099" s="79"/>
      <c r="F1099" s="93"/>
      <c r="G1099" s="93"/>
      <c r="H1099" s="103"/>
      <c r="I1099" s="79"/>
      <c r="J1099" s="100"/>
      <c r="K1099" s="97"/>
      <c r="L1099" s="98"/>
      <c r="M1099" s="99" t="b">
        <v>0</v>
      </c>
      <c r="N1099" s="99"/>
      <c r="O1099" s="85"/>
      <c r="P1099" s="68"/>
    </row>
    <row r="1100">
      <c r="A1100" s="68"/>
      <c r="B1100" s="79"/>
      <c r="C1100" s="77"/>
      <c r="D1100" s="79"/>
      <c r="E1100" s="79"/>
      <c r="F1100" s="93"/>
      <c r="G1100" s="93"/>
      <c r="H1100" s="103"/>
      <c r="I1100" s="79"/>
      <c r="J1100" s="100"/>
      <c r="K1100" s="97"/>
      <c r="L1100" s="98"/>
      <c r="M1100" s="99" t="b">
        <v>0</v>
      </c>
      <c r="N1100" s="99"/>
      <c r="O1100" s="85"/>
      <c r="P1100" s="68"/>
    </row>
    <row r="1101">
      <c r="A1101" s="68"/>
      <c r="B1101" s="79"/>
      <c r="C1101" s="77"/>
      <c r="D1101" s="79"/>
      <c r="E1101" s="79"/>
      <c r="F1101" s="93"/>
      <c r="G1101" s="93"/>
      <c r="H1101" s="103"/>
      <c r="I1101" s="79"/>
      <c r="J1101" s="100"/>
      <c r="K1101" s="97"/>
      <c r="L1101" s="98"/>
      <c r="M1101" s="99" t="b">
        <v>0</v>
      </c>
      <c r="N1101" s="99"/>
      <c r="O1101" s="85"/>
      <c r="P1101" s="68"/>
    </row>
    <row r="1102">
      <c r="A1102" s="68"/>
      <c r="B1102" s="79"/>
      <c r="C1102" s="77"/>
      <c r="D1102" s="79"/>
      <c r="E1102" s="79"/>
      <c r="F1102" s="93"/>
      <c r="G1102" s="93"/>
      <c r="H1102" s="103"/>
      <c r="I1102" s="79"/>
      <c r="J1102" s="100"/>
      <c r="K1102" s="97"/>
      <c r="L1102" s="98"/>
      <c r="M1102" s="99" t="b">
        <v>0</v>
      </c>
      <c r="N1102" s="99"/>
      <c r="O1102" s="85"/>
      <c r="P1102" s="68"/>
    </row>
    <row r="1103">
      <c r="A1103" s="68"/>
      <c r="B1103" s="79"/>
      <c r="C1103" s="77"/>
      <c r="D1103" s="79"/>
      <c r="E1103" s="79"/>
      <c r="F1103" s="93"/>
      <c r="G1103" s="93"/>
      <c r="H1103" s="103"/>
      <c r="I1103" s="79"/>
      <c r="J1103" s="100"/>
      <c r="K1103" s="97"/>
      <c r="L1103" s="98"/>
      <c r="M1103" s="99" t="b">
        <v>0</v>
      </c>
      <c r="N1103" s="99"/>
      <c r="O1103" s="85"/>
      <c r="P1103" s="68"/>
    </row>
    <row r="1104">
      <c r="A1104" s="68"/>
      <c r="B1104" s="79"/>
      <c r="C1104" s="77"/>
      <c r="D1104" s="79"/>
      <c r="E1104" s="79"/>
      <c r="F1104" s="93"/>
      <c r="G1104" s="93"/>
      <c r="H1104" s="103"/>
      <c r="I1104" s="79"/>
      <c r="J1104" s="100"/>
      <c r="K1104" s="97"/>
      <c r="L1104" s="98"/>
      <c r="M1104" s="99" t="b">
        <v>0</v>
      </c>
      <c r="N1104" s="99"/>
      <c r="O1104" s="85"/>
      <c r="P1104" s="68"/>
    </row>
    <row r="1105">
      <c r="A1105" s="68"/>
      <c r="B1105" s="79"/>
      <c r="C1105" s="77"/>
      <c r="D1105" s="79"/>
      <c r="E1105" s="79"/>
      <c r="F1105" s="93"/>
      <c r="G1105" s="93"/>
      <c r="H1105" s="103"/>
      <c r="I1105" s="79"/>
      <c r="J1105" s="100"/>
      <c r="K1105" s="97"/>
      <c r="L1105" s="98"/>
      <c r="M1105" s="99" t="b">
        <v>0</v>
      </c>
      <c r="N1105" s="99"/>
      <c r="O1105" s="85"/>
      <c r="P1105" s="68"/>
    </row>
    <row r="1106">
      <c r="A1106" s="68"/>
      <c r="B1106" s="79"/>
      <c r="C1106" s="77"/>
      <c r="D1106" s="79"/>
      <c r="E1106" s="79"/>
      <c r="F1106" s="93"/>
      <c r="G1106" s="93"/>
      <c r="H1106" s="103"/>
      <c r="I1106" s="79"/>
      <c r="J1106" s="100"/>
      <c r="K1106" s="97"/>
      <c r="L1106" s="98"/>
      <c r="M1106" s="99" t="b">
        <v>0</v>
      </c>
      <c r="N1106" s="99"/>
      <c r="O1106" s="85"/>
      <c r="P1106" s="68"/>
    </row>
    <row r="1107">
      <c r="A1107" s="68"/>
      <c r="B1107" s="79"/>
      <c r="C1107" s="77"/>
      <c r="D1107" s="79"/>
      <c r="E1107" s="79"/>
      <c r="F1107" s="93"/>
      <c r="G1107" s="93"/>
      <c r="H1107" s="103"/>
      <c r="I1107" s="79"/>
      <c r="J1107" s="100"/>
      <c r="K1107" s="97"/>
      <c r="L1107" s="98"/>
      <c r="M1107" s="99" t="b">
        <v>0</v>
      </c>
      <c r="N1107" s="99"/>
      <c r="O1107" s="85"/>
      <c r="P1107" s="68"/>
    </row>
    <row r="1108">
      <c r="A1108" s="68"/>
      <c r="B1108" s="79"/>
      <c r="C1108" s="77"/>
      <c r="D1108" s="79"/>
      <c r="E1108" s="79"/>
      <c r="F1108" s="93"/>
      <c r="G1108" s="93"/>
      <c r="H1108" s="103"/>
      <c r="I1108" s="79"/>
      <c r="J1108" s="100"/>
      <c r="K1108" s="97"/>
      <c r="L1108" s="98"/>
      <c r="M1108" s="99" t="b">
        <v>0</v>
      </c>
      <c r="N1108" s="99"/>
      <c r="O1108" s="85"/>
      <c r="P1108" s="68"/>
    </row>
    <row r="1109">
      <c r="A1109" s="68"/>
      <c r="B1109" s="79"/>
      <c r="C1109" s="77"/>
      <c r="D1109" s="79"/>
      <c r="E1109" s="79"/>
      <c r="F1109" s="93"/>
      <c r="G1109" s="93"/>
      <c r="H1109" s="103"/>
      <c r="I1109" s="79"/>
      <c r="J1109" s="100"/>
      <c r="K1109" s="97"/>
      <c r="L1109" s="98"/>
      <c r="M1109" s="99" t="b">
        <v>0</v>
      </c>
      <c r="N1109" s="99"/>
      <c r="O1109" s="85"/>
      <c r="P1109" s="68"/>
    </row>
    <row r="1110">
      <c r="A1110" s="68"/>
      <c r="B1110" s="79"/>
      <c r="C1110" s="77"/>
      <c r="D1110" s="79"/>
      <c r="E1110" s="79"/>
      <c r="F1110" s="93"/>
      <c r="G1110" s="93"/>
      <c r="H1110" s="103"/>
      <c r="I1110" s="79"/>
      <c r="J1110" s="100"/>
      <c r="K1110" s="97"/>
      <c r="L1110" s="98"/>
      <c r="M1110" s="99" t="b">
        <v>0</v>
      </c>
      <c r="N1110" s="99"/>
      <c r="O1110" s="85"/>
      <c r="P1110" s="68"/>
    </row>
    <row r="1111">
      <c r="A1111" s="68"/>
      <c r="B1111" s="79"/>
      <c r="C1111" s="77"/>
      <c r="D1111" s="79"/>
      <c r="E1111" s="79"/>
      <c r="F1111" s="93"/>
      <c r="G1111" s="93"/>
      <c r="H1111" s="103"/>
      <c r="I1111" s="79"/>
      <c r="J1111" s="100"/>
      <c r="K1111" s="97"/>
      <c r="L1111" s="98"/>
      <c r="M1111" s="99" t="b">
        <v>0</v>
      </c>
      <c r="N1111" s="99"/>
      <c r="O1111" s="85"/>
      <c r="P1111" s="68"/>
    </row>
    <row r="1112">
      <c r="A1112" s="68"/>
      <c r="B1112" s="79"/>
      <c r="C1112" s="77"/>
      <c r="D1112" s="79"/>
      <c r="E1112" s="79"/>
      <c r="F1112" s="93"/>
      <c r="G1112" s="93"/>
      <c r="H1112" s="103"/>
      <c r="I1112" s="79"/>
      <c r="J1112" s="100"/>
      <c r="K1112" s="97"/>
      <c r="L1112" s="98"/>
      <c r="M1112" s="99" t="b">
        <v>0</v>
      </c>
      <c r="N1112" s="99"/>
      <c r="O1112" s="85"/>
      <c r="P1112" s="68"/>
    </row>
    <row r="1113">
      <c r="A1113" s="68"/>
      <c r="B1113" s="79"/>
      <c r="C1113" s="77"/>
      <c r="D1113" s="79"/>
      <c r="E1113" s="79"/>
      <c r="F1113" s="93"/>
      <c r="G1113" s="93"/>
      <c r="H1113" s="103"/>
      <c r="I1113" s="79"/>
      <c r="J1113" s="100"/>
      <c r="K1113" s="97"/>
      <c r="L1113" s="98"/>
      <c r="M1113" s="99" t="b">
        <v>0</v>
      </c>
      <c r="N1113" s="99"/>
      <c r="O1113" s="85"/>
      <c r="P1113" s="68"/>
    </row>
    <row r="1114">
      <c r="A1114" s="68"/>
      <c r="B1114" s="79"/>
      <c r="C1114" s="77"/>
      <c r="D1114" s="79"/>
      <c r="E1114" s="79"/>
      <c r="F1114" s="93"/>
      <c r="G1114" s="93"/>
      <c r="H1114" s="103"/>
      <c r="I1114" s="79"/>
      <c r="J1114" s="100"/>
      <c r="K1114" s="97"/>
      <c r="L1114" s="98"/>
      <c r="M1114" s="99" t="b">
        <v>0</v>
      </c>
      <c r="N1114" s="99"/>
      <c r="O1114" s="85"/>
      <c r="P1114" s="68"/>
    </row>
    <row r="1115">
      <c r="A1115" s="68"/>
      <c r="B1115" s="79"/>
      <c r="C1115" s="77"/>
      <c r="D1115" s="79"/>
      <c r="E1115" s="79"/>
      <c r="F1115" s="93"/>
      <c r="G1115" s="93"/>
      <c r="H1115" s="103"/>
      <c r="I1115" s="79"/>
      <c r="J1115" s="100"/>
      <c r="K1115" s="97"/>
      <c r="L1115" s="98"/>
      <c r="M1115" s="99" t="b">
        <v>0</v>
      </c>
      <c r="N1115" s="99"/>
      <c r="O1115" s="85"/>
      <c r="P1115" s="68"/>
    </row>
    <row r="1116">
      <c r="A1116" s="68"/>
      <c r="B1116" s="79"/>
      <c r="C1116" s="77"/>
      <c r="D1116" s="79"/>
      <c r="E1116" s="79"/>
      <c r="F1116" s="93"/>
      <c r="G1116" s="93"/>
      <c r="H1116" s="103"/>
      <c r="I1116" s="79"/>
      <c r="J1116" s="100"/>
      <c r="K1116" s="97"/>
      <c r="L1116" s="98"/>
      <c r="M1116" s="99" t="b">
        <v>0</v>
      </c>
      <c r="N1116" s="99"/>
      <c r="O1116" s="85"/>
      <c r="P1116" s="68"/>
    </row>
    <row r="1117">
      <c r="A1117" s="68"/>
      <c r="B1117" s="79"/>
      <c r="C1117" s="77"/>
      <c r="D1117" s="79"/>
      <c r="E1117" s="79"/>
      <c r="F1117" s="93"/>
      <c r="G1117" s="93"/>
      <c r="H1117" s="103"/>
      <c r="I1117" s="79"/>
      <c r="J1117" s="100"/>
      <c r="K1117" s="97"/>
      <c r="L1117" s="98"/>
      <c r="M1117" s="99" t="b">
        <v>0</v>
      </c>
      <c r="N1117" s="99"/>
      <c r="O1117" s="85"/>
      <c r="P1117" s="68"/>
    </row>
    <row r="1118">
      <c r="A1118" s="68"/>
      <c r="B1118" s="79"/>
      <c r="C1118" s="77"/>
      <c r="D1118" s="79"/>
      <c r="E1118" s="79"/>
      <c r="F1118" s="93"/>
      <c r="G1118" s="93"/>
      <c r="H1118" s="103"/>
      <c r="I1118" s="79"/>
      <c r="J1118" s="100"/>
      <c r="K1118" s="97"/>
      <c r="L1118" s="98"/>
      <c r="M1118" s="99" t="b">
        <v>0</v>
      </c>
      <c r="N1118" s="99"/>
      <c r="O1118" s="85"/>
      <c r="P1118" s="68"/>
    </row>
    <row r="1119">
      <c r="A1119" s="68"/>
      <c r="B1119" s="79"/>
      <c r="C1119" s="77"/>
      <c r="D1119" s="79"/>
      <c r="E1119" s="79"/>
      <c r="F1119" s="93"/>
      <c r="G1119" s="93"/>
      <c r="H1119" s="103"/>
      <c r="I1119" s="79"/>
      <c r="J1119" s="100"/>
      <c r="K1119" s="97"/>
      <c r="L1119" s="98"/>
      <c r="M1119" s="99" t="b">
        <v>0</v>
      </c>
      <c r="N1119" s="99"/>
      <c r="O1119" s="85"/>
      <c r="P1119" s="68"/>
    </row>
    <row r="1120">
      <c r="A1120" s="68"/>
      <c r="B1120" s="79"/>
      <c r="C1120" s="77"/>
      <c r="D1120" s="79"/>
      <c r="E1120" s="79"/>
      <c r="F1120" s="93"/>
      <c r="G1120" s="93"/>
      <c r="H1120" s="103"/>
      <c r="I1120" s="79"/>
      <c r="J1120" s="100"/>
      <c r="K1120" s="97"/>
      <c r="L1120" s="98"/>
      <c r="M1120" s="99" t="b">
        <v>0</v>
      </c>
      <c r="N1120" s="99"/>
      <c r="O1120" s="85"/>
      <c r="P1120" s="68"/>
    </row>
    <row r="1121">
      <c r="A1121" s="68"/>
      <c r="B1121" s="79"/>
      <c r="C1121" s="77"/>
      <c r="D1121" s="79"/>
      <c r="E1121" s="79"/>
      <c r="F1121" s="93"/>
      <c r="G1121" s="93"/>
      <c r="H1121" s="103"/>
      <c r="I1121" s="79"/>
      <c r="J1121" s="100"/>
      <c r="K1121" s="97"/>
      <c r="L1121" s="98"/>
      <c r="M1121" s="99" t="b">
        <v>0</v>
      </c>
      <c r="N1121" s="99"/>
      <c r="O1121" s="85"/>
      <c r="P1121" s="68"/>
    </row>
    <row r="1122">
      <c r="A1122" s="68"/>
      <c r="B1122" s="79"/>
      <c r="C1122" s="77"/>
      <c r="D1122" s="79"/>
      <c r="E1122" s="79"/>
      <c r="F1122" s="93"/>
      <c r="G1122" s="93"/>
      <c r="H1122" s="103"/>
      <c r="I1122" s="79"/>
      <c r="J1122" s="100"/>
      <c r="K1122" s="97"/>
      <c r="L1122" s="98"/>
      <c r="M1122" s="99" t="b">
        <v>0</v>
      </c>
      <c r="N1122" s="99"/>
      <c r="O1122" s="85"/>
      <c r="P1122" s="68"/>
    </row>
    <row r="1123">
      <c r="A1123" s="68"/>
      <c r="B1123" s="79"/>
      <c r="C1123" s="77"/>
      <c r="D1123" s="79"/>
      <c r="E1123" s="79"/>
      <c r="F1123" s="93"/>
      <c r="G1123" s="93"/>
      <c r="H1123" s="103"/>
      <c r="I1123" s="79"/>
      <c r="J1123" s="100"/>
      <c r="K1123" s="97"/>
      <c r="L1123" s="98"/>
      <c r="M1123" s="99" t="b">
        <v>0</v>
      </c>
      <c r="N1123" s="99"/>
      <c r="O1123" s="85"/>
      <c r="P1123" s="68"/>
    </row>
    <row r="1124">
      <c r="A1124" s="68"/>
      <c r="B1124" s="79"/>
      <c r="C1124" s="77"/>
      <c r="D1124" s="79"/>
      <c r="E1124" s="79"/>
      <c r="F1124" s="93"/>
      <c r="G1124" s="93"/>
      <c r="H1124" s="103"/>
      <c r="I1124" s="79"/>
      <c r="J1124" s="100"/>
      <c r="K1124" s="97"/>
      <c r="L1124" s="98"/>
      <c r="M1124" s="99" t="b">
        <v>0</v>
      </c>
      <c r="N1124" s="99"/>
      <c r="O1124" s="85"/>
      <c r="P1124" s="68"/>
    </row>
    <row r="1125">
      <c r="A1125" s="68"/>
      <c r="B1125" s="79"/>
      <c r="C1125" s="77"/>
      <c r="D1125" s="79"/>
      <c r="E1125" s="79"/>
      <c r="F1125" s="93"/>
      <c r="G1125" s="93"/>
      <c r="H1125" s="103"/>
      <c r="I1125" s="79"/>
      <c r="J1125" s="100"/>
      <c r="K1125" s="97"/>
      <c r="L1125" s="98"/>
      <c r="M1125" s="99" t="b">
        <v>0</v>
      </c>
      <c r="N1125" s="99"/>
      <c r="O1125" s="85"/>
      <c r="P1125" s="68"/>
    </row>
    <row r="1126">
      <c r="A1126" s="68"/>
      <c r="B1126" s="79"/>
      <c r="C1126" s="77"/>
      <c r="D1126" s="79"/>
      <c r="E1126" s="79"/>
      <c r="F1126" s="93"/>
      <c r="G1126" s="93"/>
      <c r="H1126" s="103"/>
      <c r="I1126" s="79"/>
      <c r="J1126" s="100"/>
      <c r="K1126" s="97"/>
      <c r="L1126" s="98"/>
      <c r="M1126" s="99" t="b">
        <v>0</v>
      </c>
      <c r="N1126" s="99"/>
      <c r="O1126" s="85"/>
      <c r="P1126" s="68"/>
    </row>
    <row r="1127">
      <c r="A1127" s="68"/>
      <c r="B1127" s="79"/>
      <c r="C1127" s="77"/>
      <c r="D1127" s="79"/>
      <c r="E1127" s="79"/>
      <c r="F1127" s="93"/>
      <c r="G1127" s="93"/>
      <c r="H1127" s="103"/>
      <c r="I1127" s="79"/>
      <c r="J1127" s="100"/>
      <c r="K1127" s="97"/>
      <c r="L1127" s="98"/>
      <c r="M1127" s="99" t="b">
        <v>0</v>
      </c>
      <c r="N1127" s="99"/>
      <c r="O1127" s="85"/>
      <c r="P1127" s="68"/>
    </row>
    <row r="1128">
      <c r="A1128" s="68"/>
      <c r="B1128" s="79"/>
      <c r="C1128" s="77"/>
      <c r="D1128" s="79"/>
      <c r="E1128" s="79"/>
      <c r="F1128" s="93"/>
      <c r="G1128" s="93"/>
      <c r="H1128" s="103"/>
      <c r="I1128" s="79"/>
      <c r="J1128" s="100"/>
      <c r="K1128" s="97"/>
      <c r="L1128" s="98"/>
      <c r="M1128" s="99" t="b">
        <v>0</v>
      </c>
      <c r="N1128" s="99"/>
      <c r="O1128" s="85"/>
      <c r="P1128" s="68"/>
    </row>
    <row r="1129">
      <c r="A1129" s="68"/>
      <c r="B1129" s="79"/>
      <c r="C1129" s="77"/>
      <c r="D1129" s="79"/>
      <c r="E1129" s="79"/>
      <c r="F1129" s="93"/>
      <c r="G1129" s="93"/>
      <c r="H1129" s="103"/>
      <c r="I1129" s="79"/>
      <c r="J1129" s="100"/>
      <c r="K1129" s="97"/>
      <c r="L1129" s="98"/>
      <c r="M1129" s="99" t="b">
        <v>0</v>
      </c>
      <c r="N1129" s="99"/>
      <c r="O1129" s="85"/>
      <c r="P1129" s="68"/>
    </row>
    <row r="1130">
      <c r="A1130" s="68"/>
      <c r="B1130" s="79"/>
      <c r="C1130" s="77"/>
      <c r="D1130" s="79"/>
      <c r="E1130" s="79"/>
      <c r="F1130" s="93"/>
      <c r="G1130" s="93"/>
      <c r="H1130" s="103"/>
      <c r="I1130" s="79"/>
      <c r="J1130" s="100"/>
      <c r="K1130" s="97"/>
      <c r="L1130" s="98"/>
      <c r="M1130" s="99" t="b">
        <v>0</v>
      </c>
      <c r="N1130" s="99"/>
      <c r="O1130" s="85"/>
      <c r="P1130" s="68"/>
    </row>
    <row r="1131">
      <c r="A1131" s="68"/>
      <c r="B1131" s="79"/>
      <c r="C1131" s="77"/>
      <c r="D1131" s="79"/>
      <c r="E1131" s="79"/>
      <c r="F1131" s="93"/>
      <c r="G1131" s="93"/>
      <c r="H1131" s="103"/>
      <c r="I1131" s="79"/>
      <c r="J1131" s="100"/>
      <c r="K1131" s="97"/>
      <c r="L1131" s="98"/>
      <c r="M1131" s="99" t="b">
        <v>0</v>
      </c>
      <c r="N1131" s="99"/>
      <c r="O1131" s="85"/>
      <c r="P1131" s="68"/>
    </row>
    <row r="1132">
      <c r="A1132" s="68"/>
      <c r="B1132" s="79"/>
      <c r="C1132" s="77"/>
      <c r="D1132" s="79"/>
      <c r="E1132" s="79"/>
      <c r="F1132" s="93"/>
      <c r="G1132" s="93"/>
      <c r="H1132" s="103"/>
      <c r="I1132" s="79"/>
      <c r="J1132" s="100"/>
      <c r="K1132" s="97"/>
      <c r="L1132" s="98"/>
      <c r="M1132" s="99" t="b">
        <v>0</v>
      </c>
      <c r="N1132" s="99"/>
      <c r="O1132" s="85"/>
      <c r="P1132" s="68"/>
    </row>
    <row r="1133">
      <c r="A1133" s="68"/>
      <c r="B1133" s="79"/>
      <c r="C1133" s="77"/>
      <c r="D1133" s="79"/>
      <c r="E1133" s="79"/>
      <c r="F1133" s="93"/>
      <c r="G1133" s="93"/>
      <c r="H1133" s="103"/>
      <c r="I1133" s="79"/>
      <c r="J1133" s="100"/>
      <c r="K1133" s="97"/>
      <c r="L1133" s="98"/>
      <c r="M1133" s="99" t="b">
        <v>0</v>
      </c>
      <c r="N1133" s="99"/>
      <c r="O1133" s="85"/>
      <c r="P1133" s="68"/>
    </row>
    <row r="1134">
      <c r="A1134" s="68"/>
      <c r="B1134" s="79"/>
      <c r="C1134" s="77"/>
      <c r="D1134" s="79"/>
      <c r="E1134" s="79"/>
      <c r="F1134" s="93"/>
      <c r="G1134" s="93"/>
      <c r="H1134" s="103"/>
      <c r="I1134" s="79"/>
      <c r="J1134" s="100"/>
      <c r="K1134" s="97"/>
      <c r="L1134" s="98"/>
      <c r="M1134" s="99" t="b">
        <v>0</v>
      </c>
      <c r="N1134" s="99"/>
      <c r="O1134" s="85"/>
      <c r="P1134" s="68"/>
    </row>
    <row r="1135">
      <c r="A1135" s="68"/>
      <c r="B1135" s="79"/>
      <c r="C1135" s="77"/>
      <c r="D1135" s="79"/>
      <c r="E1135" s="79"/>
      <c r="F1135" s="93"/>
      <c r="G1135" s="93"/>
      <c r="H1135" s="103"/>
      <c r="I1135" s="79"/>
      <c r="J1135" s="100"/>
      <c r="K1135" s="97"/>
      <c r="L1135" s="98"/>
      <c r="M1135" s="99" t="b">
        <v>0</v>
      </c>
      <c r="N1135" s="99"/>
      <c r="O1135" s="85"/>
      <c r="P1135" s="68"/>
    </row>
    <row r="1136">
      <c r="A1136" s="68"/>
      <c r="B1136" s="79"/>
      <c r="C1136" s="77"/>
      <c r="D1136" s="79"/>
      <c r="E1136" s="79"/>
      <c r="F1136" s="93"/>
      <c r="G1136" s="93"/>
      <c r="H1136" s="103"/>
      <c r="I1136" s="79"/>
      <c r="J1136" s="100"/>
      <c r="K1136" s="97"/>
      <c r="L1136" s="98"/>
      <c r="M1136" s="99" t="b">
        <v>0</v>
      </c>
      <c r="N1136" s="99"/>
      <c r="O1136" s="85"/>
      <c r="P1136" s="68"/>
    </row>
    <row r="1137">
      <c r="A1137" s="68"/>
      <c r="B1137" s="79"/>
      <c r="C1137" s="77"/>
      <c r="D1137" s="79"/>
      <c r="E1137" s="79"/>
      <c r="F1137" s="93"/>
      <c r="G1137" s="93"/>
      <c r="H1137" s="103"/>
      <c r="I1137" s="79"/>
      <c r="J1137" s="100"/>
      <c r="K1137" s="97"/>
      <c r="L1137" s="98"/>
      <c r="M1137" s="99" t="b">
        <v>0</v>
      </c>
      <c r="N1137" s="99"/>
      <c r="O1137" s="85"/>
      <c r="P1137" s="68"/>
    </row>
    <row r="1138">
      <c r="A1138" s="68"/>
      <c r="B1138" s="79"/>
      <c r="C1138" s="77"/>
      <c r="D1138" s="79"/>
      <c r="E1138" s="79"/>
      <c r="F1138" s="93"/>
      <c r="G1138" s="93"/>
      <c r="H1138" s="103"/>
      <c r="I1138" s="79"/>
      <c r="J1138" s="100"/>
      <c r="K1138" s="97"/>
      <c r="L1138" s="98"/>
      <c r="M1138" s="99" t="b">
        <v>0</v>
      </c>
      <c r="N1138" s="99"/>
      <c r="O1138" s="85"/>
      <c r="P1138" s="68"/>
    </row>
    <row r="1139">
      <c r="A1139" s="68"/>
      <c r="B1139" s="79"/>
      <c r="C1139" s="77"/>
      <c r="D1139" s="79"/>
      <c r="E1139" s="79"/>
      <c r="F1139" s="93"/>
      <c r="G1139" s="93"/>
      <c r="H1139" s="103"/>
      <c r="I1139" s="79"/>
      <c r="J1139" s="100"/>
      <c r="K1139" s="97"/>
      <c r="L1139" s="98"/>
      <c r="M1139" s="99" t="b">
        <v>0</v>
      </c>
      <c r="N1139" s="99"/>
      <c r="O1139" s="85"/>
      <c r="P1139" s="68"/>
    </row>
    <row r="1140">
      <c r="A1140" s="68"/>
      <c r="B1140" s="79"/>
      <c r="C1140" s="77"/>
      <c r="D1140" s="79"/>
      <c r="E1140" s="79"/>
      <c r="F1140" s="93"/>
      <c r="G1140" s="93"/>
      <c r="H1140" s="103"/>
      <c r="I1140" s="79"/>
      <c r="J1140" s="100"/>
      <c r="K1140" s="97"/>
      <c r="L1140" s="98"/>
      <c r="M1140" s="99" t="b">
        <v>0</v>
      </c>
      <c r="N1140" s="99"/>
      <c r="O1140" s="85"/>
      <c r="P1140" s="68"/>
    </row>
    <row r="1141">
      <c r="A1141" s="68"/>
      <c r="B1141" s="79"/>
      <c r="C1141" s="77"/>
      <c r="D1141" s="79"/>
      <c r="E1141" s="79"/>
      <c r="F1141" s="93"/>
      <c r="G1141" s="93"/>
      <c r="H1141" s="103"/>
      <c r="I1141" s="79"/>
      <c r="J1141" s="100"/>
      <c r="K1141" s="97"/>
      <c r="L1141" s="98"/>
      <c r="M1141" s="99" t="b">
        <v>0</v>
      </c>
      <c r="N1141" s="99"/>
      <c r="O1141" s="85"/>
      <c r="P1141" s="68"/>
    </row>
    <row r="1142">
      <c r="A1142" s="68"/>
      <c r="B1142" s="79"/>
      <c r="C1142" s="77"/>
      <c r="D1142" s="79"/>
      <c r="E1142" s="79"/>
      <c r="F1142" s="93"/>
      <c r="G1142" s="93"/>
      <c r="H1142" s="103"/>
      <c r="I1142" s="79"/>
      <c r="J1142" s="100"/>
      <c r="K1142" s="97"/>
      <c r="L1142" s="98"/>
      <c r="M1142" s="99" t="b">
        <v>0</v>
      </c>
      <c r="N1142" s="99"/>
      <c r="O1142" s="85"/>
      <c r="P1142" s="68"/>
    </row>
    <row r="1143">
      <c r="A1143" s="68"/>
      <c r="B1143" s="79"/>
      <c r="C1143" s="77"/>
      <c r="D1143" s="79"/>
      <c r="E1143" s="79"/>
      <c r="F1143" s="93"/>
      <c r="G1143" s="93"/>
      <c r="H1143" s="103"/>
      <c r="I1143" s="79"/>
      <c r="J1143" s="100"/>
      <c r="K1143" s="97"/>
      <c r="L1143" s="98"/>
      <c r="M1143" s="99" t="b">
        <v>0</v>
      </c>
      <c r="N1143" s="99"/>
      <c r="O1143" s="85"/>
      <c r="P1143" s="68"/>
    </row>
    <row r="1144">
      <c r="A1144" s="68"/>
      <c r="B1144" s="79"/>
      <c r="C1144" s="77"/>
      <c r="D1144" s="79"/>
      <c r="E1144" s="79"/>
      <c r="F1144" s="93"/>
      <c r="G1144" s="93"/>
      <c r="H1144" s="103"/>
      <c r="I1144" s="79"/>
      <c r="J1144" s="100"/>
      <c r="K1144" s="97"/>
      <c r="L1144" s="98"/>
      <c r="M1144" s="99" t="b">
        <v>0</v>
      </c>
      <c r="N1144" s="99"/>
      <c r="O1144" s="85"/>
      <c r="P1144" s="68"/>
    </row>
    <row r="1145">
      <c r="A1145" s="68"/>
      <c r="B1145" s="79"/>
      <c r="C1145" s="77"/>
      <c r="D1145" s="79"/>
      <c r="E1145" s="79"/>
      <c r="F1145" s="93"/>
      <c r="G1145" s="93"/>
      <c r="H1145" s="103"/>
      <c r="I1145" s="79"/>
      <c r="J1145" s="100"/>
      <c r="K1145" s="97"/>
      <c r="L1145" s="98"/>
      <c r="M1145" s="99" t="b">
        <v>0</v>
      </c>
      <c r="N1145" s="99"/>
      <c r="O1145" s="85"/>
      <c r="P1145" s="68"/>
    </row>
    <row r="1146">
      <c r="A1146" s="68"/>
      <c r="B1146" s="79"/>
      <c r="C1146" s="77"/>
      <c r="D1146" s="79"/>
      <c r="E1146" s="79"/>
      <c r="F1146" s="93"/>
      <c r="G1146" s="93"/>
      <c r="H1146" s="103"/>
      <c r="I1146" s="79"/>
      <c r="J1146" s="100"/>
      <c r="K1146" s="97"/>
      <c r="L1146" s="98"/>
      <c r="M1146" s="99" t="b">
        <v>0</v>
      </c>
      <c r="N1146" s="99"/>
      <c r="O1146" s="85"/>
      <c r="P1146" s="68"/>
    </row>
    <row r="1147">
      <c r="A1147" s="68"/>
      <c r="B1147" s="79"/>
      <c r="C1147" s="77"/>
      <c r="D1147" s="79"/>
      <c r="E1147" s="79"/>
      <c r="F1147" s="93"/>
      <c r="G1147" s="93"/>
      <c r="H1147" s="103"/>
      <c r="I1147" s="79"/>
      <c r="J1147" s="100"/>
      <c r="K1147" s="97"/>
      <c r="L1147" s="98"/>
      <c r="M1147" s="99" t="b">
        <v>0</v>
      </c>
      <c r="N1147" s="99"/>
      <c r="O1147" s="85"/>
      <c r="P1147" s="68"/>
    </row>
    <row r="1148">
      <c r="A1148" s="68"/>
      <c r="B1148" s="79"/>
      <c r="C1148" s="77"/>
      <c r="D1148" s="79"/>
      <c r="E1148" s="79"/>
      <c r="F1148" s="93"/>
      <c r="G1148" s="93"/>
      <c r="H1148" s="103"/>
      <c r="I1148" s="79"/>
      <c r="J1148" s="100"/>
      <c r="K1148" s="97"/>
      <c r="L1148" s="98"/>
      <c r="M1148" s="99" t="b">
        <v>0</v>
      </c>
      <c r="N1148" s="99"/>
      <c r="O1148" s="85"/>
      <c r="P1148" s="68"/>
    </row>
    <row r="1149">
      <c r="A1149" s="68"/>
      <c r="B1149" s="79"/>
      <c r="C1149" s="77"/>
      <c r="D1149" s="79"/>
      <c r="E1149" s="79"/>
      <c r="F1149" s="93"/>
      <c r="G1149" s="93"/>
      <c r="H1149" s="103"/>
      <c r="I1149" s="79"/>
      <c r="J1149" s="100"/>
      <c r="K1149" s="97"/>
      <c r="L1149" s="98"/>
      <c r="M1149" s="99" t="b">
        <v>0</v>
      </c>
      <c r="N1149" s="99"/>
      <c r="O1149" s="85"/>
      <c r="P1149" s="68"/>
    </row>
    <row r="1150">
      <c r="A1150" s="68"/>
      <c r="B1150" s="79"/>
      <c r="C1150" s="77"/>
      <c r="D1150" s="79"/>
      <c r="E1150" s="79"/>
      <c r="F1150" s="93"/>
      <c r="G1150" s="93"/>
      <c r="H1150" s="103"/>
      <c r="I1150" s="79"/>
      <c r="J1150" s="100"/>
      <c r="K1150" s="97"/>
      <c r="L1150" s="98"/>
      <c r="M1150" s="99" t="b">
        <v>0</v>
      </c>
      <c r="N1150" s="99"/>
      <c r="O1150" s="85"/>
      <c r="P1150" s="68"/>
    </row>
    <row r="1151">
      <c r="A1151" s="68"/>
      <c r="B1151" s="79"/>
      <c r="C1151" s="77"/>
      <c r="D1151" s="79"/>
      <c r="E1151" s="79"/>
      <c r="F1151" s="93"/>
      <c r="G1151" s="93"/>
      <c r="H1151" s="103"/>
      <c r="I1151" s="79"/>
      <c r="J1151" s="100"/>
      <c r="K1151" s="97"/>
      <c r="L1151" s="98"/>
      <c r="M1151" s="99" t="b">
        <v>0</v>
      </c>
      <c r="N1151" s="99"/>
      <c r="O1151" s="85"/>
      <c r="P1151" s="68"/>
    </row>
    <row r="1152">
      <c r="A1152" s="68"/>
      <c r="B1152" s="79"/>
      <c r="C1152" s="77"/>
      <c r="D1152" s="79"/>
      <c r="E1152" s="79"/>
      <c r="F1152" s="93"/>
      <c r="G1152" s="93"/>
      <c r="H1152" s="103"/>
      <c r="I1152" s="79"/>
      <c r="J1152" s="100"/>
      <c r="K1152" s="97"/>
      <c r="L1152" s="98"/>
      <c r="M1152" s="99" t="b">
        <v>0</v>
      </c>
      <c r="N1152" s="99"/>
      <c r="O1152" s="85"/>
      <c r="P1152" s="68"/>
    </row>
    <row r="1153">
      <c r="A1153" s="68"/>
      <c r="B1153" s="79"/>
      <c r="C1153" s="77"/>
      <c r="D1153" s="79"/>
      <c r="E1153" s="79"/>
      <c r="F1153" s="93"/>
      <c r="G1153" s="93"/>
      <c r="H1153" s="103"/>
      <c r="I1153" s="79"/>
      <c r="J1153" s="100"/>
      <c r="K1153" s="97"/>
      <c r="L1153" s="98"/>
      <c r="M1153" s="99" t="b">
        <v>0</v>
      </c>
      <c r="N1153" s="99"/>
      <c r="O1153" s="85"/>
      <c r="P1153" s="68"/>
    </row>
    <row r="1154">
      <c r="A1154" s="68"/>
      <c r="B1154" s="79"/>
      <c r="C1154" s="77"/>
      <c r="D1154" s="79"/>
      <c r="E1154" s="79"/>
      <c r="F1154" s="93"/>
      <c r="G1154" s="93"/>
      <c r="H1154" s="103"/>
      <c r="I1154" s="79"/>
      <c r="J1154" s="100"/>
      <c r="K1154" s="97"/>
      <c r="L1154" s="98"/>
      <c r="M1154" s="99" t="b">
        <v>0</v>
      </c>
      <c r="N1154" s="99"/>
      <c r="O1154" s="85"/>
      <c r="P1154" s="68"/>
    </row>
    <row r="1155">
      <c r="A1155" s="68"/>
      <c r="B1155" s="79"/>
      <c r="C1155" s="77"/>
      <c r="D1155" s="79"/>
      <c r="E1155" s="79"/>
      <c r="F1155" s="93"/>
      <c r="G1155" s="93"/>
      <c r="H1155" s="103"/>
      <c r="I1155" s="79"/>
      <c r="J1155" s="100"/>
      <c r="K1155" s="97"/>
      <c r="L1155" s="98"/>
      <c r="M1155" s="99" t="b">
        <v>0</v>
      </c>
      <c r="N1155" s="99"/>
      <c r="O1155" s="85"/>
      <c r="P1155" s="68"/>
    </row>
    <row r="1156">
      <c r="A1156" s="68"/>
      <c r="B1156" s="79"/>
      <c r="C1156" s="77"/>
      <c r="D1156" s="79"/>
      <c r="E1156" s="79"/>
      <c r="F1156" s="93"/>
      <c r="G1156" s="93"/>
      <c r="H1156" s="103"/>
      <c r="I1156" s="79"/>
      <c r="J1156" s="100"/>
      <c r="K1156" s="97"/>
      <c r="L1156" s="98"/>
      <c r="M1156" s="99" t="b">
        <v>0</v>
      </c>
      <c r="N1156" s="99"/>
      <c r="O1156" s="85"/>
      <c r="P1156" s="68"/>
    </row>
    <row r="1157">
      <c r="A1157" s="68"/>
      <c r="B1157" s="79"/>
      <c r="C1157" s="77"/>
      <c r="D1157" s="79"/>
      <c r="E1157" s="79"/>
      <c r="F1157" s="93"/>
      <c r="G1157" s="93"/>
      <c r="H1157" s="103"/>
      <c r="I1157" s="79"/>
      <c r="J1157" s="100"/>
      <c r="K1157" s="97"/>
      <c r="L1157" s="98"/>
      <c r="M1157" s="99" t="b">
        <v>0</v>
      </c>
      <c r="N1157" s="99"/>
      <c r="O1157" s="85"/>
      <c r="P1157" s="68"/>
    </row>
    <row r="1158">
      <c r="A1158" s="68"/>
      <c r="B1158" s="79"/>
      <c r="C1158" s="77"/>
      <c r="D1158" s="79"/>
      <c r="E1158" s="79"/>
      <c r="F1158" s="93"/>
      <c r="G1158" s="93"/>
      <c r="H1158" s="103"/>
      <c r="I1158" s="79"/>
      <c r="J1158" s="100"/>
      <c r="K1158" s="97"/>
      <c r="L1158" s="98"/>
      <c r="M1158" s="99" t="b">
        <v>0</v>
      </c>
      <c r="N1158" s="99"/>
      <c r="O1158" s="85"/>
      <c r="P1158" s="68"/>
    </row>
    <row r="1159">
      <c r="A1159" s="68"/>
      <c r="B1159" s="79"/>
      <c r="C1159" s="77"/>
      <c r="D1159" s="79"/>
      <c r="E1159" s="79"/>
      <c r="F1159" s="93"/>
      <c r="G1159" s="93"/>
      <c r="H1159" s="103"/>
      <c r="I1159" s="79"/>
      <c r="J1159" s="100"/>
      <c r="K1159" s="97"/>
      <c r="L1159" s="98"/>
      <c r="M1159" s="99" t="b">
        <v>0</v>
      </c>
      <c r="N1159" s="99"/>
      <c r="O1159" s="85"/>
      <c r="P1159" s="68"/>
    </row>
    <row r="1160">
      <c r="A1160" s="68"/>
      <c r="B1160" s="79"/>
      <c r="C1160" s="77"/>
      <c r="D1160" s="79"/>
      <c r="E1160" s="79"/>
      <c r="F1160" s="93"/>
      <c r="G1160" s="93"/>
      <c r="H1160" s="103"/>
      <c r="I1160" s="79"/>
      <c r="J1160" s="100"/>
      <c r="K1160" s="97"/>
      <c r="L1160" s="98"/>
      <c r="M1160" s="99" t="b">
        <v>0</v>
      </c>
      <c r="N1160" s="99"/>
      <c r="O1160" s="85"/>
      <c r="P1160" s="68"/>
    </row>
    <row r="1161">
      <c r="A1161" s="68"/>
      <c r="B1161" s="79"/>
      <c r="C1161" s="77"/>
      <c r="D1161" s="79"/>
      <c r="E1161" s="79"/>
      <c r="F1161" s="93"/>
      <c r="G1161" s="93"/>
      <c r="H1161" s="103"/>
      <c r="I1161" s="79"/>
      <c r="J1161" s="100"/>
      <c r="K1161" s="97"/>
      <c r="L1161" s="98"/>
      <c r="M1161" s="99" t="b">
        <v>0</v>
      </c>
      <c r="N1161" s="99"/>
      <c r="O1161" s="85"/>
      <c r="P1161" s="68"/>
    </row>
    <row r="1162">
      <c r="A1162" s="68"/>
      <c r="B1162" s="79"/>
      <c r="C1162" s="77"/>
      <c r="D1162" s="79"/>
      <c r="E1162" s="79"/>
      <c r="F1162" s="93"/>
      <c r="G1162" s="93"/>
      <c r="H1162" s="103"/>
      <c r="I1162" s="79"/>
      <c r="J1162" s="100"/>
      <c r="K1162" s="97"/>
      <c r="L1162" s="98"/>
      <c r="M1162" s="99" t="b">
        <v>0</v>
      </c>
      <c r="N1162" s="99"/>
      <c r="O1162" s="85"/>
      <c r="P1162" s="68"/>
    </row>
    <row r="1163">
      <c r="A1163" s="68"/>
      <c r="B1163" s="79"/>
      <c r="C1163" s="77"/>
      <c r="D1163" s="79"/>
      <c r="E1163" s="79"/>
      <c r="F1163" s="93"/>
      <c r="G1163" s="93"/>
      <c r="H1163" s="103"/>
      <c r="I1163" s="79"/>
      <c r="J1163" s="100"/>
      <c r="K1163" s="97"/>
      <c r="L1163" s="98"/>
      <c r="M1163" s="99" t="b">
        <v>0</v>
      </c>
      <c r="N1163" s="99"/>
      <c r="O1163" s="85"/>
      <c r="P1163" s="68"/>
    </row>
    <row r="1164">
      <c r="A1164" s="68"/>
      <c r="B1164" s="79"/>
      <c r="C1164" s="77"/>
      <c r="D1164" s="79"/>
      <c r="E1164" s="79"/>
      <c r="F1164" s="93"/>
      <c r="G1164" s="93"/>
      <c r="H1164" s="103"/>
      <c r="I1164" s="79"/>
      <c r="J1164" s="100"/>
      <c r="K1164" s="97"/>
      <c r="L1164" s="98"/>
      <c r="M1164" s="99" t="b">
        <v>0</v>
      </c>
      <c r="N1164" s="99"/>
      <c r="O1164" s="85"/>
      <c r="P1164" s="68"/>
    </row>
    <row r="1165">
      <c r="A1165" s="68"/>
      <c r="B1165" s="79"/>
      <c r="C1165" s="77"/>
      <c r="D1165" s="79"/>
      <c r="E1165" s="79"/>
      <c r="F1165" s="93"/>
      <c r="G1165" s="93"/>
      <c r="H1165" s="103"/>
      <c r="I1165" s="79"/>
      <c r="J1165" s="100"/>
      <c r="K1165" s="97"/>
      <c r="L1165" s="98"/>
      <c r="M1165" s="99" t="b">
        <v>0</v>
      </c>
      <c r="N1165" s="99"/>
      <c r="O1165" s="85"/>
      <c r="P1165" s="68"/>
    </row>
    <row r="1166">
      <c r="A1166" s="68"/>
      <c r="B1166" s="79"/>
      <c r="C1166" s="77"/>
      <c r="D1166" s="79"/>
      <c r="E1166" s="79"/>
      <c r="F1166" s="93"/>
      <c r="G1166" s="93"/>
      <c r="H1166" s="103"/>
      <c r="I1166" s="79"/>
      <c r="J1166" s="100"/>
      <c r="K1166" s="97"/>
      <c r="L1166" s="98"/>
      <c r="M1166" s="99" t="b">
        <v>0</v>
      </c>
      <c r="N1166" s="99"/>
      <c r="O1166" s="85"/>
      <c r="P1166" s="68"/>
    </row>
    <row r="1167">
      <c r="A1167" s="68"/>
      <c r="B1167" s="79"/>
      <c r="C1167" s="77"/>
      <c r="D1167" s="79"/>
      <c r="E1167" s="79"/>
      <c r="F1167" s="93"/>
      <c r="G1167" s="93"/>
      <c r="H1167" s="103"/>
      <c r="I1167" s="79"/>
      <c r="J1167" s="100"/>
      <c r="K1167" s="97"/>
      <c r="L1167" s="98"/>
      <c r="M1167" s="99" t="b">
        <v>0</v>
      </c>
      <c r="N1167" s="99"/>
      <c r="O1167" s="85"/>
      <c r="P1167" s="68"/>
    </row>
    <row r="1168">
      <c r="A1168" s="68"/>
      <c r="B1168" s="79"/>
      <c r="C1168" s="77"/>
      <c r="D1168" s="79"/>
      <c r="E1168" s="79"/>
      <c r="F1168" s="93"/>
      <c r="G1168" s="93"/>
      <c r="H1168" s="103"/>
      <c r="I1168" s="79"/>
      <c r="J1168" s="100"/>
      <c r="K1168" s="97"/>
      <c r="L1168" s="98"/>
      <c r="M1168" s="99" t="b">
        <v>0</v>
      </c>
      <c r="N1168" s="99"/>
      <c r="O1168" s="85"/>
      <c r="P1168" s="68"/>
    </row>
    <row r="1169">
      <c r="A1169" s="68"/>
      <c r="B1169" s="79"/>
      <c r="C1169" s="77"/>
      <c r="D1169" s="79"/>
      <c r="E1169" s="79"/>
      <c r="F1169" s="93"/>
      <c r="G1169" s="93"/>
      <c r="H1169" s="103"/>
      <c r="I1169" s="79"/>
      <c r="J1169" s="100"/>
      <c r="K1169" s="97"/>
      <c r="L1169" s="98"/>
      <c r="M1169" s="99" t="b">
        <v>0</v>
      </c>
      <c r="N1169" s="99"/>
      <c r="O1169" s="85"/>
      <c r="P1169" s="68"/>
    </row>
    <row r="1170">
      <c r="A1170" s="68"/>
      <c r="B1170" s="79"/>
      <c r="C1170" s="77"/>
      <c r="D1170" s="79"/>
      <c r="E1170" s="79"/>
      <c r="F1170" s="93"/>
      <c r="G1170" s="93"/>
      <c r="H1170" s="103"/>
      <c r="I1170" s="79"/>
      <c r="J1170" s="100"/>
      <c r="K1170" s="97"/>
      <c r="L1170" s="98"/>
      <c r="M1170" s="99" t="b">
        <v>0</v>
      </c>
      <c r="N1170" s="99"/>
      <c r="O1170" s="85"/>
      <c r="P1170" s="68"/>
    </row>
    <row r="1171">
      <c r="A1171" s="68"/>
      <c r="B1171" s="79"/>
      <c r="C1171" s="77"/>
      <c r="D1171" s="79"/>
      <c r="E1171" s="79"/>
      <c r="F1171" s="93"/>
      <c r="G1171" s="93"/>
      <c r="H1171" s="103"/>
      <c r="I1171" s="79"/>
      <c r="J1171" s="100"/>
      <c r="K1171" s="97"/>
      <c r="L1171" s="98"/>
      <c r="M1171" s="99" t="b">
        <v>0</v>
      </c>
      <c r="N1171" s="99"/>
      <c r="O1171" s="85"/>
      <c r="P1171" s="68"/>
    </row>
    <row r="1172">
      <c r="A1172" s="68"/>
      <c r="B1172" s="79"/>
      <c r="C1172" s="77"/>
      <c r="D1172" s="79"/>
      <c r="E1172" s="79"/>
      <c r="F1172" s="93"/>
      <c r="G1172" s="93"/>
      <c r="H1172" s="103"/>
      <c r="I1172" s="79"/>
      <c r="J1172" s="100"/>
      <c r="K1172" s="97"/>
      <c r="L1172" s="98"/>
      <c r="M1172" s="99" t="b">
        <v>0</v>
      </c>
      <c r="N1172" s="99"/>
      <c r="O1172" s="85"/>
      <c r="P1172" s="68"/>
    </row>
    <row r="1173">
      <c r="A1173" s="68"/>
      <c r="B1173" s="79"/>
      <c r="C1173" s="77"/>
      <c r="D1173" s="79"/>
      <c r="E1173" s="79"/>
      <c r="F1173" s="93"/>
      <c r="G1173" s="93"/>
      <c r="H1173" s="103"/>
      <c r="I1173" s="79"/>
      <c r="J1173" s="100"/>
      <c r="K1173" s="97"/>
      <c r="L1173" s="98"/>
      <c r="M1173" s="99" t="b">
        <v>0</v>
      </c>
      <c r="N1173" s="99"/>
      <c r="O1173" s="85"/>
      <c r="P1173" s="68"/>
    </row>
    <row r="1174">
      <c r="A1174" s="68"/>
      <c r="B1174" s="79"/>
      <c r="C1174" s="77"/>
      <c r="D1174" s="79"/>
      <c r="E1174" s="79"/>
      <c r="F1174" s="93"/>
      <c r="G1174" s="93"/>
      <c r="H1174" s="103"/>
      <c r="I1174" s="79"/>
      <c r="J1174" s="100"/>
      <c r="K1174" s="97"/>
      <c r="L1174" s="98"/>
      <c r="M1174" s="99" t="b">
        <v>0</v>
      </c>
      <c r="N1174" s="99"/>
      <c r="O1174" s="85"/>
      <c r="P1174" s="68"/>
    </row>
    <row r="1175">
      <c r="A1175" s="68"/>
      <c r="B1175" s="79"/>
      <c r="C1175" s="77"/>
      <c r="D1175" s="79"/>
      <c r="E1175" s="79"/>
      <c r="F1175" s="93"/>
      <c r="G1175" s="93"/>
      <c r="H1175" s="103"/>
      <c r="I1175" s="79"/>
      <c r="J1175" s="100"/>
      <c r="K1175" s="97"/>
      <c r="L1175" s="98"/>
      <c r="M1175" s="99" t="b">
        <v>0</v>
      </c>
      <c r="N1175" s="99"/>
      <c r="O1175" s="85"/>
      <c r="P1175" s="68"/>
    </row>
    <row r="1176">
      <c r="A1176" s="68"/>
      <c r="B1176" s="79"/>
      <c r="C1176" s="77"/>
      <c r="D1176" s="79"/>
      <c r="E1176" s="79"/>
      <c r="F1176" s="93"/>
      <c r="G1176" s="93"/>
      <c r="H1176" s="103"/>
      <c r="I1176" s="79"/>
      <c r="J1176" s="100"/>
      <c r="K1176" s="97"/>
      <c r="L1176" s="98"/>
      <c r="M1176" s="99" t="b">
        <v>0</v>
      </c>
      <c r="N1176" s="99"/>
      <c r="O1176" s="85"/>
      <c r="P1176" s="68"/>
    </row>
    <row r="1177">
      <c r="A1177" s="68"/>
      <c r="B1177" s="79"/>
      <c r="C1177" s="77"/>
      <c r="D1177" s="79"/>
      <c r="E1177" s="79"/>
      <c r="F1177" s="93"/>
      <c r="G1177" s="93"/>
      <c r="H1177" s="103"/>
      <c r="I1177" s="79"/>
      <c r="J1177" s="100"/>
      <c r="K1177" s="97"/>
      <c r="L1177" s="98"/>
      <c r="M1177" s="99" t="b">
        <v>0</v>
      </c>
      <c r="N1177" s="99"/>
      <c r="O1177" s="85"/>
      <c r="P1177" s="68"/>
    </row>
    <row r="1178">
      <c r="A1178" s="68"/>
      <c r="B1178" s="79"/>
      <c r="C1178" s="77"/>
      <c r="D1178" s="79"/>
      <c r="E1178" s="79"/>
      <c r="F1178" s="93"/>
      <c r="G1178" s="93"/>
      <c r="H1178" s="103"/>
      <c r="I1178" s="79"/>
      <c r="J1178" s="100"/>
      <c r="K1178" s="97"/>
      <c r="L1178" s="98"/>
      <c r="M1178" s="99" t="b">
        <v>0</v>
      </c>
      <c r="N1178" s="99"/>
      <c r="O1178" s="85"/>
      <c r="P1178" s="68"/>
    </row>
    <row r="1179">
      <c r="A1179" s="68"/>
      <c r="B1179" s="79"/>
      <c r="C1179" s="77"/>
      <c r="D1179" s="79"/>
      <c r="E1179" s="79"/>
      <c r="F1179" s="93"/>
      <c r="G1179" s="93"/>
      <c r="H1179" s="103"/>
      <c r="I1179" s="79"/>
      <c r="J1179" s="100"/>
      <c r="K1179" s="97"/>
      <c r="L1179" s="98"/>
      <c r="M1179" s="99" t="b">
        <v>0</v>
      </c>
      <c r="N1179" s="99"/>
      <c r="O1179" s="85"/>
      <c r="P1179" s="68"/>
    </row>
    <row r="1180">
      <c r="A1180" s="68"/>
      <c r="B1180" s="79"/>
      <c r="C1180" s="77"/>
      <c r="D1180" s="79"/>
      <c r="E1180" s="79"/>
      <c r="F1180" s="93"/>
      <c r="G1180" s="93"/>
      <c r="H1180" s="103"/>
      <c r="I1180" s="79"/>
      <c r="J1180" s="100"/>
      <c r="K1180" s="97"/>
      <c r="L1180" s="98"/>
      <c r="M1180" s="99" t="b">
        <v>0</v>
      </c>
      <c r="N1180" s="99"/>
      <c r="O1180" s="85"/>
      <c r="P1180" s="68"/>
    </row>
    <row r="1181">
      <c r="A1181" s="68"/>
      <c r="B1181" s="79"/>
      <c r="C1181" s="77"/>
      <c r="D1181" s="79"/>
      <c r="E1181" s="79"/>
      <c r="F1181" s="93"/>
      <c r="G1181" s="93"/>
      <c r="H1181" s="103"/>
      <c r="I1181" s="79"/>
      <c r="J1181" s="100"/>
      <c r="K1181" s="97"/>
      <c r="L1181" s="98"/>
      <c r="M1181" s="99" t="b">
        <v>0</v>
      </c>
      <c r="N1181" s="99"/>
      <c r="O1181" s="85"/>
      <c r="P1181" s="68"/>
    </row>
    <row r="1182">
      <c r="A1182" s="68"/>
      <c r="B1182" s="79"/>
      <c r="C1182" s="77"/>
      <c r="D1182" s="79"/>
      <c r="E1182" s="79"/>
      <c r="F1182" s="93"/>
      <c r="G1182" s="93"/>
      <c r="H1182" s="103"/>
      <c r="I1182" s="79"/>
      <c r="J1182" s="100"/>
      <c r="K1182" s="97"/>
      <c r="L1182" s="98"/>
      <c r="M1182" s="99" t="b">
        <v>0</v>
      </c>
      <c r="N1182" s="99"/>
      <c r="O1182" s="85"/>
      <c r="P1182" s="68"/>
    </row>
    <row r="1183">
      <c r="A1183" s="68"/>
      <c r="B1183" s="79"/>
      <c r="C1183" s="77"/>
      <c r="D1183" s="79"/>
      <c r="E1183" s="79"/>
      <c r="F1183" s="93"/>
      <c r="G1183" s="93"/>
      <c r="H1183" s="103"/>
      <c r="I1183" s="79"/>
      <c r="J1183" s="100"/>
      <c r="K1183" s="97"/>
      <c r="L1183" s="98"/>
      <c r="M1183" s="99" t="b">
        <v>0</v>
      </c>
      <c r="N1183" s="99"/>
      <c r="O1183" s="85"/>
      <c r="P1183" s="68"/>
    </row>
    <row r="1184">
      <c r="A1184" s="68"/>
      <c r="B1184" s="79"/>
      <c r="C1184" s="77"/>
      <c r="D1184" s="79"/>
      <c r="E1184" s="79"/>
      <c r="F1184" s="93"/>
      <c r="G1184" s="93"/>
      <c r="H1184" s="103"/>
      <c r="I1184" s="79"/>
      <c r="J1184" s="100"/>
      <c r="K1184" s="97"/>
      <c r="L1184" s="98"/>
      <c r="M1184" s="99" t="b">
        <v>0</v>
      </c>
      <c r="N1184" s="99"/>
      <c r="O1184" s="85"/>
      <c r="P1184" s="68"/>
    </row>
    <row r="1185">
      <c r="A1185" s="68"/>
      <c r="B1185" s="79"/>
      <c r="C1185" s="77"/>
      <c r="D1185" s="79"/>
      <c r="E1185" s="79"/>
      <c r="F1185" s="93"/>
      <c r="G1185" s="93"/>
      <c r="H1185" s="103"/>
      <c r="I1185" s="79"/>
      <c r="J1185" s="100"/>
      <c r="K1185" s="97"/>
      <c r="L1185" s="98"/>
      <c r="M1185" s="99" t="b">
        <v>0</v>
      </c>
      <c r="N1185" s="99"/>
      <c r="O1185" s="85"/>
      <c r="P1185" s="68"/>
    </row>
    <row r="1186">
      <c r="A1186" s="68"/>
      <c r="B1186" s="79"/>
      <c r="C1186" s="77"/>
      <c r="D1186" s="79"/>
      <c r="E1186" s="79"/>
      <c r="F1186" s="93"/>
      <c r="G1186" s="93"/>
      <c r="H1186" s="103"/>
      <c r="I1186" s="79"/>
      <c r="J1186" s="100"/>
      <c r="K1186" s="97"/>
      <c r="L1186" s="98"/>
      <c r="M1186" s="99" t="b">
        <v>0</v>
      </c>
      <c r="N1186" s="99"/>
      <c r="O1186" s="85"/>
      <c r="P1186" s="68"/>
    </row>
    <row r="1187">
      <c r="A1187" s="68"/>
      <c r="B1187" s="79"/>
      <c r="C1187" s="77"/>
      <c r="D1187" s="79"/>
      <c r="E1187" s="79"/>
      <c r="F1187" s="93"/>
      <c r="G1187" s="93"/>
      <c r="H1187" s="103"/>
      <c r="I1187" s="79"/>
      <c r="J1187" s="100"/>
      <c r="K1187" s="97"/>
      <c r="L1187" s="98"/>
      <c r="M1187" s="99" t="b">
        <v>0</v>
      </c>
      <c r="N1187" s="99"/>
      <c r="O1187" s="85"/>
      <c r="P1187" s="68"/>
    </row>
    <row r="1188">
      <c r="A1188" s="68"/>
      <c r="B1188" s="79"/>
      <c r="C1188" s="77"/>
      <c r="D1188" s="79"/>
      <c r="E1188" s="79"/>
      <c r="F1188" s="93"/>
      <c r="G1188" s="93"/>
      <c r="H1188" s="103"/>
      <c r="I1188" s="79"/>
      <c r="J1188" s="100"/>
      <c r="K1188" s="97"/>
      <c r="L1188" s="98"/>
      <c r="M1188" s="99" t="b">
        <v>0</v>
      </c>
      <c r="N1188" s="99"/>
      <c r="O1188" s="85"/>
      <c r="P1188" s="68"/>
    </row>
    <row r="1189">
      <c r="A1189" s="68"/>
      <c r="B1189" s="79"/>
      <c r="C1189" s="77"/>
      <c r="D1189" s="79"/>
      <c r="E1189" s="79"/>
      <c r="F1189" s="93"/>
      <c r="G1189" s="93"/>
      <c r="H1189" s="103"/>
      <c r="I1189" s="79"/>
      <c r="J1189" s="100"/>
      <c r="K1189" s="97"/>
      <c r="L1189" s="98"/>
      <c r="M1189" s="99" t="b">
        <v>0</v>
      </c>
      <c r="N1189" s="99"/>
      <c r="O1189" s="85"/>
      <c r="P1189" s="68"/>
    </row>
    <row r="1190">
      <c r="A1190" s="68"/>
      <c r="B1190" s="79"/>
      <c r="C1190" s="77"/>
      <c r="D1190" s="79"/>
      <c r="E1190" s="79"/>
      <c r="F1190" s="93"/>
      <c r="G1190" s="93"/>
      <c r="H1190" s="103"/>
      <c r="I1190" s="79"/>
      <c r="J1190" s="100"/>
      <c r="K1190" s="97"/>
      <c r="L1190" s="98"/>
      <c r="M1190" s="99" t="b">
        <v>0</v>
      </c>
      <c r="N1190" s="99"/>
      <c r="O1190" s="85"/>
      <c r="P1190" s="68"/>
    </row>
    <row r="1191">
      <c r="A1191" s="68"/>
      <c r="B1191" s="79"/>
      <c r="C1191" s="77"/>
      <c r="D1191" s="79"/>
      <c r="E1191" s="79"/>
      <c r="F1191" s="93"/>
      <c r="G1191" s="93"/>
      <c r="H1191" s="103"/>
      <c r="I1191" s="79"/>
      <c r="J1191" s="100"/>
      <c r="K1191" s="97"/>
      <c r="L1191" s="98"/>
      <c r="M1191" s="99" t="b">
        <v>0</v>
      </c>
      <c r="N1191" s="99"/>
      <c r="O1191" s="85"/>
      <c r="P1191" s="68"/>
    </row>
    <row r="1192">
      <c r="A1192" s="68"/>
      <c r="B1192" s="79"/>
      <c r="C1192" s="77"/>
      <c r="D1192" s="79"/>
      <c r="E1192" s="79"/>
      <c r="F1192" s="93"/>
      <c r="G1192" s="93"/>
      <c r="H1192" s="103"/>
      <c r="I1192" s="79"/>
      <c r="J1192" s="100"/>
      <c r="K1192" s="97"/>
      <c r="L1192" s="98"/>
      <c r="M1192" s="99" t="b">
        <v>0</v>
      </c>
      <c r="N1192" s="99"/>
      <c r="O1192" s="85"/>
      <c r="P1192" s="68"/>
    </row>
    <row r="1193">
      <c r="A1193" s="68"/>
      <c r="B1193" s="79"/>
      <c r="C1193" s="77"/>
      <c r="D1193" s="79"/>
      <c r="E1193" s="79"/>
      <c r="F1193" s="93"/>
      <c r="G1193" s="93"/>
      <c r="H1193" s="103"/>
      <c r="I1193" s="79"/>
      <c r="J1193" s="100"/>
      <c r="K1193" s="97"/>
      <c r="L1193" s="98"/>
      <c r="M1193" s="99" t="b">
        <v>0</v>
      </c>
      <c r="N1193" s="99"/>
      <c r="O1193" s="85"/>
      <c r="P1193" s="68"/>
    </row>
    <row r="1194">
      <c r="A1194" s="68"/>
      <c r="B1194" s="79"/>
      <c r="C1194" s="77"/>
      <c r="D1194" s="79"/>
      <c r="E1194" s="79"/>
      <c r="F1194" s="93"/>
      <c r="G1194" s="93"/>
      <c r="H1194" s="103"/>
      <c r="I1194" s="79"/>
      <c r="J1194" s="100"/>
      <c r="K1194" s="97"/>
      <c r="L1194" s="98"/>
      <c r="M1194" s="99" t="b">
        <v>0</v>
      </c>
      <c r="N1194" s="99"/>
      <c r="O1194" s="85"/>
      <c r="P1194" s="68"/>
    </row>
    <row r="1195">
      <c r="A1195" s="68"/>
      <c r="B1195" s="79"/>
      <c r="C1195" s="77"/>
      <c r="D1195" s="79"/>
      <c r="E1195" s="79"/>
      <c r="F1195" s="93"/>
      <c r="G1195" s="93"/>
      <c r="H1195" s="103"/>
      <c r="I1195" s="79"/>
      <c r="J1195" s="100"/>
      <c r="K1195" s="97"/>
      <c r="L1195" s="98"/>
      <c r="M1195" s="99" t="b">
        <v>0</v>
      </c>
      <c r="N1195" s="99"/>
      <c r="O1195" s="85"/>
      <c r="P1195" s="68"/>
    </row>
    <row r="1196">
      <c r="A1196" s="68"/>
      <c r="B1196" s="79"/>
      <c r="C1196" s="77"/>
      <c r="D1196" s="79"/>
      <c r="E1196" s="79"/>
      <c r="F1196" s="93"/>
      <c r="G1196" s="93"/>
      <c r="H1196" s="103"/>
      <c r="I1196" s="79"/>
      <c r="J1196" s="100"/>
      <c r="K1196" s="97"/>
      <c r="L1196" s="98"/>
      <c r="M1196" s="99" t="b">
        <v>0</v>
      </c>
      <c r="N1196" s="99"/>
      <c r="O1196" s="85"/>
      <c r="P1196" s="68"/>
    </row>
    <row r="1197">
      <c r="A1197" s="68"/>
      <c r="B1197" s="79"/>
      <c r="C1197" s="77"/>
      <c r="D1197" s="79"/>
      <c r="E1197" s="79"/>
      <c r="F1197" s="93"/>
      <c r="G1197" s="93"/>
      <c r="H1197" s="103"/>
      <c r="I1197" s="79"/>
      <c r="J1197" s="100"/>
      <c r="K1197" s="97"/>
      <c r="L1197" s="98"/>
      <c r="M1197" s="99" t="b">
        <v>0</v>
      </c>
      <c r="N1197" s="99"/>
      <c r="O1197" s="85"/>
      <c r="P1197" s="68"/>
    </row>
    <row r="1198">
      <c r="A1198" s="68"/>
      <c r="B1198" s="79"/>
      <c r="C1198" s="77"/>
      <c r="D1198" s="79"/>
      <c r="E1198" s="79"/>
      <c r="F1198" s="93"/>
      <c r="G1198" s="93"/>
      <c r="H1198" s="103"/>
      <c r="I1198" s="79"/>
      <c r="J1198" s="100"/>
      <c r="K1198" s="97"/>
      <c r="L1198" s="98"/>
      <c r="M1198" s="99" t="b">
        <v>0</v>
      </c>
      <c r="N1198" s="99"/>
      <c r="O1198" s="85"/>
      <c r="P1198" s="68"/>
    </row>
    <row r="1199">
      <c r="A1199" s="68"/>
      <c r="B1199" s="79"/>
      <c r="C1199" s="77"/>
      <c r="D1199" s="79"/>
      <c r="E1199" s="79"/>
      <c r="F1199" s="93"/>
      <c r="G1199" s="93"/>
      <c r="H1199" s="103"/>
      <c r="I1199" s="79"/>
      <c r="J1199" s="100"/>
      <c r="K1199" s="97"/>
      <c r="L1199" s="98"/>
      <c r="M1199" s="99" t="b">
        <v>0</v>
      </c>
      <c r="N1199" s="99"/>
      <c r="O1199" s="85"/>
      <c r="P1199" s="68"/>
    </row>
    <row r="1200">
      <c r="A1200" s="68"/>
      <c r="B1200" s="79"/>
      <c r="C1200" s="77"/>
      <c r="D1200" s="79"/>
      <c r="E1200" s="79"/>
      <c r="F1200" s="93"/>
      <c r="G1200" s="93"/>
      <c r="H1200" s="103"/>
      <c r="I1200" s="79"/>
      <c r="J1200" s="100"/>
      <c r="K1200" s="97"/>
      <c r="L1200" s="98"/>
      <c r="M1200" s="99" t="b">
        <v>0</v>
      </c>
      <c r="N1200" s="99"/>
      <c r="O1200" s="85"/>
      <c r="P1200" s="68"/>
    </row>
    <row r="1201">
      <c r="A1201" s="68"/>
      <c r="B1201" s="79"/>
      <c r="C1201" s="77"/>
      <c r="D1201" s="79"/>
      <c r="E1201" s="79"/>
      <c r="F1201" s="93"/>
      <c r="G1201" s="93"/>
      <c r="H1201" s="103"/>
      <c r="I1201" s="79"/>
      <c r="J1201" s="100"/>
      <c r="K1201" s="97"/>
      <c r="L1201" s="98"/>
      <c r="M1201" s="99" t="b">
        <v>0</v>
      </c>
      <c r="N1201" s="99"/>
      <c r="O1201" s="85"/>
      <c r="P1201" s="68"/>
    </row>
    <row r="1202">
      <c r="A1202" s="68"/>
      <c r="B1202" s="79"/>
      <c r="C1202" s="77"/>
      <c r="D1202" s="79"/>
      <c r="E1202" s="79"/>
      <c r="F1202" s="93"/>
      <c r="G1202" s="93"/>
      <c r="H1202" s="103"/>
      <c r="I1202" s="79"/>
      <c r="J1202" s="100"/>
      <c r="K1202" s="97"/>
      <c r="L1202" s="98"/>
      <c r="M1202" s="99" t="b">
        <v>0</v>
      </c>
      <c r="N1202" s="99"/>
      <c r="O1202" s="85"/>
      <c r="P1202" s="68"/>
    </row>
    <row r="1203">
      <c r="A1203" s="68"/>
      <c r="B1203" s="79"/>
      <c r="C1203" s="77"/>
      <c r="D1203" s="79"/>
      <c r="E1203" s="79"/>
      <c r="F1203" s="93"/>
      <c r="G1203" s="93"/>
      <c r="H1203" s="103"/>
      <c r="I1203" s="79"/>
      <c r="J1203" s="100"/>
      <c r="K1203" s="97"/>
      <c r="L1203" s="98"/>
      <c r="M1203" s="99" t="b">
        <v>0</v>
      </c>
      <c r="N1203" s="99"/>
      <c r="O1203" s="85"/>
      <c r="P1203" s="68"/>
    </row>
    <row r="1204">
      <c r="A1204" s="68"/>
      <c r="B1204" s="79"/>
      <c r="C1204" s="77"/>
      <c r="D1204" s="79"/>
      <c r="E1204" s="79"/>
      <c r="F1204" s="93"/>
      <c r="G1204" s="93"/>
      <c r="H1204" s="103"/>
      <c r="I1204" s="79"/>
      <c r="J1204" s="100"/>
      <c r="K1204" s="97"/>
      <c r="L1204" s="98"/>
      <c r="M1204" s="99" t="b">
        <v>0</v>
      </c>
      <c r="N1204" s="99"/>
      <c r="O1204" s="85"/>
      <c r="P1204" s="68"/>
    </row>
    <row r="1205">
      <c r="A1205" s="68"/>
      <c r="B1205" s="79"/>
      <c r="C1205" s="77"/>
      <c r="D1205" s="79"/>
      <c r="E1205" s="79"/>
      <c r="F1205" s="93"/>
      <c r="G1205" s="93"/>
      <c r="H1205" s="103"/>
      <c r="I1205" s="79"/>
      <c r="J1205" s="100"/>
      <c r="K1205" s="97"/>
      <c r="L1205" s="98"/>
      <c r="M1205" s="99" t="b">
        <v>0</v>
      </c>
      <c r="N1205" s="99"/>
      <c r="O1205" s="85"/>
      <c r="P1205" s="68"/>
    </row>
    <row r="1206">
      <c r="A1206" s="68"/>
      <c r="B1206" s="79"/>
      <c r="C1206" s="77"/>
      <c r="D1206" s="79"/>
      <c r="E1206" s="79"/>
      <c r="F1206" s="93"/>
      <c r="G1206" s="93"/>
      <c r="H1206" s="103"/>
      <c r="I1206" s="79"/>
      <c r="J1206" s="100"/>
      <c r="K1206" s="97"/>
      <c r="L1206" s="98"/>
      <c r="M1206" s="99" t="b">
        <v>0</v>
      </c>
      <c r="N1206" s="99"/>
      <c r="O1206" s="85"/>
      <c r="P1206" s="68"/>
    </row>
    <row r="1207">
      <c r="A1207" s="68"/>
      <c r="B1207" s="79"/>
      <c r="C1207" s="77"/>
      <c r="D1207" s="79"/>
      <c r="E1207" s="79"/>
      <c r="F1207" s="93"/>
      <c r="G1207" s="93"/>
      <c r="H1207" s="103"/>
      <c r="I1207" s="79"/>
      <c r="J1207" s="100"/>
      <c r="K1207" s="97"/>
      <c r="L1207" s="98"/>
      <c r="M1207" s="99" t="b">
        <v>0</v>
      </c>
      <c r="N1207" s="99"/>
      <c r="O1207" s="85"/>
      <c r="P1207" s="68"/>
    </row>
    <row r="1208">
      <c r="A1208" s="68"/>
      <c r="B1208" s="79"/>
      <c r="C1208" s="77"/>
      <c r="D1208" s="79"/>
      <c r="E1208" s="79"/>
      <c r="F1208" s="93"/>
      <c r="G1208" s="93"/>
      <c r="H1208" s="103"/>
      <c r="I1208" s="79"/>
      <c r="J1208" s="100"/>
      <c r="K1208" s="97"/>
      <c r="L1208" s="98"/>
      <c r="M1208" s="99" t="b">
        <v>0</v>
      </c>
      <c r="N1208" s="99"/>
      <c r="O1208" s="85"/>
      <c r="P1208" s="68"/>
    </row>
    <row r="1209">
      <c r="A1209" s="68"/>
      <c r="B1209" s="79"/>
      <c r="C1209" s="77"/>
      <c r="D1209" s="79"/>
      <c r="E1209" s="79"/>
      <c r="F1209" s="93"/>
      <c r="G1209" s="93"/>
      <c r="H1209" s="103"/>
      <c r="I1209" s="79"/>
      <c r="J1209" s="100"/>
      <c r="K1209" s="97"/>
      <c r="L1209" s="98"/>
      <c r="M1209" s="99" t="b">
        <v>0</v>
      </c>
      <c r="N1209" s="99"/>
      <c r="O1209" s="85"/>
      <c r="P1209" s="68"/>
    </row>
    <row r="1210">
      <c r="A1210" s="68"/>
      <c r="B1210" s="79"/>
      <c r="C1210" s="77"/>
      <c r="D1210" s="79"/>
      <c r="E1210" s="79"/>
      <c r="F1210" s="93"/>
      <c r="G1210" s="93"/>
      <c r="H1210" s="103"/>
      <c r="I1210" s="79"/>
      <c r="J1210" s="100"/>
      <c r="K1210" s="97"/>
      <c r="L1210" s="98"/>
      <c r="M1210" s="99" t="b">
        <v>0</v>
      </c>
      <c r="N1210" s="99"/>
      <c r="O1210" s="85"/>
      <c r="P1210" s="68"/>
    </row>
    <row r="1211">
      <c r="A1211" s="68"/>
      <c r="B1211" s="79"/>
      <c r="C1211" s="77"/>
      <c r="D1211" s="79"/>
      <c r="E1211" s="79"/>
      <c r="F1211" s="93"/>
      <c r="G1211" s="93"/>
      <c r="H1211" s="103"/>
      <c r="I1211" s="79"/>
      <c r="J1211" s="100"/>
      <c r="K1211" s="97"/>
      <c r="L1211" s="98"/>
      <c r="M1211" s="99" t="b">
        <v>0</v>
      </c>
      <c r="N1211" s="99"/>
      <c r="O1211" s="85"/>
      <c r="P1211" s="68"/>
    </row>
    <row r="1212">
      <c r="A1212" s="68"/>
      <c r="B1212" s="79"/>
      <c r="C1212" s="77"/>
      <c r="D1212" s="79"/>
      <c r="E1212" s="79"/>
      <c r="F1212" s="93"/>
      <c r="G1212" s="93"/>
      <c r="H1212" s="103"/>
      <c r="I1212" s="79"/>
      <c r="J1212" s="100"/>
      <c r="K1212" s="97"/>
      <c r="L1212" s="98"/>
      <c r="M1212" s="99" t="b">
        <v>0</v>
      </c>
      <c r="N1212" s="99"/>
      <c r="O1212" s="85"/>
      <c r="P1212" s="68"/>
    </row>
    <row r="1213">
      <c r="A1213" s="68"/>
      <c r="B1213" s="79"/>
      <c r="C1213" s="77"/>
      <c r="D1213" s="79"/>
      <c r="E1213" s="79"/>
      <c r="F1213" s="93"/>
      <c r="G1213" s="93"/>
      <c r="H1213" s="103"/>
      <c r="I1213" s="79"/>
      <c r="J1213" s="100"/>
      <c r="K1213" s="97"/>
      <c r="L1213" s="98"/>
      <c r="M1213" s="99" t="b">
        <v>0</v>
      </c>
      <c r="N1213" s="99"/>
      <c r="O1213" s="85"/>
      <c r="P1213" s="68"/>
    </row>
    <row r="1214">
      <c r="A1214" s="68"/>
      <c r="B1214" s="79"/>
      <c r="C1214" s="77"/>
      <c r="D1214" s="79"/>
      <c r="E1214" s="79"/>
      <c r="F1214" s="93"/>
      <c r="G1214" s="93"/>
      <c r="H1214" s="103"/>
      <c r="I1214" s="79"/>
      <c r="J1214" s="100"/>
      <c r="K1214" s="97"/>
      <c r="L1214" s="98"/>
      <c r="M1214" s="99" t="b">
        <v>0</v>
      </c>
      <c r="N1214" s="99"/>
      <c r="O1214" s="85"/>
      <c r="P1214" s="68"/>
    </row>
    <row r="1215">
      <c r="A1215" s="68"/>
      <c r="B1215" s="79"/>
      <c r="C1215" s="77"/>
      <c r="D1215" s="79"/>
      <c r="E1215" s="79"/>
      <c r="F1215" s="93"/>
      <c r="G1215" s="93"/>
      <c r="H1215" s="103"/>
      <c r="I1215" s="79"/>
      <c r="J1215" s="100"/>
      <c r="K1215" s="97"/>
      <c r="L1215" s="98"/>
      <c r="M1215" s="99" t="b">
        <v>0</v>
      </c>
      <c r="N1215" s="99"/>
      <c r="O1215" s="85"/>
      <c r="P1215" s="68"/>
    </row>
    <row r="1216">
      <c r="A1216" s="68"/>
      <c r="B1216" s="79"/>
      <c r="C1216" s="77"/>
      <c r="D1216" s="79"/>
      <c r="E1216" s="79"/>
      <c r="F1216" s="93"/>
      <c r="G1216" s="93"/>
      <c r="H1216" s="103"/>
      <c r="I1216" s="79"/>
      <c r="J1216" s="100"/>
      <c r="K1216" s="97"/>
      <c r="L1216" s="98"/>
      <c r="M1216" s="99" t="b">
        <v>0</v>
      </c>
      <c r="N1216" s="99"/>
      <c r="O1216" s="85"/>
      <c r="P1216" s="68"/>
    </row>
    <row r="1217">
      <c r="A1217" s="68"/>
      <c r="B1217" s="79"/>
      <c r="C1217" s="77"/>
      <c r="D1217" s="79"/>
      <c r="E1217" s="79"/>
      <c r="F1217" s="93"/>
      <c r="G1217" s="93"/>
      <c r="H1217" s="103"/>
      <c r="I1217" s="79"/>
      <c r="J1217" s="100"/>
      <c r="K1217" s="97"/>
      <c r="L1217" s="98"/>
      <c r="M1217" s="99" t="b">
        <v>0</v>
      </c>
      <c r="N1217" s="99"/>
      <c r="O1217" s="85"/>
      <c r="P1217" s="68"/>
    </row>
    <row r="1218">
      <c r="A1218" s="68"/>
      <c r="B1218" s="79"/>
      <c r="C1218" s="77"/>
      <c r="D1218" s="79"/>
      <c r="E1218" s="79"/>
      <c r="F1218" s="93"/>
      <c r="G1218" s="93"/>
      <c r="H1218" s="103"/>
      <c r="I1218" s="79"/>
      <c r="J1218" s="100"/>
      <c r="K1218" s="97"/>
      <c r="L1218" s="98"/>
      <c r="M1218" s="99" t="b">
        <v>0</v>
      </c>
      <c r="N1218" s="99"/>
      <c r="O1218" s="85"/>
      <c r="P1218" s="68"/>
    </row>
    <row r="1219">
      <c r="A1219" s="68"/>
      <c r="B1219" s="79"/>
      <c r="C1219" s="77"/>
      <c r="D1219" s="79"/>
      <c r="E1219" s="79"/>
      <c r="F1219" s="93"/>
      <c r="G1219" s="93"/>
      <c r="H1219" s="103"/>
      <c r="I1219" s="79"/>
      <c r="J1219" s="100"/>
      <c r="K1219" s="97"/>
      <c r="L1219" s="98"/>
      <c r="M1219" s="99" t="b">
        <v>0</v>
      </c>
      <c r="N1219" s="99"/>
      <c r="O1219" s="85"/>
      <c r="P1219" s="68"/>
    </row>
    <row r="1220">
      <c r="A1220" s="68"/>
      <c r="B1220" s="79"/>
      <c r="C1220" s="77"/>
      <c r="D1220" s="79"/>
      <c r="E1220" s="79"/>
      <c r="F1220" s="93"/>
      <c r="G1220" s="93"/>
      <c r="H1220" s="103"/>
      <c r="I1220" s="79"/>
      <c r="J1220" s="100"/>
      <c r="K1220" s="97"/>
      <c r="L1220" s="98"/>
      <c r="M1220" s="99" t="b">
        <v>0</v>
      </c>
      <c r="N1220" s="99"/>
      <c r="O1220" s="85"/>
      <c r="P1220" s="68"/>
    </row>
    <row r="1221">
      <c r="A1221" s="68"/>
      <c r="B1221" s="79"/>
      <c r="C1221" s="77"/>
      <c r="D1221" s="79"/>
      <c r="E1221" s="79"/>
      <c r="F1221" s="93"/>
      <c r="G1221" s="93"/>
      <c r="H1221" s="103"/>
      <c r="I1221" s="79"/>
      <c r="J1221" s="100"/>
      <c r="K1221" s="97"/>
      <c r="L1221" s="98"/>
      <c r="M1221" s="99" t="b">
        <v>0</v>
      </c>
      <c r="N1221" s="99"/>
      <c r="O1221" s="85"/>
      <c r="P1221" s="68"/>
    </row>
    <row r="1222">
      <c r="A1222" s="68"/>
      <c r="B1222" s="79"/>
      <c r="C1222" s="77"/>
      <c r="D1222" s="79"/>
      <c r="E1222" s="79"/>
      <c r="F1222" s="93"/>
      <c r="G1222" s="93"/>
      <c r="H1222" s="103"/>
      <c r="I1222" s="79"/>
      <c r="J1222" s="100"/>
      <c r="K1222" s="97"/>
      <c r="L1222" s="98"/>
      <c r="M1222" s="99" t="b">
        <v>0</v>
      </c>
      <c r="N1222" s="99"/>
      <c r="O1222" s="85"/>
      <c r="P1222" s="68"/>
    </row>
    <row r="1223">
      <c r="A1223" s="68"/>
      <c r="B1223" s="79"/>
      <c r="C1223" s="77"/>
      <c r="D1223" s="79"/>
      <c r="E1223" s="79"/>
      <c r="F1223" s="93"/>
      <c r="G1223" s="93"/>
      <c r="H1223" s="103"/>
      <c r="I1223" s="79"/>
      <c r="J1223" s="100"/>
      <c r="K1223" s="97"/>
      <c r="L1223" s="98"/>
      <c r="M1223" s="99" t="b">
        <v>0</v>
      </c>
      <c r="N1223" s="99"/>
      <c r="O1223" s="85"/>
      <c r="P1223" s="68"/>
    </row>
    <row r="1224">
      <c r="A1224" s="68"/>
      <c r="B1224" s="79"/>
      <c r="C1224" s="77"/>
      <c r="D1224" s="79"/>
      <c r="E1224" s="79"/>
      <c r="F1224" s="93"/>
      <c r="G1224" s="93"/>
      <c r="H1224" s="103"/>
      <c r="I1224" s="79"/>
      <c r="J1224" s="100"/>
      <c r="K1224" s="97"/>
      <c r="L1224" s="98"/>
      <c r="M1224" s="99" t="b">
        <v>0</v>
      </c>
      <c r="N1224" s="99"/>
      <c r="O1224" s="85"/>
      <c r="P1224" s="68"/>
    </row>
    <row r="1225">
      <c r="A1225" s="68"/>
      <c r="B1225" s="79"/>
      <c r="C1225" s="77"/>
      <c r="D1225" s="79"/>
      <c r="E1225" s="79"/>
      <c r="F1225" s="93"/>
      <c r="G1225" s="93"/>
      <c r="H1225" s="103"/>
      <c r="I1225" s="79"/>
      <c r="J1225" s="100"/>
      <c r="K1225" s="97"/>
      <c r="L1225" s="98"/>
      <c r="M1225" s="99" t="b">
        <v>0</v>
      </c>
      <c r="N1225" s="99"/>
      <c r="O1225" s="85"/>
      <c r="P1225" s="68"/>
    </row>
    <row r="1226">
      <c r="A1226" s="68"/>
      <c r="B1226" s="79"/>
      <c r="C1226" s="77"/>
      <c r="D1226" s="79"/>
      <c r="E1226" s="79"/>
      <c r="F1226" s="93"/>
      <c r="G1226" s="93"/>
      <c r="H1226" s="103"/>
      <c r="I1226" s="79"/>
      <c r="J1226" s="100"/>
      <c r="K1226" s="97"/>
      <c r="L1226" s="98"/>
      <c r="M1226" s="99" t="b">
        <v>0</v>
      </c>
      <c r="N1226" s="99"/>
      <c r="O1226" s="85"/>
      <c r="P1226" s="68"/>
    </row>
    <row r="1227">
      <c r="A1227" s="68"/>
      <c r="B1227" s="79"/>
      <c r="C1227" s="77"/>
      <c r="D1227" s="79"/>
      <c r="E1227" s="79"/>
      <c r="F1227" s="93"/>
      <c r="G1227" s="93"/>
      <c r="H1227" s="103"/>
      <c r="I1227" s="79"/>
      <c r="J1227" s="100"/>
      <c r="K1227" s="97"/>
      <c r="L1227" s="98"/>
      <c r="M1227" s="99" t="b">
        <v>0</v>
      </c>
      <c r="N1227" s="99"/>
      <c r="O1227" s="85"/>
      <c r="P1227" s="68"/>
    </row>
    <row r="1228">
      <c r="A1228" s="68"/>
      <c r="B1228" s="79"/>
      <c r="C1228" s="77"/>
      <c r="D1228" s="79"/>
      <c r="E1228" s="79"/>
      <c r="F1228" s="93"/>
      <c r="G1228" s="93"/>
      <c r="H1228" s="103"/>
      <c r="I1228" s="79"/>
      <c r="J1228" s="100"/>
      <c r="K1228" s="97"/>
      <c r="L1228" s="98"/>
      <c r="M1228" s="99" t="b">
        <v>0</v>
      </c>
      <c r="N1228" s="99"/>
      <c r="O1228" s="85"/>
      <c r="P1228" s="68"/>
    </row>
    <row r="1229">
      <c r="A1229" s="68"/>
      <c r="B1229" s="79"/>
      <c r="C1229" s="77"/>
      <c r="D1229" s="79"/>
      <c r="E1229" s="79"/>
      <c r="F1229" s="93"/>
      <c r="G1229" s="93"/>
      <c r="H1229" s="103"/>
      <c r="I1229" s="79"/>
      <c r="J1229" s="100"/>
      <c r="K1229" s="97"/>
      <c r="L1229" s="98"/>
      <c r="M1229" s="99" t="b">
        <v>0</v>
      </c>
      <c r="N1229" s="99"/>
      <c r="O1229" s="85"/>
      <c r="P1229" s="68"/>
    </row>
    <row r="1230">
      <c r="A1230" s="68"/>
      <c r="B1230" s="79"/>
      <c r="C1230" s="77"/>
      <c r="D1230" s="79"/>
      <c r="E1230" s="79"/>
      <c r="F1230" s="93"/>
      <c r="G1230" s="93"/>
      <c r="H1230" s="103"/>
      <c r="I1230" s="79"/>
      <c r="J1230" s="100"/>
      <c r="K1230" s="97"/>
      <c r="L1230" s="98"/>
      <c r="M1230" s="99" t="b">
        <v>0</v>
      </c>
      <c r="N1230" s="99"/>
      <c r="O1230" s="85"/>
      <c r="P1230" s="68"/>
    </row>
    <row r="1231">
      <c r="A1231" s="68"/>
      <c r="B1231" s="79"/>
      <c r="C1231" s="77"/>
      <c r="D1231" s="79"/>
      <c r="E1231" s="79"/>
      <c r="F1231" s="93"/>
      <c r="G1231" s="93"/>
      <c r="H1231" s="103"/>
      <c r="I1231" s="79"/>
      <c r="J1231" s="100"/>
      <c r="K1231" s="97"/>
      <c r="L1231" s="98"/>
      <c r="M1231" s="99" t="b">
        <v>0</v>
      </c>
      <c r="N1231" s="99"/>
      <c r="O1231" s="85"/>
      <c r="P1231" s="68"/>
    </row>
    <row r="1232">
      <c r="A1232" s="68"/>
      <c r="B1232" s="79"/>
      <c r="C1232" s="77"/>
      <c r="D1232" s="79"/>
      <c r="E1232" s="79"/>
      <c r="F1232" s="93"/>
      <c r="G1232" s="93"/>
      <c r="H1232" s="103"/>
      <c r="I1232" s="79"/>
      <c r="J1232" s="100"/>
      <c r="K1232" s="97"/>
      <c r="L1232" s="98"/>
      <c r="M1232" s="99" t="b">
        <v>0</v>
      </c>
      <c r="N1232" s="99"/>
      <c r="O1232" s="85"/>
      <c r="P1232" s="68"/>
    </row>
    <row r="1233">
      <c r="A1233" s="68"/>
      <c r="B1233" s="79"/>
      <c r="C1233" s="77"/>
      <c r="D1233" s="79"/>
      <c r="E1233" s="79"/>
      <c r="F1233" s="93"/>
      <c r="G1233" s="93"/>
      <c r="H1233" s="103"/>
      <c r="I1233" s="79"/>
      <c r="J1233" s="100"/>
      <c r="K1233" s="97"/>
      <c r="L1233" s="98"/>
      <c r="M1233" s="99" t="b">
        <v>0</v>
      </c>
      <c r="N1233" s="99"/>
      <c r="O1233" s="85"/>
      <c r="P1233" s="68"/>
    </row>
    <row r="1234">
      <c r="A1234" s="68"/>
      <c r="B1234" s="79"/>
      <c r="C1234" s="77"/>
      <c r="D1234" s="79"/>
      <c r="E1234" s="79"/>
      <c r="F1234" s="93"/>
      <c r="G1234" s="93"/>
      <c r="H1234" s="103"/>
      <c r="I1234" s="79"/>
      <c r="J1234" s="100"/>
      <c r="K1234" s="97"/>
      <c r="L1234" s="98"/>
      <c r="M1234" s="99" t="b">
        <v>0</v>
      </c>
      <c r="N1234" s="99"/>
      <c r="O1234" s="85"/>
      <c r="P1234" s="68"/>
    </row>
    <row r="1235">
      <c r="A1235" s="68"/>
      <c r="B1235" s="79"/>
      <c r="C1235" s="77"/>
      <c r="D1235" s="79"/>
      <c r="E1235" s="79"/>
      <c r="F1235" s="93"/>
      <c r="G1235" s="93"/>
      <c r="H1235" s="103"/>
      <c r="I1235" s="79"/>
      <c r="J1235" s="100"/>
      <c r="K1235" s="97"/>
      <c r="L1235" s="98"/>
      <c r="M1235" s="99" t="b">
        <v>0</v>
      </c>
      <c r="N1235" s="99"/>
      <c r="O1235" s="85"/>
      <c r="P1235" s="68"/>
    </row>
    <row r="1236">
      <c r="A1236" s="68"/>
      <c r="B1236" s="79"/>
      <c r="C1236" s="77"/>
      <c r="D1236" s="79"/>
      <c r="E1236" s="79"/>
      <c r="F1236" s="93"/>
      <c r="G1236" s="93"/>
      <c r="H1236" s="103"/>
      <c r="I1236" s="79"/>
      <c r="J1236" s="100"/>
      <c r="K1236" s="97"/>
      <c r="L1236" s="98"/>
      <c r="M1236" s="99" t="b">
        <v>0</v>
      </c>
      <c r="N1236" s="99"/>
      <c r="O1236" s="85"/>
      <c r="P1236" s="68"/>
    </row>
    <row r="1237">
      <c r="A1237" s="68"/>
      <c r="B1237" s="79"/>
      <c r="C1237" s="77"/>
      <c r="D1237" s="79"/>
      <c r="E1237" s="79"/>
      <c r="F1237" s="93"/>
      <c r="G1237" s="93"/>
      <c r="H1237" s="103"/>
      <c r="I1237" s="79"/>
      <c r="J1237" s="100"/>
      <c r="K1237" s="97"/>
      <c r="L1237" s="98"/>
      <c r="M1237" s="99" t="b">
        <v>0</v>
      </c>
      <c r="N1237" s="99"/>
      <c r="O1237" s="85"/>
      <c r="P1237" s="68"/>
    </row>
    <row r="1238">
      <c r="A1238" s="68"/>
      <c r="B1238" s="79"/>
      <c r="C1238" s="77"/>
      <c r="D1238" s="79"/>
      <c r="E1238" s="79"/>
      <c r="F1238" s="93"/>
      <c r="G1238" s="93"/>
      <c r="H1238" s="103"/>
      <c r="I1238" s="79"/>
      <c r="J1238" s="100"/>
      <c r="K1238" s="97"/>
      <c r="L1238" s="98"/>
      <c r="M1238" s="99" t="b">
        <v>0</v>
      </c>
      <c r="N1238" s="99"/>
      <c r="O1238" s="85"/>
      <c r="P1238" s="68"/>
    </row>
    <row r="1239">
      <c r="A1239" s="68"/>
      <c r="B1239" s="79"/>
      <c r="C1239" s="77"/>
      <c r="D1239" s="79"/>
      <c r="E1239" s="79"/>
      <c r="F1239" s="93"/>
      <c r="G1239" s="93"/>
      <c r="H1239" s="103"/>
      <c r="I1239" s="79"/>
      <c r="J1239" s="100"/>
      <c r="K1239" s="97"/>
      <c r="L1239" s="98"/>
      <c r="M1239" s="99" t="b">
        <v>0</v>
      </c>
      <c r="N1239" s="99"/>
      <c r="O1239" s="85"/>
      <c r="P1239" s="68"/>
    </row>
    <row r="1240">
      <c r="A1240" s="68"/>
      <c r="B1240" s="79"/>
      <c r="C1240" s="77"/>
      <c r="D1240" s="79"/>
      <c r="E1240" s="79"/>
      <c r="F1240" s="93"/>
      <c r="G1240" s="93"/>
      <c r="H1240" s="103"/>
      <c r="I1240" s="79"/>
      <c r="J1240" s="100"/>
      <c r="K1240" s="97"/>
      <c r="L1240" s="98"/>
      <c r="M1240" s="99" t="b">
        <v>0</v>
      </c>
      <c r="N1240" s="99"/>
      <c r="O1240" s="85"/>
      <c r="P1240" s="68"/>
    </row>
    <row r="1241">
      <c r="A1241" s="68"/>
      <c r="B1241" s="79"/>
      <c r="C1241" s="77"/>
      <c r="D1241" s="79"/>
      <c r="E1241" s="79"/>
      <c r="F1241" s="93"/>
      <c r="G1241" s="93"/>
      <c r="H1241" s="103"/>
      <c r="I1241" s="79"/>
      <c r="J1241" s="100"/>
      <c r="K1241" s="97"/>
      <c r="L1241" s="98"/>
      <c r="M1241" s="99" t="b">
        <v>0</v>
      </c>
      <c r="N1241" s="99"/>
      <c r="O1241" s="85"/>
      <c r="P1241" s="68"/>
    </row>
    <row r="1242">
      <c r="A1242" s="68"/>
      <c r="B1242" s="79"/>
      <c r="C1242" s="77"/>
      <c r="D1242" s="79"/>
      <c r="E1242" s="79"/>
      <c r="F1242" s="93"/>
      <c r="G1242" s="93"/>
      <c r="H1242" s="103"/>
      <c r="I1242" s="79"/>
      <c r="J1242" s="100"/>
      <c r="K1242" s="97"/>
      <c r="L1242" s="98"/>
      <c r="M1242" s="99" t="b">
        <v>0</v>
      </c>
      <c r="N1242" s="99"/>
      <c r="O1242" s="85"/>
      <c r="P1242" s="68"/>
    </row>
    <row r="1243">
      <c r="A1243" s="68"/>
      <c r="B1243" s="79"/>
      <c r="C1243" s="77"/>
      <c r="D1243" s="79"/>
      <c r="E1243" s="79"/>
      <c r="F1243" s="93"/>
      <c r="G1243" s="93"/>
      <c r="H1243" s="103"/>
      <c r="I1243" s="79"/>
      <c r="J1243" s="100"/>
      <c r="K1243" s="97"/>
      <c r="L1243" s="98"/>
      <c r="M1243" s="99" t="b">
        <v>0</v>
      </c>
      <c r="N1243" s="99"/>
      <c r="O1243" s="85"/>
      <c r="P1243" s="68"/>
    </row>
    <row r="1244">
      <c r="A1244" s="68"/>
      <c r="B1244" s="79"/>
      <c r="C1244" s="77"/>
      <c r="D1244" s="79"/>
      <c r="E1244" s="79"/>
      <c r="F1244" s="93"/>
      <c r="G1244" s="93"/>
      <c r="H1244" s="103"/>
      <c r="I1244" s="79"/>
      <c r="J1244" s="100"/>
      <c r="K1244" s="97"/>
      <c r="L1244" s="98"/>
      <c r="M1244" s="99" t="b">
        <v>0</v>
      </c>
      <c r="N1244" s="99"/>
      <c r="O1244" s="85"/>
      <c r="P1244" s="68"/>
    </row>
    <row r="1245">
      <c r="A1245" s="68"/>
      <c r="B1245" s="79"/>
      <c r="C1245" s="77"/>
      <c r="D1245" s="79"/>
      <c r="E1245" s="79"/>
      <c r="F1245" s="93"/>
      <c r="G1245" s="93"/>
      <c r="H1245" s="103"/>
      <c r="I1245" s="79"/>
      <c r="J1245" s="100"/>
      <c r="K1245" s="97"/>
      <c r="L1245" s="98"/>
      <c r="M1245" s="99" t="b">
        <v>0</v>
      </c>
      <c r="N1245" s="99"/>
      <c r="O1245" s="85"/>
      <c r="P1245" s="68"/>
    </row>
    <row r="1246">
      <c r="A1246" s="68"/>
      <c r="B1246" s="79"/>
      <c r="C1246" s="77"/>
      <c r="D1246" s="79"/>
      <c r="E1246" s="79"/>
      <c r="F1246" s="93"/>
      <c r="G1246" s="93"/>
      <c r="H1246" s="103"/>
      <c r="I1246" s="79"/>
      <c r="J1246" s="100"/>
      <c r="K1246" s="97"/>
      <c r="L1246" s="98"/>
      <c r="M1246" s="99" t="b">
        <v>0</v>
      </c>
      <c r="N1246" s="99"/>
      <c r="O1246" s="85"/>
      <c r="P1246" s="68"/>
    </row>
    <row r="1247">
      <c r="A1247" s="68"/>
      <c r="B1247" s="79"/>
      <c r="C1247" s="77"/>
      <c r="D1247" s="79"/>
      <c r="E1247" s="79"/>
      <c r="F1247" s="93"/>
      <c r="G1247" s="93"/>
      <c r="H1247" s="103"/>
      <c r="I1247" s="79"/>
      <c r="J1247" s="100"/>
      <c r="K1247" s="97"/>
      <c r="L1247" s="98"/>
      <c r="M1247" s="99" t="b">
        <v>0</v>
      </c>
      <c r="N1247" s="99"/>
      <c r="O1247" s="85"/>
      <c r="P1247" s="68"/>
    </row>
    <row r="1248">
      <c r="A1248" s="68"/>
      <c r="B1248" s="79"/>
      <c r="C1248" s="77"/>
      <c r="D1248" s="79"/>
      <c r="E1248" s="79"/>
      <c r="F1248" s="93"/>
      <c r="G1248" s="93"/>
      <c r="H1248" s="103"/>
      <c r="I1248" s="79"/>
      <c r="J1248" s="100"/>
      <c r="K1248" s="97"/>
      <c r="L1248" s="98"/>
      <c r="M1248" s="99" t="b">
        <v>0</v>
      </c>
      <c r="N1248" s="99"/>
      <c r="O1248" s="85"/>
      <c r="P1248" s="68"/>
    </row>
    <row r="1249">
      <c r="A1249" s="68"/>
      <c r="B1249" s="79"/>
      <c r="C1249" s="77"/>
      <c r="D1249" s="79"/>
      <c r="E1249" s="79"/>
      <c r="F1249" s="93"/>
      <c r="G1249" s="93"/>
      <c r="H1249" s="103"/>
      <c r="I1249" s="79"/>
      <c r="J1249" s="100"/>
      <c r="K1249" s="97"/>
      <c r="L1249" s="98"/>
      <c r="M1249" s="99" t="b">
        <v>0</v>
      </c>
      <c r="N1249" s="99"/>
      <c r="O1249" s="85"/>
      <c r="P1249" s="68"/>
    </row>
    <row r="1250">
      <c r="A1250" s="68"/>
      <c r="B1250" s="79"/>
      <c r="C1250" s="77"/>
      <c r="D1250" s="79"/>
      <c r="E1250" s="79"/>
      <c r="F1250" s="93"/>
      <c r="G1250" s="93"/>
      <c r="H1250" s="103"/>
      <c r="I1250" s="79"/>
      <c r="J1250" s="100"/>
      <c r="K1250" s="97"/>
      <c r="L1250" s="98"/>
      <c r="M1250" s="99" t="b">
        <v>0</v>
      </c>
      <c r="N1250" s="99"/>
      <c r="O1250" s="85"/>
      <c r="P1250" s="68"/>
    </row>
    <row r="1251">
      <c r="A1251" s="68"/>
      <c r="B1251" s="79"/>
      <c r="C1251" s="77"/>
      <c r="D1251" s="79"/>
      <c r="E1251" s="79"/>
      <c r="F1251" s="93"/>
      <c r="G1251" s="93"/>
      <c r="H1251" s="103"/>
      <c r="I1251" s="79"/>
      <c r="J1251" s="100"/>
      <c r="K1251" s="97"/>
      <c r="L1251" s="98"/>
      <c r="M1251" s="99" t="b">
        <v>0</v>
      </c>
      <c r="N1251" s="99"/>
      <c r="O1251" s="85"/>
      <c r="P1251" s="68"/>
    </row>
    <row r="1252">
      <c r="A1252" s="68"/>
      <c r="B1252" s="79"/>
      <c r="C1252" s="77"/>
      <c r="D1252" s="79"/>
      <c r="E1252" s="79"/>
      <c r="F1252" s="93"/>
      <c r="G1252" s="93"/>
      <c r="H1252" s="103"/>
      <c r="I1252" s="79"/>
      <c r="J1252" s="100"/>
      <c r="K1252" s="97"/>
      <c r="L1252" s="98"/>
      <c r="M1252" s="99" t="b">
        <v>0</v>
      </c>
      <c r="N1252" s="99"/>
      <c r="O1252" s="85"/>
      <c r="P1252" s="68"/>
    </row>
    <row r="1253">
      <c r="A1253" s="68"/>
      <c r="B1253" s="79"/>
      <c r="C1253" s="77"/>
      <c r="D1253" s="79"/>
      <c r="E1253" s="79"/>
      <c r="F1253" s="93"/>
      <c r="G1253" s="93"/>
      <c r="H1253" s="103"/>
      <c r="I1253" s="79"/>
      <c r="J1253" s="100"/>
      <c r="K1253" s="97"/>
      <c r="L1253" s="98"/>
      <c r="M1253" s="99" t="b">
        <v>0</v>
      </c>
      <c r="N1253" s="99"/>
      <c r="O1253" s="85"/>
      <c r="P1253" s="68"/>
    </row>
    <row r="1254">
      <c r="A1254" s="68"/>
      <c r="B1254" s="79"/>
      <c r="C1254" s="77"/>
      <c r="D1254" s="79"/>
      <c r="E1254" s="79"/>
      <c r="F1254" s="93"/>
      <c r="G1254" s="93"/>
      <c r="H1254" s="103"/>
      <c r="I1254" s="79"/>
      <c r="J1254" s="100"/>
      <c r="K1254" s="97"/>
      <c r="L1254" s="98"/>
      <c r="M1254" s="99" t="b">
        <v>0</v>
      </c>
      <c r="N1254" s="99"/>
      <c r="O1254" s="85"/>
      <c r="P1254" s="68"/>
    </row>
    <row r="1255">
      <c r="A1255" s="68"/>
      <c r="B1255" s="79"/>
      <c r="C1255" s="77"/>
      <c r="D1255" s="79"/>
      <c r="E1255" s="79"/>
      <c r="F1255" s="93"/>
      <c r="G1255" s="93"/>
      <c r="H1255" s="103"/>
      <c r="I1255" s="79"/>
      <c r="J1255" s="100"/>
      <c r="K1255" s="97"/>
      <c r="L1255" s="98"/>
      <c r="M1255" s="99" t="b">
        <v>0</v>
      </c>
      <c r="N1255" s="99"/>
      <c r="O1255" s="85"/>
      <c r="P1255" s="68"/>
    </row>
    <row r="1256">
      <c r="A1256" s="68"/>
      <c r="B1256" s="79"/>
      <c r="C1256" s="77"/>
      <c r="D1256" s="79"/>
      <c r="E1256" s="79"/>
      <c r="F1256" s="93"/>
      <c r="G1256" s="93"/>
      <c r="H1256" s="103"/>
      <c r="I1256" s="79"/>
      <c r="J1256" s="100"/>
      <c r="K1256" s="97"/>
      <c r="L1256" s="98"/>
      <c r="M1256" s="99" t="b">
        <v>0</v>
      </c>
      <c r="N1256" s="99"/>
      <c r="O1256" s="85"/>
      <c r="P1256" s="68"/>
    </row>
    <row r="1257">
      <c r="A1257" s="68"/>
      <c r="B1257" s="79"/>
      <c r="C1257" s="77"/>
      <c r="D1257" s="79"/>
      <c r="E1257" s="79"/>
      <c r="F1257" s="93"/>
      <c r="G1257" s="93"/>
      <c r="H1257" s="103"/>
      <c r="I1257" s="79"/>
      <c r="J1257" s="100"/>
      <c r="K1257" s="97"/>
      <c r="L1257" s="98"/>
      <c r="M1257" s="99" t="b">
        <v>0</v>
      </c>
      <c r="N1257" s="99"/>
      <c r="O1257" s="85"/>
      <c r="P1257" s="68"/>
    </row>
    <row r="1258">
      <c r="A1258" s="68"/>
      <c r="B1258" s="79"/>
      <c r="C1258" s="77"/>
      <c r="D1258" s="79"/>
      <c r="E1258" s="79"/>
      <c r="F1258" s="93"/>
      <c r="G1258" s="93"/>
      <c r="H1258" s="103"/>
      <c r="I1258" s="79"/>
      <c r="J1258" s="100"/>
      <c r="K1258" s="97"/>
      <c r="L1258" s="98"/>
      <c r="M1258" s="99" t="b">
        <v>0</v>
      </c>
      <c r="N1258" s="99"/>
      <c r="O1258" s="85"/>
      <c r="P1258" s="68"/>
    </row>
    <row r="1259">
      <c r="A1259" s="68"/>
      <c r="B1259" s="79"/>
      <c r="C1259" s="77"/>
      <c r="D1259" s="79"/>
      <c r="E1259" s="79"/>
      <c r="F1259" s="93"/>
      <c r="G1259" s="93"/>
      <c r="H1259" s="103"/>
      <c r="I1259" s="79"/>
      <c r="J1259" s="100"/>
      <c r="K1259" s="97"/>
      <c r="L1259" s="98"/>
      <c r="M1259" s="99" t="b">
        <v>0</v>
      </c>
      <c r="N1259" s="99"/>
      <c r="O1259" s="85"/>
      <c r="P1259" s="68"/>
    </row>
    <row r="1260">
      <c r="A1260" s="68"/>
      <c r="B1260" s="79"/>
      <c r="C1260" s="77"/>
      <c r="D1260" s="79"/>
      <c r="E1260" s="79"/>
      <c r="F1260" s="93"/>
      <c r="G1260" s="93"/>
      <c r="H1260" s="103"/>
      <c r="I1260" s="79"/>
      <c r="J1260" s="100"/>
      <c r="K1260" s="97"/>
      <c r="L1260" s="98"/>
      <c r="M1260" s="99" t="b">
        <v>0</v>
      </c>
      <c r="N1260" s="99"/>
      <c r="O1260" s="85"/>
      <c r="P1260" s="68"/>
    </row>
    <row r="1261">
      <c r="A1261" s="68"/>
      <c r="B1261" s="79"/>
      <c r="C1261" s="77"/>
      <c r="D1261" s="79"/>
      <c r="E1261" s="79"/>
      <c r="F1261" s="93"/>
      <c r="G1261" s="93"/>
      <c r="H1261" s="103"/>
      <c r="I1261" s="79"/>
      <c r="J1261" s="100"/>
      <c r="K1261" s="97"/>
      <c r="L1261" s="98"/>
      <c r="M1261" s="99" t="b">
        <v>0</v>
      </c>
      <c r="N1261" s="99"/>
      <c r="O1261" s="85"/>
      <c r="P1261" s="68"/>
    </row>
    <row r="1262">
      <c r="A1262" s="68"/>
      <c r="B1262" s="79"/>
      <c r="C1262" s="77"/>
      <c r="D1262" s="79"/>
      <c r="E1262" s="79"/>
      <c r="F1262" s="93"/>
      <c r="G1262" s="93"/>
      <c r="H1262" s="103"/>
      <c r="I1262" s="79"/>
      <c r="J1262" s="100"/>
      <c r="K1262" s="97"/>
      <c r="L1262" s="98"/>
      <c r="M1262" s="99" t="b">
        <v>0</v>
      </c>
      <c r="N1262" s="99"/>
      <c r="O1262" s="85"/>
      <c r="P1262" s="68"/>
    </row>
    <row r="1263">
      <c r="A1263" s="68"/>
      <c r="B1263" s="79"/>
      <c r="C1263" s="77"/>
      <c r="D1263" s="79"/>
      <c r="E1263" s="79"/>
      <c r="F1263" s="93"/>
      <c r="G1263" s="93"/>
      <c r="H1263" s="103"/>
      <c r="I1263" s="79"/>
      <c r="J1263" s="100"/>
      <c r="K1263" s="97"/>
      <c r="L1263" s="98"/>
      <c r="M1263" s="99" t="b">
        <v>0</v>
      </c>
      <c r="N1263" s="99"/>
      <c r="O1263" s="85"/>
      <c r="P1263" s="68"/>
    </row>
    <row r="1264">
      <c r="A1264" s="68"/>
      <c r="B1264" s="79"/>
      <c r="C1264" s="77"/>
      <c r="D1264" s="79"/>
      <c r="E1264" s="79"/>
      <c r="F1264" s="93"/>
      <c r="G1264" s="93"/>
      <c r="H1264" s="103"/>
      <c r="I1264" s="79"/>
      <c r="J1264" s="100"/>
      <c r="K1264" s="97"/>
      <c r="L1264" s="98"/>
      <c r="M1264" s="99" t="b">
        <v>0</v>
      </c>
      <c r="N1264" s="99"/>
      <c r="O1264" s="85"/>
      <c r="P1264" s="68"/>
    </row>
    <row r="1265">
      <c r="A1265" s="68"/>
      <c r="B1265" s="79"/>
      <c r="C1265" s="77"/>
      <c r="D1265" s="79"/>
      <c r="E1265" s="79"/>
      <c r="F1265" s="93"/>
      <c r="G1265" s="93"/>
      <c r="H1265" s="103"/>
      <c r="I1265" s="79"/>
      <c r="J1265" s="100"/>
      <c r="K1265" s="97"/>
      <c r="L1265" s="98"/>
      <c r="M1265" s="99" t="b">
        <v>0</v>
      </c>
      <c r="N1265" s="99"/>
      <c r="O1265" s="85"/>
      <c r="P1265" s="68"/>
    </row>
    <row r="1266">
      <c r="A1266" s="68"/>
      <c r="B1266" s="79"/>
      <c r="C1266" s="77"/>
      <c r="D1266" s="79"/>
      <c r="E1266" s="79"/>
      <c r="F1266" s="93"/>
      <c r="G1266" s="93"/>
      <c r="H1266" s="103"/>
      <c r="I1266" s="79"/>
      <c r="J1266" s="100"/>
      <c r="K1266" s="97"/>
      <c r="L1266" s="98"/>
      <c r="M1266" s="99" t="b">
        <v>0</v>
      </c>
      <c r="N1266" s="99"/>
      <c r="O1266" s="85"/>
      <c r="P1266" s="68"/>
    </row>
    <row r="1267">
      <c r="A1267" s="68"/>
      <c r="B1267" s="79"/>
      <c r="C1267" s="77"/>
      <c r="D1267" s="79"/>
      <c r="E1267" s="79"/>
      <c r="F1267" s="93"/>
      <c r="G1267" s="93"/>
      <c r="H1267" s="103"/>
      <c r="I1267" s="79"/>
      <c r="J1267" s="100"/>
      <c r="K1267" s="97"/>
      <c r="L1267" s="98"/>
      <c r="M1267" s="99" t="b">
        <v>0</v>
      </c>
      <c r="N1267" s="99"/>
      <c r="O1267" s="85"/>
      <c r="P1267" s="68"/>
    </row>
    <row r="1268">
      <c r="A1268" s="68"/>
      <c r="B1268" s="79"/>
      <c r="C1268" s="77"/>
      <c r="D1268" s="79"/>
      <c r="E1268" s="79"/>
      <c r="F1268" s="93"/>
      <c r="G1268" s="93"/>
      <c r="H1268" s="103"/>
      <c r="I1268" s="79"/>
      <c r="J1268" s="100"/>
      <c r="K1268" s="97"/>
      <c r="L1268" s="98"/>
      <c r="M1268" s="99" t="b">
        <v>0</v>
      </c>
      <c r="N1268" s="99"/>
      <c r="O1268" s="85"/>
      <c r="P1268" s="68"/>
    </row>
    <row r="1269">
      <c r="A1269" s="68"/>
      <c r="B1269" s="79"/>
      <c r="C1269" s="77"/>
      <c r="D1269" s="79"/>
      <c r="E1269" s="79"/>
      <c r="F1269" s="93"/>
      <c r="G1269" s="93"/>
      <c r="H1269" s="103"/>
      <c r="I1269" s="79"/>
      <c r="J1269" s="100"/>
      <c r="K1269" s="97"/>
      <c r="L1269" s="98"/>
      <c r="M1269" s="99" t="b">
        <v>0</v>
      </c>
      <c r="N1269" s="99"/>
      <c r="O1269" s="85"/>
      <c r="P1269" s="68"/>
    </row>
    <row r="1270">
      <c r="A1270" s="68"/>
      <c r="B1270" s="79"/>
      <c r="C1270" s="77"/>
      <c r="D1270" s="79"/>
      <c r="E1270" s="79"/>
      <c r="F1270" s="93"/>
      <c r="G1270" s="93"/>
      <c r="H1270" s="103"/>
      <c r="I1270" s="79"/>
      <c r="J1270" s="100"/>
      <c r="K1270" s="97"/>
      <c r="L1270" s="98"/>
      <c r="M1270" s="99" t="b">
        <v>0</v>
      </c>
      <c r="N1270" s="99"/>
      <c r="O1270" s="85"/>
      <c r="P1270" s="68"/>
    </row>
    <row r="1271">
      <c r="A1271" s="68"/>
      <c r="B1271" s="79"/>
      <c r="C1271" s="77"/>
      <c r="D1271" s="79"/>
      <c r="E1271" s="79"/>
      <c r="F1271" s="93"/>
      <c r="G1271" s="93"/>
      <c r="H1271" s="103"/>
      <c r="I1271" s="79"/>
      <c r="J1271" s="100"/>
      <c r="K1271" s="97"/>
      <c r="L1271" s="98"/>
      <c r="M1271" s="99" t="b">
        <v>0</v>
      </c>
      <c r="N1271" s="99"/>
      <c r="O1271" s="85"/>
      <c r="P1271" s="68"/>
    </row>
    <row r="1272">
      <c r="A1272" s="68"/>
      <c r="B1272" s="79"/>
      <c r="C1272" s="77"/>
      <c r="D1272" s="79"/>
      <c r="E1272" s="79"/>
      <c r="F1272" s="93"/>
      <c r="G1272" s="93"/>
      <c r="H1272" s="103"/>
      <c r="I1272" s="79"/>
      <c r="J1272" s="100"/>
      <c r="K1272" s="97"/>
      <c r="L1272" s="98"/>
      <c r="M1272" s="99" t="b">
        <v>0</v>
      </c>
      <c r="N1272" s="99"/>
      <c r="O1272" s="85"/>
      <c r="P1272" s="68"/>
    </row>
    <row r="1273">
      <c r="A1273" s="68"/>
      <c r="B1273" s="79"/>
      <c r="C1273" s="77"/>
      <c r="D1273" s="79"/>
      <c r="E1273" s="79"/>
      <c r="F1273" s="93"/>
      <c r="G1273" s="93"/>
      <c r="H1273" s="103"/>
      <c r="I1273" s="79"/>
      <c r="J1273" s="100"/>
      <c r="K1273" s="97"/>
      <c r="L1273" s="98"/>
      <c r="M1273" s="99" t="b">
        <v>0</v>
      </c>
      <c r="N1273" s="99"/>
      <c r="O1273" s="85"/>
      <c r="P1273" s="68"/>
    </row>
    <row r="1274">
      <c r="A1274" s="68"/>
      <c r="B1274" s="79"/>
      <c r="C1274" s="77"/>
      <c r="D1274" s="79"/>
      <c r="E1274" s="79"/>
      <c r="F1274" s="93"/>
      <c r="G1274" s="93"/>
      <c r="H1274" s="103"/>
      <c r="I1274" s="79"/>
      <c r="J1274" s="100"/>
      <c r="K1274" s="97"/>
      <c r="L1274" s="98"/>
      <c r="M1274" s="99" t="b">
        <v>0</v>
      </c>
      <c r="N1274" s="99"/>
      <c r="O1274" s="85"/>
      <c r="P1274" s="68"/>
    </row>
    <row r="1275">
      <c r="A1275" s="68"/>
      <c r="B1275" s="79"/>
      <c r="C1275" s="77"/>
      <c r="D1275" s="79"/>
      <c r="E1275" s="79"/>
      <c r="F1275" s="93"/>
      <c r="G1275" s="93"/>
      <c r="H1275" s="103"/>
      <c r="I1275" s="79"/>
      <c r="J1275" s="100"/>
      <c r="K1275" s="97"/>
      <c r="L1275" s="98"/>
      <c r="M1275" s="99" t="b">
        <v>0</v>
      </c>
      <c r="N1275" s="99"/>
      <c r="O1275" s="85"/>
      <c r="P1275" s="68"/>
    </row>
    <row r="1276">
      <c r="A1276" s="68"/>
      <c r="B1276" s="79"/>
      <c r="C1276" s="77"/>
      <c r="D1276" s="79"/>
      <c r="E1276" s="79"/>
      <c r="F1276" s="93"/>
      <c r="G1276" s="93"/>
      <c r="H1276" s="103"/>
      <c r="I1276" s="79"/>
      <c r="J1276" s="100"/>
      <c r="K1276" s="97"/>
      <c r="L1276" s="98"/>
      <c r="M1276" s="99" t="b">
        <v>0</v>
      </c>
      <c r="N1276" s="99"/>
      <c r="O1276" s="85"/>
      <c r="P1276" s="68"/>
    </row>
    <row r="1277">
      <c r="A1277" s="68"/>
      <c r="B1277" s="79"/>
      <c r="C1277" s="77"/>
      <c r="D1277" s="79"/>
      <c r="E1277" s="79"/>
      <c r="F1277" s="93"/>
      <c r="G1277" s="93"/>
      <c r="H1277" s="103"/>
      <c r="I1277" s="79"/>
      <c r="J1277" s="100"/>
      <c r="K1277" s="97"/>
      <c r="L1277" s="98"/>
      <c r="M1277" s="99" t="b">
        <v>0</v>
      </c>
      <c r="N1277" s="99"/>
      <c r="O1277" s="85"/>
      <c r="P1277" s="68"/>
    </row>
    <row r="1278">
      <c r="A1278" s="68"/>
      <c r="B1278" s="79"/>
      <c r="C1278" s="77"/>
      <c r="D1278" s="79"/>
      <c r="E1278" s="79"/>
      <c r="F1278" s="93"/>
      <c r="G1278" s="93"/>
      <c r="H1278" s="103"/>
      <c r="I1278" s="79"/>
      <c r="J1278" s="100"/>
      <c r="K1278" s="97"/>
      <c r="L1278" s="98"/>
      <c r="M1278" s="99" t="b">
        <v>0</v>
      </c>
      <c r="N1278" s="99"/>
      <c r="O1278" s="85"/>
      <c r="P1278" s="68"/>
    </row>
    <row r="1279">
      <c r="A1279" s="68"/>
      <c r="B1279" s="79"/>
      <c r="C1279" s="77"/>
      <c r="D1279" s="79"/>
      <c r="E1279" s="79"/>
      <c r="F1279" s="93"/>
      <c r="G1279" s="93"/>
      <c r="H1279" s="103"/>
      <c r="I1279" s="79"/>
      <c r="J1279" s="100"/>
      <c r="K1279" s="97"/>
      <c r="L1279" s="98"/>
      <c r="M1279" s="99" t="b">
        <v>0</v>
      </c>
      <c r="N1279" s="99"/>
      <c r="O1279" s="85"/>
      <c r="P1279" s="68"/>
    </row>
    <row r="1280">
      <c r="A1280" s="68"/>
      <c r="B1280" s="79"/>
      <c r="C1280" s="77"/>
      <c r="D1280" s="79"/>
      <c r="E1280" s="79"/>
      <c r="F1280" s="93"/>
      <c r="G1280" s="93"/>
      <c r="H1280" s="103"/>
      <c r="I1280" s="79"/>
      <c r="J1280" s="100"/>
      <c r="K1280" s="97"/>
      <c r="L1280" s="98"/>
      <c r="M1280" s="99" t="b">
        <v>0</v>
      </c>
      <c r="N1280" s="99"/>
      <c r="O1280" s="85"/>
      <c r="P1280" s="68"/>
    </row>
    <row r="1281">
      <c r="A1281" s="68"/>
      <c r="B1281" s="79"/>
      <c r="C1281" s="77"/>
      <c r="D1281" s="79"/>
      <c r="E1281" s="79"/>
      <c r="F1281" s="93"/>
      <c r="G1281" s="93"/>
      <c r="H1281" s="103"/>
      <c r="I1281" s="79"/>
      <c r="J1281" s="100"/>
      <c r="K1281" s="97"/>
      <c r="L1281" s="98"/>
      <c r="M1281" s="99" t="b">
        <v>0</v>
      </c>
      <c r="N1281" s="99"/>
      <c r="O1281" s="85"/>
      <c r="P1281" s="68"/>
    </row>
    <row r="1282">
      <c r="A1282" s="68"/>
      <c r="B1282" s="79"/>
      <c r="C1282" s="77"/>
      <c r="D1282" s="79"/>
      <c r="E1282" s="79"/>
      <c r="F1282" s="93"/>
      <c r="G1282" s="93"/>
      <c r="H1282" s="103"/>
      <c r="I1282" s="79"/>
      <c r="J1282" s="100"/>
      <c r="K1282" s="97"/>
      <c r="L1282" s="98"/>
      <c r="M1282" s="99" t="b">
        <v>0</v>
      </c>
      <c r="N1282" s="99"/>
      <c r="O1282" s="85"/>
      <c r="P1282" s="68"/>
    </row>
    <row r="1283">
      <c r="A1283" s="68"/>
      <c r="B1283" s="79"/>
      <c r="C1283" s="77"/>
      <c r="D1283" s="79"/>
      <c r="E1283" s="79"/>
      <c r="F1283" s="93"/>
      <c r="G1283" s="93"/>
      <c r="H1283" s="103"/>
      <c r="I1283" s="79"/>
      <c r="J1283" s="100"/>
      <c r="K1283" s="97"/>
      <c r="L1283" s="98"/>
      <c r="M1283" s="99" t="b">
        <v>0</v>
      </c>
      <c r="N1283" s="99"/>
      <c r="O1283" s="85"/>
      <c r="P1283" s="68"/>
    </row>
    <row r="1284">
      <c r="A1284" s="68"/>
      <c r="B1284" s="79"/>
      <c r="C1284" s="77"/>
      <c r="D1284" s="79"/>
      <c r="E1284" s="79"/>
      <c r="F1284" s="93"/>
      <c r="G1284" s="93"/>
      <c r="H1284" s="103"/>
      <c r="I1284" s="79"/>
      <c r="J1284" s="100"/>
      <c r="K1284" s="97"/>
      <c r="L1284" s="98"/>
      <c r="M1284" s="99" t="b">
        <v>0</v>
      </c>
      <c r="N1284" s="99"/>
      <c r="O1284" s="85"/>
      <c r="P1284" s="68"/>
    </row>
    <row r="1285">
      <c r="A1285" s="68"/>
      <c r="B1285" s="79"/>
      <c r="C1285" s="77"/>
      <c r="D1285" s="79"/>
      <c r="E1285" s="79"/>
      <c r="F1285" s="93"/>
      <c r="G1285" s="93"/>
      <c r="H1285" s="103"/>
      <c r="I1285" s="79"/>
      <c r="J1285" s="100"/>
      <c r="K1285" s="97"/>
      <c r="L1285" s="98"/>
      <c r="M1285" s="99" t="b">
        <v>0</v>
      </c>
      <c r="N1285" s="99"/>
      <c r="O1285" s="85"/>
      <c r="P1285" s="68"/>
    </row>
    <row r="1286">
      <c r="A1286" s="68"/>
      <c r="B1286" s="79"/>
      <c r="C1286" s="77"/>
      <c r="D1286" s="79"/>
      <c r="E1286" s="79"/>
      <c r="F1286" s="93"/>
      <c r="G1286" s="93"/>
      <c r="H1286" s="103"/>
      <c r="I1286" s="79"/>
      <c r="J1286" s="100"/>
      <c r="K1286" s="97"/>
      <c r="L1286" s="98"/>
      <c r="M1286" s="99" t="b">
        <v>0</v>
      </c>
      <c r="N1286" s="99"/>
      <c r="O1286" s="85"/>
      <c r="P1286" s="68"/>
    </row>
    <row r="1287">
      <c r="A1287" s="68"/>
      <c r="B1287" s="79"/>
      <c r="C1287" s="77"/>
      <c r="D1287" s="79"/>
      <c r="E1287" s="79"/>
      <c r="F1287" s="93"/>
      <c r="G1287" s="93"/>
      <c r="H1287" s="103"/>
      <c r="I1287" s="79"/>
      <c r="J1287" s="100"/>
      <c r="K1287" s="97"/>
      <c r="L1287" s="98"/>
      <c r="M1287" s="99" t="b">
        <v>0</v>
      </c>
      <c r="N1287" s="99"/>
      <c r="O1287" s="85"/>
      <c r="P1287" s="68"/>
    </row>
    <row r="1288">
      <c r="A1288" s="68"/>
      <c r="B1288" s="79"/>
      <c r="C1288" s="77"/>
      <c r="D1288" s="79"/>
      <c r="E1288" s="79"/>
      <c r="F1288" s="93"/>
      <c r="G1288" s="93"/>
      <c r="H1288" s="103"/>
      <c r="I1288" s="79"/>
      <c r="J1288" s="100"/>
      <c r="K1288" s="97"/>
      <c r="L1288" s="98"/>
      <c r="M1288" s="99" t="b">
        <v>0</v>
      </c>
      <c r="N1288" s="99"/>
      <c r="O1288" s="85"/>
      <c r="P1288" s="68"/>
    </row>
    <row r="1289">
      <c r="A1289" s="68"/>
      <c r="B1289" s="79"/>
      <c r="C1289" s="77"/>
      <c r="D1289" s="79"/>
      <c r="E1289" s="79"/>
      <c r="F1289" s="93"/>
      <c r="G1289" s="93"/>
      <c r="H1289" s="103"/>
      <c r="I1289" s="79"/>
      <c r="J1289" s="100"/>
      <c r="K1289" s="97"/>
      <c r="L1289" s="98"/>
      <c r="M1289" s="99" t="b">
        <v>0</v>
      </c>
      <c r="N1289" s="99"/>
      <c r="O1289" s="85"/>
      <c r="P1289" s="68"/>
    </row>
    <row r="1290">
      <c r="A1290" s="68"/>
      <c r="B1290" s="79"/>
      <c r="C1290" s="77"/>
      <c r="D1290" s="79"/>
      <c r="E1290" s="79"/>
      <c r="F1290" s="93"/>
      <c r="G1290" s="93"/>
      <c r="H1290" s="103"/>
      <c r="I1290" s="79"/>
      <c r="J1290" s="100"/>
      <c r="K1290" s="97"/>
      <c r="L1290" s="98"/>
      <c r="M1290" s="99" t="b">
        <v>0</v>
      </c>
      <c r="N1290" s="99"/>
      <c r="O1290" s="85"/>
      <c r="P1290" s="68"/>
    </row>
    <row r="1291">
      <c r="A1291" s="68"/>
      <c r="B1291" s="79"/>
      <c r="C1291" s="77"/>
      <c r="D1291" s="79"/>
      <c r="E1291" s="79"/>
      <c r="F1291" s="93"/>
      <c r="G1291" s="93"/>
      <c r="H1291" s="103"/>
      <c r="I1291" s="79"/>
      <c r="J1291" s="100"/>
      <c r="K1291" s="97"/>
      <c r="L1291" s="98"/>
      <c r="M1291" s="99" t="b">
        <v>0</v>
      </c>
      <c r="N1291" s="99"/>
      <c r="O1291" s="85"/>
      <c r="P1291" s="68"/>
    </row>
    <row r="1292">
      <c r="A1292" s="68"/>
      <c r="B1292" s="79"/>
      <c r="C1292" s="77"/>
      <c r="D1292" s="79"/>
      <c r="E1292" s="79"/>
      <c r="F1292" s="93"/>
      <c r="G1292" s="93"/>
      <c r="H1292" s="103"/>
      <c r="I1292" s="79"/>
      <c r="J1292" s="100"/>
      <c r="K1292" s="97"/>
      <c r="L1292" s="98"/>
      <c r="M1292" s="99" t="b">
        <v>0</v>
      </c>
      <c r="N1292" s="99"/>
      <c r="O1292" s="85"/>
      <c r="P1292" s="68"/>
    </row>
    <row r="1293">
      <c r="A1293" s="68"/>
      <c r="B1293" s="79"/>
      <c r="C1293" s="77"/>
      <c r="D1293" s="79"/>
      <c r="E1293" s="79"/>
      <c r="F1293" s="93"/>
      <c r="G1293" s="93"/>
      <c r="H1293" s="103"/>
      <c r="I1293" s="79"/>
      <c r="J1293" s="100"/>
      <c r="K1293" s="97"/>
      <c r="L1293" s="98"/>
      <c r="M1293" s="99" t="b">
        <v>0</v>
      </c>
      <c r="N1293" s="99"/>
      <c r="O1293" s="85"/>
      <c r="P1293" s="68"/>
    </row>
    <row r="1294">
      <c r="A1294" s="68"/>
      <c r="B1294" s="79"/>
      <c r="C1294" s="77"/>
      <c r="D1294" s="79"/>
      <c r="E1294" s="79"/>
      <c r="F1294" s="93"/>
      <c r="G1294" s="93"/>
      <c r="H1294" s="103"/>
      <c r="I1294" s="79"/>
      <c r="J1294" s="100"/>
      <c r="K1294" s="97"/>
      <c r="L1294" s="98"/>
      <c r="M1294" s="99" t="b">
        <v>0</v>
      </c>
      <c r="N1294" s="99"/>
      <c r="O1294" s="85"/>
      <c r="P1294" s="68"/>
    </row>
    <row r="1295">
      <c r="A1295" s="68"/>
      <c r="B1295" s="79"/>
      <c r="C1295" s="77"/>
      <c r="D1295" s="79"/>
      <c r="E1295" s="79"/>
      <c r="F1295" s="93"/>
      <c r="G1295" s="93"/>
      <c r="H1295" s="103"/>
      <c r="I1295" s="79"/>
      <c r="J1295" s="100"/>
      <c r="K1295" s="97"/>
      <c r="L1295" s="98"/>
      <c r="M1295" s="99" t="b">
        <v>0</v>
      </c>
      <c r="N1295" s="99"/>
      <c r="O1295" s="85"/>
      <c r="P1295" s="68"/>
    </row>
    <row r="1296">
      <c r="A1296" s="68"/>
      <c r="B1296" s="79"/>
      <c r="C1296" s="77"/>
      <c r="D1296" s="79"/>
      <c r="E1296" s="79"/>
      <c r="F1296" s="93"/>
      <c r="G1296" s="93"/>
      <c r="H1296" s="103"/>
      <c r="I1296" s="79"/>
      <c r="J1296" s="100"/>
      <c r="K1296" s="97"/>
      <c r="L1296" s="98"/>
      <c r="M1296" s="99" t="b">
        <v>0</v>
      </c>
      <c r="N1296" s="99"/>
      <c r="O1296" s="85"/>
      <c r="P1296" s="68"/>
    </row>
    <row r="1297">
      <c r="A1297" s="68"/>
      <c r="B1297" s="79"/>
      <c r="C1297" s="77"/>
      <c r="D1297" s="79"/>
      <c r="E1297" s="79"/>
      <c r="F1297" s="93"/>
      <c r="G1297" s="93"/>
      <c r="H1297" s="103"/>
      <c r="I1297" s="79"/>
      <c r="J1297" s="100"/>
      <c r="K1297" s="97"/>
      <c r="L1297" s="98"/>
      <c r="M1297" s="99" t="b">
        <v>0</v>
      </c>
      <c r="N1297" s="99"/>
      <c r="O1297" s="85"/>
      <c r="P1297" s="68"/>
    </row>
    <row r="1298">
      <c r="A1298" s="68"/>
      <c r="B1298" s="79"/>
      <c r="C1298" s="77"/>
      <c r="D1298" s="79"/>
      <c r="E1298" s="79"/>
      <c r="F1298" s="93"/>
      <c r="G1298" s="93"/>
      <c r="H1298" s="103"/>
      <c r="I1298" s="79"/>
      <c r="J1298" s="100"/>
      <c r="K1298" s="97"/>
      <c r="L1298" s="98"/>
      <c r="M1298" s="99" t="b">
        <v>0</v>
      </c>
      <c r="N1298" s="99"/>
      <c r="O1298" s="85"/>
      <c r="P1298" s="68"/>
    </row>
    <row r="1299">
      <c r="A1299" s="68"/>
      <c r="B1299" s="79"/>
      <c r="C1299" s="77"/>
      <c r="D1299" s="79"/>
      <c r="E1299" s="79"/>
      <c r="F1299" s="93"/>
      <c r="G1299" s="93"/>
      <c r="H1299" s="103"/>
      <c r="I1299" s="79"/>
      <c r="J1299" s="100"/>
      <c r="K1299" s="97"/>
      <c r="L1299" s="98"/>
      <c r="M1299" s="99" t="b">
        <v>0</v>
      </c>
      <c r="N1299" s="99"/>
      <c r="O1299" s="85"/>
      <c r="P1299" s="68"/>
    </row>
    <row r="1300">
      <c r="A1300" s="68"/>
      <c r="B1300" s="79"/>
      <c r="C1300" s="77"/>
      <c r="D1300" s="79"/>
      <c r="E1300" s="79"/>
      <c r="F1300" s="93"/>
      <c r="G1300" s="93"/>
      <c r="H1300" s="103"/>
      <c r="I1300" s="79"/>
      <c r="J1300" s="100"/>
      <c r="K1300" s="97"/>
      <c r="L1300" s="98"/>
      <c r="M1300" s="99" t="b">
        <v>0</v>
      </c>
      <c r="N1300" s="99"/>
      <c r="O1300" s="85"/>
      <c r="P1300" s="68"/>
    </row>
    <row r="1301">
      <c r="A1301" s="68"/>
      <c r="B1301" s="79"/>
      <c r="C1301" s="77"/>
      <c r="D1301" s="79"/>
      <c r="E1301" s="79"/>
      <c r="F1301" s="93"/>
      <c r="G1301" s="93"/>
      <c r="H1301" s="103"/>
      <c r="I1301" s="79"/>
      <c r="J1301" s="100"/>
      <c r="K1301" s="97"/>
      <c r="L1301" s="98"/>
      <c r="M1301" s="99" t="b">
        <v>0</v>
      </c>
      <c r="N1301" s="99"/>
      <c r="O1301" s="85"/>
      <c r="P1301" s="68"/>
    </row>
    <row r="1302">
      <c r="A1302" s="68"/>
      <c r="B1302" s="79"/>
      <c r="C1302" s="77"/>
      <c r="D1302" s="79"/>
      <c r="E1302" s="79"/>
      <c r="F1302" s="93"/>
      <c r="G1302" s="93"/>
      <c r="H1302" s="103"/>
      <c r="I1302" s="79"/>
      <c r="J1302" s="100"/>
      <c r="K1302" s="97"/>
      <c r="L1302" s="98"/>
      <c r="M1302" s="99" t="b">
        <v>0</v>
      </c>
      <c r="N1302" s="99"/>
      <c r="O1302" s="85"/>
      <c r="P1302" s="68"/>
    </row>
    <row r="1303">
      <c r="A1303" s="68"/>
      <c r="B1303" s="79"/>
      <c r="C1303" s="77"/>
      <c r="D1303" s="79"/>
      <c r="E1303" s="79"/>
      <c r="F1303" s="93"/>
      <c r="G1303" s="93"/>
      <c r="H1303" s="103"/>
      <c r="I1303" s="79"/>
      <c r="J1303" s="100"/>
      <c r="K1303" s="97"/>
      <c r="L1303" s="98"/>
      <c r="M1303" s="99" t="b">
        <v>0</v>
      </c>
      <c r="N1303" s="99"/>
      <c r="O1303" s="85"/>
      <c r="P1303" s="68"/>
    </row>
    <row r="1304">
      <c r="A1304" s="68"/>
      <c r="B1304" s="79"/>
      <c r="C1304" s="77"/>
      <c r="D1304" s="79"/>
      <c r="E1304" s="79"/>
      <c r="F1304" s="93"/>
      <c r="G1304" s="93"/>
      <c r="H1304" s="103"/>
      <c r="I1304" s="79"/>
      <c r="J1304" s="100"/>
      <c r="K1304" s="97"/>
      <c r="L1304" s="98"/>
      <c r="M1304" s="99" t="b">
        <v>0</v>
      </c>
      <c r="N1304" s="99"/>
      <c r="O1304" s="85"/>
      <c r="P1304" s="68"/>
    </row>
    <row r="1305">
      <c r="A1305" s="68"/>
      <c r="B1305" s="79"/>
      <c r="C1305" s="77"/>
      <c r="D1305" s="79"/>
      <c r="E1305" s="79"/>
      <c r="F1305" s="93"/>
      <c r="G1305" s="93"/>
      <c r="H1305" s="103"/>
      <c r="I1305" s="79"/>
      <c r="J1305" s="100"/>
      <c r="K1305" s="97"/>
      <c r="L1305" s="98"/>
      <c r="M1305" s="99" t="b">
        <v>0</v>
      </c>
      <c r="N1305" s="99"/>
      <c r="O1305" s="85"/>
      <c r="P1305" s="68"/>
    </row>
    <row r="1306">
      <c r="A1306" s="68"/>
      <c r="B1306" s="79"/>
      <c r="C1306" s="77"/>
      <c r="D1306" s="79"/>
      <c r="E1306" s="79"/>
      <c r="F1306" s="93"/>
      <c r="G1306" s="93"/>
      <c r="H1306" s="103"/>
      <c r="I1306" s="79"/>
      <c r="J1306" s="100"/>
      <c r="K1306" s="97"/>
      <c r="L1306" s="98"/>
      <c r="M1306" s="99" t="b">
        <v>0</v>
      </c>
      <c r="N1306" s="99"/>
      <c r="O1306" s="85"/>
      <c r="P1306" s="68"/>
    </row>
    <row r="1307">
      <c r="A1307" s="68"/>
      <c r="B1307" s="79"/>
      <c r="C1307" s="77"/>
      <c r="D1307" s="79"/>
      <c r="E1307" s="79"/>
      <c r="F1307" s="93"/>
      <c r="G1307" s="93"/>
      <c r="H1307" s="103"/>
      <c r="I1307" s="79"/>
      <c r="J1307" s="100"/>
      <c r="K1307" s="97"/>
      <c r="L1307" s="98"/>
      <c r="M1307" s="99" t="b">
        <v>0</v>
      </c>
      <c r="N1307" s="99"/>
      <c r="O1307" s="85"/>
      <c r="P1307" s="68"/>
    </row>
    <row r="1308">
      <c r="A1308" s="68"/>
      <c r="B1308" s="79"/>
      <c r="C1308" s="77"/>
      <c r="D1308" s="79"/>
      <c r="E1308" s="79"/>
      <c r="F1308" s="93"/>
      <c r="G1308" s="93"/>
      <c r="H1308" s="103"/>
      <c r="I1308" s="79"/>
      <c r="J1308" s="100"/>
      <c r="K1308" s="97"/>
      <c r="L1308" s="98"/>
      <c r="M1308" s="99" t="b">
        <v>0</v>
      </c>
      <c r="N1308" s="99"/>
      <c r="O1308" s="85"/>
      <c r="P1308" s="68"/>
    </row>
    <row r="1309">
      <c r="A1309" s="68"/>
      <c r="B1309" s="79"/>
      <c r="C1309" s="77"/>
      <c r="D1309" s="79"/>
      <c r="E1309" s="79"/>
      <c r="F1309" s="93"/>
      <c r="G1309" s="93"/>
      <c r="H1309" s="103"/>
      <c r="I1309" s="79"/>
      <c r="J1309" s="100"/>
      <c r="K1309" s="97"/>
      <c r="L1309" s="98"/>
      <c r="M1309" s="99" t="b">
        <v>0</v>
      </c>
      <c r="N1309" s="99"/>
      <c r="O1309" s="85"/>
      <c r="P1309" s="68"/>
    </row>
    <row r="1310">
      <c r="A1310" s="68"/>
      <c r="B1310" s="79"/>
      <c r="C1310" s="77"/>
      <c r="D1310" s="79"/>
      <c r="E1310" s="79"/>
      <c r="F1310" s="93"/>
      <c r="G1310" s="93"/>
      <c r="H1310" s="103"/>
      <c r="I1310" s="79"/>
      <c r="J1310" s="100"/>
      <c r="K1310" s="97"/>
      <c r="L1310" s="98"/>
      <c r="M1310" s="99" t="b">
        <v>0</v>
      </c>
      <c r="N1310" s="99"/>
      <c r="O1310" s="85"/>
      <c r="P1310" s="68"/>
    </row>
    <row r="1311">
      <c r="A1311" s="68"/>
      <c r="B1311" s="79"/>
      <c r="C1311" s="77"/>
      <c r="D1311" s="79"/>
      <c r="E1311" s="79"/>
      <c r="F1311" s="93"/>
      <c r="G1311" s="93"/>
      <c r="H1311" s="103"/>
      <c r="I1311" s="79"/>
      <c r="J1311" s="100"/>
      <c r="K1311" s="97"/>
      <c r="L1311" s="98"/>
      <c r="M1311" s="99" t="b">
        <v>0</v>
      </c>
      <c r="N1311" s="99"/>
      <c r="O1311" s="85"/>
      <c r="P1311" s="68"/>
    </row>
    <row r="1312">
      <c r="A1312" s="68"/>
      <c r="B1312" s="79"/>
      <c r="C1312" s="77"/>
      <c r="D1312" s="79"/>
      <c r="E1312" s="79"/>
      <c r="F1312" s="93"/>
      <c r="G1312" s="93"/>
      <c r="H1312" s="103"/>
      <c r="I1312" s="79"/>
      <c r="J1312" s="100"/>
      <c r="K1312" s="97"/>
      <c r="L1312" s="98"/>
      <c r="M1312" s="99" t="b">
        <v>0</v>
      </c>
      <c r="N1312" s="99"/>
      <c r="O1312" s="85"/>
      <c r="P1312" s="68"/>
    </row>
    <row r="1313">
      <c r="A1313" s="68"/>
      <c r="B1313" s="79"/>
      <c r="C1313" s="77"/>
      <c r="D1313" s="79"/>
      <c r="E1313" s="79"/>
      <c r="F1313" s="93"/>
      <c r="G1313" s="93"/>
      <c r="H1313" s="103"/>
      <c r="I1313" s="79"/>
      <c r="J1313" s="100"/>
      <c r="K1313" s="97"/>
      <c r="L1313" s="98"/>
      <c r="M1313" s="99" t="b">
        <v>0</v>
      </c>
      <c r="N1313" s="99"/>
      <c r="O1313" s="85"/>
      <c r="P1313" s="68"/>
    </row>
    <row r="1314">
      <c r="A1314" s="68"/>
      <c r="B1314" s="79"/>
      <c r="C1314" s="77"/>
      <c r="D1314" s="79"/>
      <c r="E1314" s="79"/>
      <c r="F1314" s="93"/>
      <c r="G1314" s="93"/>
      <c r="H1314" s="103"/>
      <c r="I1314" s="79"/>
      <c r="J1314" s="100"/>
      <c r="K1314" s="97"/>
      <c r="L1314" s="98"/>
      <c r="M1314" s="99" t="b">
        <v>0</v>
      </c>
      <c r="N1314" s="99"/>
      <c r="O1314" s="85"/>
      <c r="P1314" s="68"/>
    </row>
    <row r="1315">
      <c r="A1315" s="68"/>
      <c r="B1315" s="79"/>
      <c r="C1315" s="77"/>
      <c r="D1315" s="79"/>
      <c r="E1315" s="79"/>
      <c r="F1315" s="93"/>
      <c r="G1315" s="93"/>
      <c r="H1315" s="103"/>
      <c r="I1315" s="79"/>
      <c r="J1315" s="100"/>
      <c r="K1315" s="97"/>
      <c r="L1315" s="98"/>
      <c r="M1315" s="99" t="b">
        <v>0</v>
      </c>
      <c r="N1315" s="99"/>
      <c r="O1315" s="85"/>
      <c r="P1315" s="68"/>
    </row>
    <row r="1316">
      <c r="A1316" s="68"/>
      <c r="B1316" s="79"/>
      <c r="C1316" s="77"/>
      <c r="D1316" s="79"/>
      <c r="E1316" s="79"/>
      <c r="F1316" s="93"/>
      <c r="G1316" s="93"/>
      <c r="H1316" s="103"/>
      <c r="I1316" s="79"/>
      <c r="J1316" s="100"/>
      <c r="K1316" s="97"/>
      <c r="L1316" s="98"/>
      <c r="M1316" s="99" t="b">
        <v>0</v>
      </c>
      <c r="N1316" s="99"/>
      <c r="O1316" s="85"/>
      <c r="P1316" s="68"/>
    </row>
    <row r="1317">
      <c r="A1317" s="68"/>
      <c r="B1317" s="79"/>
      <c r="C1317" s="77"/>
      <c r="D1317" s="79"/>
      <c r="E1317" s="79"/>
      <c r="F1317" s="93"/>
      <c r="G1317" s="93"/>
      <c r="H1317" s="103"/>
      <c r="I1317" s="79"/>
      <c r="J1317" s="100"/>
      <c r="K1317" s="97"/>
      <c r="L1317" s="98"/>
      <c r="M1317" s="99" t="b">
        <v>0</v>
      </c>
      <c r="N1317" s="99"/>
      <c r="O1317" s="85"/>
      <c r="P1317" s="68"/>
    </row>
    <row r="1318">
      <c r="A1318" s="68"/>
      <c r="B1318" s="79"/>
      <c r="C1318" s="77"/>
      <c r="D1318" s="79"/>
      <c r="E1318" s="79"/>
      <c r="F1318" s="93"/>
      <c r="G1318" s="93"/>
      <c r="H1318" s="103"/>
      <c r="I1318" s="79"/>
      <c r="J1318" s="100"/>
      <c r="K1318" s="97"/>
      <c r="L1318" s="98"/>
      <c r="M1318" s="99" t="b">
        <v>0</v>
      </c>
      <c r="N1318" s="99"/>
      <c r="O1318" s="85"/>
      <c r="P1318" s="68"/>
    </row>
    <row r="1319">
      <c r="A1319" s="68"/>
      <c r="B1319" s="79"/>
      <c r="C1319" s="77"/>
      <c r="D1319" s="79"/>
      <c r="E1319" s="79"/>
      <c r="F1319" s="93"/>
      <c r="G1319" s="93"/>
      <c r="H1319" s="103"/>
      <c r="I1319" s="79"/>
      <c r="J1319" s="100"/>
      <c r="K1319" s="97"/>
      <c r="L1319" s="98"/>
      <c r="M1319" s="99" t="b">
        <v>0</v>
      </c>
      <c r="N1319" s="99"/>
      <c r="O1319" s="85"/>
      <c r="P1319" s="68"/>
    </row>
    <row r="1320">
      <c r="A1320" s="68"/>
      <c r="B1320" s="79"/>
      <c r="C1320" s="77"/>
      <c r="D1320" s="79"/>
      <c r="E1320" s="79"/>
      <c r="F1320" s="93"/>
      <c r="G1320" s="93"/>
      <c r="H1320" s="103"/>
      <c r="I1320" s="79"/>
      <c r="J1320" s="100"/>
      <c r="K1320" s="97"/>
      <c r="L1320" s="98"/>
      <c r="M1320" s="99" t="b">
        <v>0</v>
      </c>
      <c r="N1320" s="99"/>
      <c r="O1320" s="85"/>
      <c r="P1320" s="68"/>
    </row>
    <row r="1321">
      <c r="A1321" s="68"/>
      <c r="B1321" s="79"/>
      <c r="C1321" s="77"/>
      <c r="D1321" s="79"/>
      <c r="E1321" s="79"/>
      <c r="F1321" s="93"/>
      <c r="G1321" s="93"/>
      <c r="H1321" s="103"/>
      <c r="I1321" s="79"/>
      <c r="J1321" s="100"/>
      <c r="K1321" s="97"/>
      <c r="L1321" s="98"/>
      <c r="M1321" s="99" t="b">
        <v>0</v>
      </c>
      <c r="N1321" s="99"/>
      <c r="O1321" s="85"/>
      <c r="P1321" s="68"/>
    </row>
    <row r="1322">
      <c r="A1322" s="68"/>
      <c r="B1322" s="79"/>
      <c r="C1322" s="77"/>
      <c r="D1322" s="79"/>
      <c r="E1322" s="79"/>
      <c r="F1322" s="93"/>
      <c r="G1322" s="93"/>
      <c r="H1322" s="103"/>
      <c r="I1322" s="79"/>
      <c r="J1322" s="100"/>
      <c r="K1322" s="97"/>
      <c r="L1322" s="98"/>
      <c r="M1322" s="99" t="b">
        <v>0</v>
      </c>
      <c r="N1322" s="99"/>
      <c r="O1322" s="85"/>
      <c r="P1322" s="68"/>
    </row>
    <row r="1323">
      <c r="A1323" s="68"/>
      <c r="B1323" s="79"/>
      <c r="C1323" s="77"/>
      <c r="D1323" s="79"/>
      <c r="E1323" s="79"/>
      <c r="F1323" s="93"/>
      <c r="G1323" s="93"/>
      <c r="H1323" s="103"/>
      <c r="I1323" s="79"/>
      <c r="J1323" s="100"/>
      <c r="K1323" s="97"/>
      <c r="L1323" s="98"/>
      <c r="M1323" s="99" t="b">
        <v>0</v>
      </c>
      <c r="N1323" s="99"/>
      <c r="O1323" s="85"/>
      <c r="P1323" s="68"/>
    </row>
    <row r="1324">
      <c r="A1324" s="68"/>
      <c r="B1324" s="79"/>
      <c r="C1324" s="77"/>
      <c r="D1324" s="79"/>
      <c r="E1324" s="79"/>
      <c r="F1324" s="93"/>
      <c r="G1324" s="93"/>
      <c r="H1324" s="103"/>
      <c r="I1324" s="79"/>
      <c r="J1324" s="100"/>
      <c r="K1324" s="97"/>
      <c r="L1324" s="98"/>
      <c r="M1324" s="99" t="b">
        <v>0</v>
      </c>
      <c r="N1324" s="99"/>
      <c r="O1324" s="85"/>
      <c r="P1324" s="68"/>
    </row>
    <row r="1325">
      <c r="A1325" s="68"/>
      <c r="B1325" s="79"/>
      <c r="C1325" s="77"/>
      <c r="D1325" s="79"/>
      <c r="E1325" s="79"/>
      <c r="F1325" s="93"/>
      <c r="G1325" s="93"/>
      <c r="H1325" s="103"/>
      <c r="I1325" s="79"/>
      <c r="J1325" s="100"/>
      <c r="K1325" s="97"/>
      <c r="L1325" s="98"/>
      <c r="M1325" s="99" t="b">
        <v>0</v>
      </c>
      <c r="N1325" s="99"/>
      <c r="O1325" s="85"/>
      <c r="P1325" s="68"/>
    </row>
    <row r="1326">
      <c r="A1326" s="68"/>
      <c r="B1326" s="79"/>
      <c r="C1326" s="77"/>
      <c r="D1326" s="79"/>
      <c r="E1326" s="79"/>
      <c r="F1326" s="93"/>
      <c r="G1326" s="93"/>
      <c r="H1326" s="103"/>
      <c r="I1326" s="79"/>
      <c r="J1326" s="100"/>
      <c r="K1326" s="97"/>
      <c r="L1326" s="98"/>
      <c r="M1326" s="99" t="b">
        <v>0</v>
      </c>
      <c r="N1326" s="99"/>
      <c r="O1326" s="85"/>
      <c r="P1326" s="68"/>
    </row>
    <row r="1327">
      <c r="A1327" s="68"/>
      <c r="B1327" s="79"/>
      <c r="C1327" s="77"/>
      <c r="D1327" s="79"/>
      <c r="E1327" s="79"/>
      <c r="F1327" s="93"/>
      <c r="G1327" s="93"/>
      <c r="H1327" s="103"/>
      <c r="I1327" s="79"/>
      <c r="J1327" s="100"/>
      <c r="K1327" s="97"/>
      <c r="L1327" s="98"/>
      <c r="M1327" s="99" t="b">
        <v>0</v>
      </c>
      <c r="N1327" s="99"/>
      <c r="O1327" s="85"/>
      <c r="P1327" s="68"/>
    </row>
    <row r="1328">
      <c r="A1328" s="68"/>
      <c r="B1328" s="79"/>
      <c r="C1328" s="77"/>
      <c r="D1328" s="79"/>
      <c r="E1328" s="79"/>
      <c r="F1328" s="93"/>
      <c r="G1328" s="93"/>
      <c r="H1328" s="103"/>
      <c r="I1328" s="79"/>
      <c r="J1328" s="100"/>
      <c r="K1328" s="97"/>
      <c r="L1328" s="98"/>
      <c r="M1328" s="99" t="b">
        <v>0</v>
      </c>
      <c r="N1328" s="99"/>
      <c r="O1328" s="85"/>
      <c r="P1328" s="68"/>
    </row>
    <row r="1329">
      <c r="A1329" s="68"/>
      <c r="B1329" s="79"/>
      <c r="C1329" s="77"/>
      <c r="D1329" s="79"/>
      <c r="E1329" s="79"/>
      <c r="F1329" s="93"/>
      <c r="G1329" s="93"/>
      <c r="H1329" s="103"/>
      <c r="I1329" s="79"/>
      <c r="J1329" s="100"/>
      <c r="K1329" s="97"/>
      <c r="L1329" s="98"/>
      <c r="M1329" s="99" t="b">
        <v>0</v>
      </c>
      <c r="N1329" s="99"/>
      <c r="O1329" s="85"/>
      <c r="P1329" s="68"/>
    </row>
    <row r="1330">
      <c r="A1330" s="68"/>
      <c r="B1330" s="79"/>
      <c r="C1330" s="77"/>
      <c r="D1330" s="79"/>
      <c r="E1330" s="79"/>
      <c r="F1330" s="93"/>
      <c r="G1330" s="93"/>
      <c r="H1330" s="103"/>
      <c r="I1330" s="79"/>
      <c r="J1330" s="100"/>
      <c r="K1330" s="97"/>
      <c r="L1330" s="98"/>
      <c r="M1330" s="99" t="b">
        <v>0</v>
      </c>
      <c r="N1330" s="99"/>
      <c r="O1330" s="85"/>
      <c r="P1330" s="68"/>
    </row>
    <row r="1331">
      <c r="A1331" s="68"/>
      <c r="B1331" s="79"/>
      <c r="C1331" s="77"/>
      <c r="D1331" s="79"/>
      <c r="E1331" s="79"/>
      <c r="F1331" s="93"/>
      <c r="G1331" s="93"/>
      <c r="H1331" s="103"/>
      <c r="I1331" s="79"/>
      <c r="J1331" s="100"/>
      <c r="K1331" s="97"/>
      <c r="L1331" s="98"/>
      <c r="M1331" s="99" t="b">
        <v>0</v>
      </c>
      <c r="N1331" s="99"/>
      <c r="O1331" s="85"/>
      <c r="P1331" s="68"/>
    </row>
    <row r="1332">
      <c r="A1332" s="68"/>
      <c r="B1332" s="79"/>
      <c r="C1332" s="77"/>
      <c r="D1332" s="79"/>
      <c r="E1332" s="79"/>
      <c r="F1332" s="93"/>
      <c r="G1332" s="93"/>
      <c r="H1332" s="103"/>
      <c r="I1332" s="79"/>
      <c r="J1332" s="100"/>
      <c r="K1332" s="97"/>
      <c r="L1332" s="98"/>
      <c r="M1332" s="99" t="b">
        <v>0</v>
      </c>
      <c r="N1332" s="99"/>
      <c r="O1332" s="85"/>
      <c r="P1332" s="68"/>
    </row>
    <row r="1333">
      <c r="A1333" s="68"/>
      <c r="B1333" s="79"/>
      <c r="C1333" s="77"/>
      <c r="D1333" s="79"/>
      <c r="E1333" s="79"/>
      <c r="F1333" s="93"/>
      <c r="G1333" s="93"/>
      <c r="H1333" s="103"/>
      <c r="I1333" s="79"/>
      <c r="J1333" s="100"/>
      <c r="K1333" s="97"/>
      <c r="L1333" s="98"/>
      <c r="M1333" s="99" t="b">
        <v>0</v>
      </c>
      <c r="N1333" s="99"/>
      <c r="O1333" s="85"/>
      <c r="P1333" s="68"/>
    </row>
    <row r="1334">
      <c r="A1334" s="68"/>
      <c r="B1334" s="79"/>
      <c r="C1334" s="77"/>
      <c r="D1334" s="79"/>
      <c r="E1334" s="79"/>
      <c r="F1334" s="93"/>
      <c r="G1334" s="93"/>
      <c r="H1334" s="103"/>
      <c r="I1334" s="79"/>
      <c r="J1334" s="100"/>
      <c r="K1334" s="97"/>
      <c r="L1334" s="98"/>
      <c r="M1334" s="99" t="b">
        <v>0</v>
      </c>
      <c r="N1334" s="99"/>
      <c r="O1334" s="85"/>
      <c r="P1334" s="68"/>
    </row>
    <row r="1335">
      <c r="A1335" s="68"/>
      <c r="B1335" s="79"/>
      <c r="C1335" s="77"/>
      <c r="D1335" s="79"/>
      <c r="E1335" s="79"/>
      <c r="F1335" s="93"/>
      <c r="G1335" s="93"/>
      <c r="H1335" s="103"/>
      <c r="I1335" s="79"/>
      <c r="J1335" s="100"/>
      <c r="K1335" s="97"/>
      <c r="L1335" s="98"/>
      <c r="M1335" s="99" t="b">
        <v>0</v>
      </c>
      <c r="N1335" s="99"/>
      <c r="O1335" s="85"/>
      <c r="P1335" s="68"/>
    </row>
    <row r="1336">
      <c r="A1336" s="68"/>
      <c r="B1336" s="79"/>
      <c r="C1336" s="77"/>
      <c r="D1336" s="79"/>
      <c r="E1336" s="79"/>
      <c r="F1336" s="93"/>
      <c r="G1336" s="93"/>
      <c r="H1336" s="103"/>
      <c r="I1336" s="79"/>
      <c r="J1336" s="100"/>
      <c r="K1336" s="97"/>
      <c r="L1336" s="98"/>
      <c r="M1336" s="99" t="b">
        <v>0</v>
      </c>
      <c r="N1336" s="99"/>
      <c r="O1336" s="85"/>
      <c r="P1336" s="68"/>
    </row>
    <row r="1337">
      <c r="A1337" s="68"/>
      <c r="B1337" s="79"/>
      <c r="C1337" s="77"/>
      <c r="D1337" s="79"/>
      <c r="E1337" s="79"/>
      <c r="F1337" s="93"/>
      <c r="G1337" s="93"/>
      <c r="H1337" s="103"/>
      <c r="I1337" s="79"/>
      <c r="J1337" s="100"/>
      <c r="K1337" s="97"/>
      <c r="L1337" s="98"/>
      <c r="M1337" s="99" t="b">
        <v>0</v>
      </c>
      <c r="N1337" s="99"/>
      <c r="O1337" s="85"/>
      <c r="P1337" s="68"/>
    </row>
    <row r="1338">
      <c r="A1338" s="68"/>
      <c r="B1338" s="79"/>
      <c r="C1338" s="77"/>
      <c r="D1338" s="79"/>
      <c r="E1338" s="79"/>
      <c r="F1338" s="93"/>
      <c r="G1338" s="93"/>
      <c r="H1338" s="103"/>
      <c r="I1338" s="79"/>
      <c r="J1338" s="100"/>
      <c r="K1338" s="97"/>
      <c r="L1338" s="98"/>
      <c r="M1338" s="99" t="b">
        <v>0</v>
      </c>
      <c r="N1338" s="99"/>
      <c r="O1338" s="85"/>
      <c r="P1338" s="68"/>
    </row>
    <row r="1339">
      <c r="A1339" s="68"/>
      <c r="B1339" s="79"/>
      <c r="C1339" s="77"/>
      <c r="D1339" s="79"/>
      <c r="E1339" s="79"/>
      <c r="F1339" s="93"/>
      <c r="G1339" s="93"/>
      <c r="H1339" s="103"/>
      <c r="I1339" s="79"/>
      <c r="J1339" s="100"/>
      <c r="K1339" s="97"/>
      <c r="L1339" s="98"/>
      <c r="M1339" s="99" t="b">
        <v>0</v>
      </c>
      <c r="N1339" s="99"/>
      <c r="O1339" s="85"/>
      <c r="P1339" s="68"/>
    </row>
    <row r="1340">
      <c r="A1340" s="68"/>
      <c r="B1340" s="79"/>
      <c r="C1340" s="77"/>
      <c r="D1340" s="79"/>
      <c r="E1340" s="79"/>
      <c r="F1340" s="93"/>
      <c r="G1340" s="93"/>
      <c r="H1340" s="103"/>
      <c r="I1340" s="79"/>
      <c r="J1340" s="100"/>
      <c r="K1340" s="97"/>
      <c r="L1340" s="98"/>
      <c r="M1340" s="99" t="b">
        <v>0</v>
      </c>
      <c r="N1340" s="99"/>
      <c r="O1340" s="85"/>
      <c r="P1340" s="68"/>
    </row>
    <row r="1341">
      <c r="A1341" s="68"/>
      <c r="B1341" s="79"/>
      <c r="C1341" s="77"/>
      <c r="D1341" s="79"/>
      <c r="E1341" s="79"/>
      <c r="F1341" s="93"/>
      <c r="G1341" s="93"/>
      <c r="H1341" s="103"/>
      <c r="I1341" s="79"/>
      <c r="J1341" s="100"/>
      <c r="K1341" s="97"/>
      <c r="L1341" s="98"/>
      <c r="M1341" s="99" t="b">
        <v>0</v>
      </c>
      <c r="N1341" s="99"/>
      <c r="O1341" s="85"/>
      <c r="P1341" s="68"/>
    </row>
    <row r="1342">
      <c r="A1342" s="68"/>
      <c r="B1342" s="79"/>
      <c r="C1342" s="77"/>
      <c r="D1342" s="79"/>
      <c r="E1342" s="79"/>
      <c r="F1342" s="93"/>
      <c r="G1342" s="93"/>
      <c r="H1342" s="103"/>
      <c r="I1342" s="79"/>
      <c r="J1342" s="100"/>
      <c r="K1342" s="97"/>
      <c r="L1342" s="98"/>
      <c r="M1342" s="99" t="b">
        <v>0</v>
      </c>
      <c r="N1342" s="99"/>
      <c r="O1342" s="85"/>
      <c r="P1342" s="68"/>
    </row>
    <row r="1343">
      <c r="A1343" s="68"/>
      <c r="B1343" s="79"/>
      <c r="C1343" s="77"/>
      <c r="D1343" s="79"/>
      <c r="E1343" s="79"/>
      <c r="F1343" s="93"/>
      <c r="G1343" s="93"/>
      <c r="H1343" s="103"/>
      <c r="I1343" s="79"/>
      <c r="J1343" s="100"/>
      <c r="K1343" s="97"/>
      <c r="L1343" s="98"/>
      <c r="M1343" s="99" t="b">
        <v>0</v>
      </c>
      <c r="N1343" s="99"/>
      <c r="O1343" s="85"/>
      <c r="P1343" s="68"/>
    </row>
    <row r="1344">
      <c r="A1344" s="68"/>
      <c r="B1344" s="79"/>
      <c r="C1344" s="77"/>
      <c r="D1344" s="79"/>
      <c r="E1344" s="79"/>
      <c r="F1344" s="93"/>
      <c r="G1344" s="93"/>
      <c r="H1344" s="103"/>
      <c r="I1344" s="79"/>
      <c r="J1344" s="100"/>
      <c r="K1344" s="97"/>
      <c r="L1344" s="98"/>
      <c r="M1344" s="99" t="b">
        <v>0</v>
      </c>
      <c r="N1344" s="99"/>
      <c r="O1344" s="85"/>
      <c r="P1344" s="68"/>
    </row>
    <row r="1345">
      <c r="A1345" s="68"/>
      <c r="B1345" s="79"/>
      <c r="C1345" s="77"/>
      <c r="D1345" s="79"/>
      <c r="E1345" s="79"/>
      <c r="F1345" s="93"/>
      <c r="G1345" s="93"/>
      <c r="H1345" s="103"/>
      <c r="I1345" s="79"/>
      <c r="J1345" s="100"/>
      <c r="K1345" s="97"/>
      <c r="L1345" s="98"/>
      <c r="M1345" s="99" t="b">
        <v>0</v>
      </c>
      <c r="N1345" s="99"/>
      <c r="O1345" s="85"/>
      <c r="P1345" s="68"/>
    </row>
    <row r="1346">
      <c r="A1346" s="68"/>
      <c r="B1346" s="79"/>
      <c r="C1346" s="77"/>
      <c r="D1346" s="79"/>
      <c r="E1346" s="79"/>
      <c r="F1346" s="93"/>
      <c r="G1346" s="93"/>
      <c r="H1346" s="103"/>
      <c r="I1346" s="79"/>
      <c r="J1346" s="100"/>
      <c r="K1346" s="97"/>
      <c r="L1346" s="98"/>
      <c r="M1346" s="99" t="b">
        <v>0</v>
      </c>
      <c r="N1346" s="99"/>
      <c r="O1346" s="85"/>
      <c r="P1346" s="68"/>
    </row>
    <row r="1347">
      <c r="A1347" s="68"/>
      <c r="B1347" s="79"/>
      <c r="C1347" s="77"/>
      <c r="D1347" s="79"/>
      <c r="E1347" s="79"/>
      <c r="F1347" s="93"/>
      <c r="G1347" s="93"/>
      <c r="H1347" s="103"/>
      <c r="I1347" s="79"/>
      <c r="J1347" s="100"/>
      <c r="K1347" s="97"/>
      <c r="L1347" s="98"/>
      <c r="M1347" s="99" t="b">
        <v>0</v>
      </c>
      <c r="N1347" s="99"/>
      <c r="O1347" s="85"/>
      <c r="P1347" s="68"/>
    </row>
    <row r="1348">
      <c r="A1348" s="68"/>
      <c r="B1348" s="79"/>
      <c r="C1348" s="77"/>
      <c r="D1348" s="79"/>
      <c r="E1348" s="79"/>
      <c r="F1348" s="93"/>
      <c r="G1348" s="93"/>
      <c r="H1348" s="103"/>
      <c r="I1348" s="79"/>
      <c r="J1348" s="100"/>
      <c r="K1348" s="97"/>
      <c r="L1348" s="98"/>
      <c r="M1348" s="99" t="b">
        <v>0</v>
      </c>
      <c r="N1348" s="99"/>
      <c r="O1348" s="85"/>
      <c r="P1348" s="68"/>
    </row>
    <row r="1349">
      <c r="A1349" s="68"/>
      <c r="B1349" s="79"/>
      <c r="C1349" s="77"/>
      <c r="D1349" s="79"/>
      <c r="E1349" s="79"/>
      <c r="F1349" s="93"/>
      <c r="G1349" s="93"/>
      <c r="H1349" s="103"/>
      <c r="I1349" s="79"/>
      <c r="J1349" s="100"/>
      <c r="K1349" s="97"/>
      <c r="L1349" s="98"/>
      <c r="M1349" s="99" t="b">
        <v>0</v>
      </c>
      <c r="N1349" s="99"/>
      <c r="O1349" s="85"/>
      <c r="P1349" s="68"/>
    </row>
    <row r="1350">
      <c r="A1350" s="68"/>
      <c r="B1350" s="79"/>
      <c r="C1350" s="77"/>
      <c r="D1350" s="79"/>
      <c r="E1350" s="79"/>
      <c r="F1350" s="93"/>
      <c r="G1350" s="93"/>
      <c r="H1350" s="103"/>
      <c r="I1350" s="79"/>
      <c r="J1350" s="100"/>
      <c r="K1350" s="97"/>
      <c r="L1350" s="98"/>
      <c r="M1350" s="99" t="b">
        <v>0</v>
      </c>
      <c r="N1350" s="99"/>
      <c r="O1350" s="85"/>
      <c r="P1350" s="68"/>
    </row>
    <row r="1351">
      <c r="A1351" s="68"/>
      <c r="B1351" s="79"/>
      <c r="C1351" s="77"/>
      <c r="D1351" s="79"/>
      <c r="E1351" s="79"/>
      <c r="F1351" s="93"/>
      <c r="G1351" s="93"/>
      <c r="H1351" s="103"/>
      <c r="I1351" s="79"/>
      <c r="J1351" s="100"/>
      <c r="K1351" s="97"/>
      <c r="L1351" s="98"/>
      <c r="M1351" s="99" t="b">
        <v>0</v>
      </c>
      <c r="N1351" s="99"/>
      <c r="O1351" s="85"/>
      <c r="P1351" s="68"/>
    </row>
    <row r="1352">
      <c r="A1352" s="68"/>
      <c r="B1352" s="79"/>
      <c r="C1352" s="77"/>
      <c r="D1352" s="79"/>
      <c r="E1352" s="79"/>
      <c r="F1352" s="93"/>
      <c r="G1352" s="93"/>
      <c r="H1352" s="103"/>
      <c r="I1352" s="79"/>
      <c r="J1352" s="100"/>
      <c r="K1352" s="97"/>
      <c r="L1352" s="98"/>
      <c r="M1352" s="99" t="b">
        <v>0</v>
      </c>
      <c r="N1352" s="99"/>
      <c r="O1352" s="85"/>
      <c r="P1352" s="68"/>
    </row>
    <row r="1353">
      <c r="A1353" s="68"/>
      <c r="B1353" s="79"/>
      <c r="C1353" s="77"/>
      <c r="D1353" s="79"/>
      <c r="E1353" s="79"/>
      <c r="F1353" s="93"/>
      <c r="G1353" s="93"/>
      <c r="H1353" s="103"/>
      <c r="I1353" s="79"/>
      <c r="J1353" s="100"/>
      <c r="K1353" s="97"/>
      <c r="L1353" s="98"/>
      <c r="M1353" s="99" t="b">
        <v>0</v>
      </c>
      <c r="N1353" s="99"/>
      <c r="O1353" s="85"/>
      <c r="P1353" s="68"/>
    </row>
    <row r="1354">
      <c r="A1354" s="68"/>
      <c r="B1354" s="79"/>
      <c r="C1354" s="77"/>
      <c r="D1354" s="79"/>
      <c r="E1354" s="79"/>
      <c r="F1354" s="93"/>
      <c r="G1354" s="93"/>
      <c r="H1354" s="103"/>
      <c r="I1354" s="79"/>
      <c r="J1354" s="100"/>
      <c r="K1354" s="97"/>
      <c r="L1354" s="98"/>
      <c r="M1354" s="99" t="b">
        <v>0</v>
      </c>
      <c r="N1354" s="99"/>
      <c r="O1354" s="85"/>
      <c r="P1354" s="68"/>
    </row>
    <row r="1355">
      <c r="A1355" s="68"/>
      <c r="B1355" s="79"/>
      <c r="C1355" s="77"/>
      <c r="D1355" s="79"/>
      <c r="E1355" s="79"/>
      <c r="F1355" s="93"/>
      <c r="G1355" s="93"/>
      <c r="H1355" s="103"/>
      <c r="I1355" s="79"/>
      <c r="J1355" s="100"/>
      <c r="K1355" s="97"/>
      <c r="L1355" s="98"/>
      <c r="M1355" s="99" t="b">
        <v>0</v>
      </c>
      <c r="N1355" s="99"/>
      <c r="O1355" s="85"/>
      <c r="P1355" s="68"/>
    </row>
    <row r="1356">
      <c r="A1356" s="68"/>
      <c r="B1356" s="79"/>
      <c r="C1356" s="77"/>
      <c r="D1356" s="79"/>
      <c r="E1356" s="79"/>
      <c r="F1356" s="93"/>
      <c r="G1356" s="93"/>
      <c r="H1356" s="103"/>
      <c r="I1356" s="79"/>
      <c r="J1356" s="100"/>
      <c r="K1356" s="97"/>
      <c r="L1356" s="98"/>
      <c r="M1356" s="99" t="b">
        <v>0</v>
      </c>
      <c r="N1356" s="99"/>
      <c r="O1356" s="85"/>
      <c r="P1356" s="68"/>
    </row>
    <row r="1357">
      <c r="A1357" s="68"/>
      <c r="B1357" s="79"/>
      <c r="C1357" s="77"/>
      <c r="D1357" s="79"/>
      <c r="E1357" s="79"/>
      <c r="F1357" s="93"/>
      <c r="G1357" s="93"/>
      <c r="H1357" s="103"/>
      <c r="I1357" s="79"/>
      <c r="J1357" s="100"/>
      <c r="K1357" s="97"/>
      <c r="L1357" s="98"/>
      <c r="M1357" s="99" t="b">
        <v>0</v>
      </c>
      <c r="N1357" s="99"/>
      <c r="O1357" s="85"/>
      <c r="P1357" s="68"/>
    </row>
    <row r="1358">
      <c r="A1358" s="68"/>
      <c r="B1358" s="79"/>
      <c r="C1358" s="77"/>
      <c r="D1358" s="79"/>
      <c r="E1358" s="79"/>
      <c r="F1358" s="93"/>
      <c r="G1358" s="93"/>
      <c r="H1358" s="103"/>
      <c r="I1358" s="79"/>
      <c r="J1358" s="100"/>
      <c r="K1358" s="97"/>
      <c r="L1358" s="98"/>
      <c r="M1358" s="99" t="b">
        <v>0</v>
      </c>
      <c r="N1358" s="99"/>
      <c r="O1358" s="85"/>
      <c r="P1358" s="68"/>
    </row>
    <row r="1359">
      <c r="A1359" s="68"/>
      <c r="B1359" s="79"/>
      <c r="C1359" s="77"/>
      <c r="D1359" s="79"/>
      <c r="E1359" s="79"/>
      <c r="F1359" s="93"/>
      <c r="G1359" s="93"/>
      <c r="H1359" s="103"/>
      <c r="I1359" s="79"/>
      <c r="J1359" s="100"/>
      <c r="K1359" s="97"/>
      <c r="L1359" s="98"/>
      <c r="M1359" s="99" t="b">
        <v>0</v>
      </c>
      <c r="N1359" s="99"/>
      <c r="O1359" s="85"/>
      <c r="P1359" s="68"/>
    </row>
    <row r="1360">
      <c r="A1360" s="68"/>
      <c r="B1360" s="79"/>
      <c r="C1360" s="77"/>
      <c r="D1360" s="79"/>
      <c r="E1360" s="79"/>
      <c r="F1360" s="93"/>
      <c r="G1360" s="93"/>
      <c r="H1360" s="103"/>
      <c r="I1360" s="79"/>
      <c r="J1360" s="100"/>
      <c r="K1360" s="97"/>
      <c r="L1360" s="98"/>
      <c r="M1360" s="99" t="b">
        <v>0</v>
      </c>
      <c r="N1360" s="99"/>
      <c r="O1360" s="85"/>
      <c r="P1360" s="68"/>
    </row>
    <row r="1361">
      <c r="A1361" s="68"/>
      <c r="B1361" s="79"/>
      <c r="C1361" s="77"/>
      <c r="D1361" s="79"/>
      <c r="E1361" s="79"/>
      <c r="F1361" s="93"/>
      <c r="G1361" s="93"/>
      <c r="H1361" s="103"/>
      <c r="I1361" s="79"/>
      <c r="J1361" s="100"/>
      <c r="K1361" s="97"/>
      <c r="L1361" s="98"/>
      <c r="M1361" s="99" t="b">
        <v>0</v>
      </c>
      <c r="N1361" s="99"/>
      <c r="O1361" s="85"/>
      <c r="P1361" s="68"/>
    </row>
    <row r="1362">
      <c r="A1362" s="68"/>
      <c r="B1362" s="79"/>
      <c r="C1362" s="77"/>
      <c r="D1362" s="79"/>
      <c r="E1362" s="79"/>
      <c r="F1362" s="93"/>
      <c r="G1362" s="93"/>
      <c r="H1362" s="103"/>
      <c r="I1362" s="79"/>
      <c r="J1362" s="100"/>
      <c r="K1362" s="97"/>
      <c r="L1362" s="98"/>
      <c r="M1362" s="99" t="b">
        <v>0</v>
      </c>
      <c r="N1362" s="99"/>
      <c r="O1362" s="85"/>
      <c r="P1362" s="68"/>
    </row>
    <row r="1363">
      <c r="A1363" s="68"/>
      <c r="B1363" s="79"/>
      <c r="C1363" s="77"/>
      <c r="D1363" s="79"/>
      <c r="E1363" s="79"/>
      <c r="F1363" s="93"/>
      <c r="G1363" s="93"/>
      <c r="H1363" s="103"/>
      <c r="I1363" s="79"/>
      <c r="J1363" s="100"/>
      <c r="K1363" s="97"/>
      <c r="L1363" s="98"/>
      <c r="M1363" s="99" t="b">
        <v>0</v>
      </c>
      <c r="N1363" s="99"/>
      <c r="O1363" s="85"/>
      <c r="P1363" s="68"/>
    </row>
    <row r="1364">
      <c r="A1364" s="68"/>
      <c r="B1364" s="79"/>
      <c r="C1364" s="77"/>
      <c r="D1364" s="79"/>
      <c r="E1364" s="79"/>
      <c r="F1364" s="93"/>
      <c r="G1364" s="93"/>
      <c r="H1364" s="103"/>
      <c r="I1364" s="79"/>
      <c r="J1364" s="100"/>
      <c r="K1364" s="97"/>
      <c r="L1364" s="98"/>
      <c r="M1364" s="99" t="b">
        <v>0</v>
      </c>
      <c r="N1364" s="99"/>
      <c r="O1364" s="85"/>
      <c r="P1364" s="68"/>
    </row>
    <row r="1365">
      <c r="A1365" s="68"/>
      <c r="B1365" s="79"/>
      <c r="C1365" s="77"/>
      <c r="D1365" s="79"/>
      <c r="E1365" s="79"/>
      <c r="F1365" s="93"/>
      <c r="G1365" s="93"/>
      <c r="H1365" s="103"/>
      <c r="I1365" s="79"/>
      <c r="J1365" s="100"/>
      <c r="K1365" s="97"/>
      <c r="L1365" s="98"/>
      <c r="M1365" s="99" t="b">
        <v>0</v>
      </c>
      <c r="N1365" s="99"/>
      <c r="O1365" s="85"/>
      <c r="P1365" s="68"/>
    </row>
    <row r="1366">
      <c r="A1366" s="68"/>
      <c r="B1366" s="79"/>
      <c r="C1366" s="77"/>
      <c r="D1366" s="79"/>
      <c r="E1366" s="79"/>
      <c r="F1366" s="93"/>
      <c r="G1366" s="93"/>
      <c r="H1366" s="103"/>
      <c r="I1366" s="79"/>
      <c r="J1366" s="100"/>
      <c r="K1366" s="97"/>
      <c r="L1366" s="98"/>
      <c r="M1366" s="99" t="b">
        <v>0</v>
      </c>
      <c r="N1366" s="99"/>
      <c r="O1366" s="85"/>
      <c r="P1366" s="68"/>
    </row>
    <row r="1367">
      <c r="A1367" s="68"/>
      <c r="B1367" s="79"/>
      <c r="C1367" s="77"/>
      <c r="D1367" s="79"/>
      <c r="E1367" s="79"/>
      <c r="F1367" s="93"/>
      <c r="G1367" s="93"/>
      <c r="H1367" s="103"/>
      <c r="I1367" s="79"/>
      <c r="J1367" s="100"/>
      <c r="K1367" s="97"/>
      <c r="L1367" s="98"/>
      <c r="M1367" s="99" t="b">
        <v>0</v>
      </c>
      <c r="N1367" s="99"/>
      <c r="O1367" s="85"/>
      <c r="P1367" s="68"/>
    </row>
    <row r="1368">
      <c r="A1368" s="68"/>
      <c r="B1368" s="79"/>
      <c r="C1368" s="77"/>
      <c r="D1368" s="79"/>
      <c r="E1368" s="79"/>
      <c r="F1368" s="93"/>
      <c r="G1368" s="93"/>
      <c r="H1368" s="103"/>
      <c r="I1368" s="79"/>
      <c r="J1368" s="100"/>
      <c r="K1368" s="97"/>
      <c r="L1368" s="98"/>
      <c r="M1368" s="99" t="b">
        <v>0</v>
      </c>
      <c r="N1368" s="99"/>
      <c r="O1368" s="85"/>
      <c r="P1368" s="68"/>
    </row>
    <row r="1369">
      <c r="A1369" s="68"/>
      <c r="B1369" s="79"/>
      <c r="C1369" s="77"/>
      <c r="D1369" s="79"/>
      <c r="E1369" s="79"/>
      <c r="F1369" s="93"/>
      <c r="G1369" s="93"/>
      <c r="H1369" s="103"/>
      <c r="I1369" s="79"/>
      <c r="J1369" s="100"/>
      <c r="K1369" s="97"/>
      <c r="L1369" s="98"/>
      <c r="M1369" s="99" t="b">
        <v>0</v>
      </c>
      <c r="N1369" s="99"/>
      <c r="O1369" s="85"/>
      <c r="P1369" s="68"/>
    </row>
    <row r="1370">
      <c r="A1370" s="68"/>
      <c r="B1370" s="79"/>
      <c r="C1370" s="77"/>
      <c r="D1370" s="79"/>
      <c r="E1370" s="79"/>
      <c r="F1370" s="93"/>
      <c r="G1370" s="93"/>
      <c r="H1370" s="103"/>
      <c r="I1370" s="79"/>
      <c r="J1370" s="100"/>
      <c r="K1370" s="97"/>
      <c r="L1370" s="98"/>
      <c r="M1370" s="99" t="b">
        <v>0</v>
      </c>
      <c r="N1370" s="99"/>
      <c r="O1370" s="85"/>
      <c r="P1370" s="68"/>
    </row>
    <row r="1371">
      <c r="A1371" s="68"/>
      <c r="B1371" s="79"/>
      <c r="C1371" s="77"/>
      <c r="D1371" s="79"/>
      <c r="E1371" s="79"/>
      <c r="F1371" s="93"/>
      <c r="G1371" s="93"/>
      <c r="H1371" s="103"/>
      <c r="I1371" s="79"/>
      <c r="J1371" s="100"/>
      <c r="K1371" s="97"/>
      <c r="L1371" s="98"/>
      <c r="M1371" s="99" t="b">
        <v>0</v>
      </c>
      <c r="N1371" s="99"/>
      <c r="O1371" s="85"/>
      <c r="P1371" s="68"/>
    </row>
    <row r="1372">
      <c r="A1372" s="68"/>
      <c r="B1372" s="79"/>
      <c r="C1372" s="77"/>
      <c r="D1372" s="79"/>
      <c r="E1372" s="79"/>
      <c r="F1372" s="93"/>
      <c r="G1372" s="93"/>
      <c r="H1372" s="103"/>
      <c r="I1372" s="79"/>
      <c r="J1372" s="100"/>
      <c r="K1372" s="97"/>
      <c r="L1372" s="98"/>
      <c r="M1372" s="99" t="b">
        <v>0</v>
      </c>
      <c r="N1372" s="99"/>
      <c r="O1372" s="85"/>
      <c r="P1372" s="68"/>
    </row>
    <row r="1373">
      <c r="A1373" s="68"/>
      <c r="B1373" s="79"/>
      <c r="C1373" s="77"/>
      <c r="D1373" s="79"/>
      <c r="E1373" s="79"/>
      <c r="F1373" s="93"/>
      <c r="G1373" s="93"/>
      <c r="H1373" s="103"/>
      <c r="I1373" s="79"/>
      <c r="J1373" s="100"/>
      <c r="K1373" s="97"/>
      <c r="L1373" s="98"/>
      <c r="M1373" s="99" t="b">
        <v>0</v>
      </c>
      <c r="N1373" s="99"/>
      <c r="O1373" s="85"/>
      <c r="P1373" s="68"/>
    </row>
    <row r="1374">
      <c r="A1374" s="68"/>
      <c r="B1374" s="79"/>
      <c r="C1374" s="77"/>
      <c r="D1374" s="79"/>
      <c r="E1374" s="79"/>
      <c r="F1374" s="93"/>
      <c r="G1374" s="93"/>
      <c r="H1374" s="103"/>
      <c r="I1374" s="79"/>
      <c r="J1374" s="100"/>
      <c r="K1374" s="97"/>
      <c r="L1374" s="98"/>
      <c r="M1374" s="99" t="b">
        <v>0</v>
      </c>
      <c r="N1374" s="99"/>
      <c r="O1374" s="85"/>
      <c r="P1374" s="68"/>
    </row>
    <row r="1375">
      <c r="A1375" s="68"/>
      <c r="B1375" s="79"/>
      <c r="C1375" s="77"/>
      <c r="D1375" s="79"/>
      <c r="E1375" s="79"/>
      <c r="F1375" s="93"/>
      <c r="G1375" s="93"/>
      <c r="H1375" s="103"/>
      <c r="I1375" s="79"/>
      <c r="J1375" s="100"/>
      <c r="K1375" s="97"/>
      <c r="L1375" s="98"/>
      <c r="M1375" s="99" t="b">
        <v>0</v>
      </c>
      <c r="N1375" s="99"/>
      <c r="O1375" s="85"/>
      <c r="P1375" s="68"/>
    </row>
    <row r="1376">
      <c r="A1376" s="68"/>
      <c r="B1376" s="79"/>
      <c r="C1376" s="77"/>
      <c r="D1376" s="79"/>
      <c r="E1376" s="79"/>
      <c r="F1376" s="93"/>
      <c r="G1376" s="93"/>
      <c r="H1376" s="103"/>
      <c r="I1376" s="79"/>
      <c r="J1376" s="100"/>
      <c r="K1376" s="97"/>
      <c r="L1376" s="98"/>
      <c r="M1376" s="99" t="b">
        <v>0</v>
      </c>
      <c r="N1376" s="99"/>
      <c r="O1376" s="85"/>
      <c r="P1376" s="68"/>
    </row>
    <row r="1377">
      <c r="A1377" s="68"/>
      <c r="B1377" s="79"/>
      <c r="C1377" s="77"/>
      <c r="D1377" s="79"/>
      <c r="E1377" s="79"/>
      <c r="F1377" s="93"/>
      <c r="G1377" s="93"/>
      <c r="H1377" s="103"/>
      <c r="I1377" s="79"/>
      <c r="J1377" s="100"/>
      <c r="K1377" s="97"/>
      <c r="L1377" s="98"/>
      <c r="M1377" s="99" t="b">
        <v>0</v>
      </c>
      <c r="N1377" s="99"/>
      <c r="O1377" s="85"/>
      <c r="P1377" s="68"/>
    </row>
    <row r="1378">
      <c r="A1378" s="68"/>
      <c r="B1378" s="79"/>
      <c r="C1378" s="77"/>
      <c r="D1378" s="79"/>
      <c r="E1378" s="79"/>
      <c r="F1378" s="93"/>
      <c r="G1378" s="93"/>
      <c r="H1378" s="103"/>
      <c r="I1378" s="79"/>
      <c r="J1378" s="100"/>
      <c r="K1378" s="97"/>
      <c r="L1378" s="98"/>
      <c r="M1378" s="99" t="b">
        <v>0</v>
      </c>
      <c r="N1378" s="99"/>
      <c r="O1378" s="85"/>
      <c r="P1378" s="68"/>
    </row>
    <row r="1379">
      <c r="A1379" s="68"/>
      <c r="B1379" s="79"/>
      <c r="C1379" s="77"/>
      <c r="D1379" s="79"/>
      <c r="E1379" s="79"/>
      <c r="F1379" s="93"/>
      <c r="G1379" s="93"/>
      <c r="H1379" s="103"/>
      <c r="I1379" s="79"/>
      <c r="J1379" s="100"/>
      <c r="K1379" s="97"/>
      <c r="L1379" s="98"/>
      <c r="M1379" s="99" t="b">
        <v>0</v>
      </c>
      <c r="N1379" s="99"/>
      <c r="O1379" s="85"/>
      <c r="P1379" s="68"/>
    </row>
    <row r="1380">
      <c r="A1380" s="68"/>
      <c r="B1380" s="79"/>
      <c r="C1380" s="77"/>
      <c r="D1380" s="79"/>
      <c r="E1380" s="79"/>
      <c r="F1380" s="93"/>
      <c r="G1380" s="93"/>
      <c r="H1380" s="103"/>
      <c r="I1380" s="79"/>
      <c r="J1380" s="100"/>
      <c r="K1380" s="97"/>
      <c r="L1380" s="98"/>
      <c r="M1380" s="99" t="b">
        <v>0</v>
      </c>
      <c r="N1380" s="99"/>
      <c r="O1380" s="85"/>
      <c r="P1380" s="68"/>
    </row>
    <row r="1381">
      <c r="A1381" s="68"/>
      <c r="B1381" s="79"/>
      <c r="C1381" s="77"/>
      <c r="D1381" s="79"/>
      <c r="E1381" s="79"/>
      <c r="F1381" s="93"/>
      <c r="G1381" s="93"/>
      <c r="H1381" s="103"/>
      <c r="I1381" s="79"/>
      <c r="J1381" s="100"/>
      <c r="K1381" s="97"/>
      <c r="L1381" s="98"/>
      <c r="M1381" s="99" t="b">
        <v>0</v>
      </c>
      <c r="N1381" s="99"/>
      <c r="O1381" s="85"/>
      <c r="P1381" s="68"/>
    </row>
    <row r="1382">
      <c r="A1382" s="68"/>
      <c r="B1382" s="79"/>
      <c r="C1382" s="77"/>
      <c r="D1382" s="79"/>
      <c r="E1382" s="79"/>
      <c r="F1382" s="93"/>
      <c r="G1382" s="93"/>
      <c r="H1382" s="103"/>
      <c r="I1382" s="79"/>
      <c r="J1382" s="100"/>
      <c r="K1382" s="97"/>
      <c r="L1382" s="98"/>
      <c r="M1382" s="99" t="b">
        <v>0</v>
      </c>
      <c r="N1382" s="99"/>
      <c r="O1382" s="85"/>
      <c r="P1382" s="68"/>
    </row>
    <row r="1383">
      <c r="A1383" s="68"/>
      <c r="B1383" s="79"/>
      <c r="C1383" s="77"/>
      <c r="D1383" s="79"/>
      <c r="E1383" s="79"/>
      <c r="F1383" s="93"/>
      <c r="G1383" s="93"/>
      <c r="H1383" s="103"/>
      <c r="I1383" s="79"/>
      <c r="J1383" s="100"/>
      <c r="K1383" s="97"/>
      <c r="L1383" s="98"/>
      <c r="M1383" s="99" t="b">
        <v>0</v>
      </c>
      <c r="N1383" s="99"/>
      <c r="O1383" s="85"/>
      <c r="P1383" s="68"/>
    </row>
    <row r="1384">
      <c r="A1384" s="68"/>
      <c r="B1384" s="79"/>
      <c r="C1384" s="77"/>
      <c r="D1384" s="79"/>
      <c r="E1384" s="79"/>
      <c r="F1384" s="93"/>
      <c r="G1384" s="93"/>
      <c r="H1384" s="103"/>
      <c r="I1384" s="79"/>
      <c r="J1384" s="100"/>
      <c r="K1384" s="97"/>
      <c r="L1384" s="98"/>
      <c r="M1384" s="99" t="b">
        <v>0</v>
      </c>
      <c r="N1384" s="99"/>
      <c r="O1384" s="85"/>
      <c r="P1384" s="68"/>
    </row>
    <row r="1385">
      <c r="A1385" s="68"/>
      <c r="B1385" s="79"/>
      <c r="C1385" s="77"/>
      <c r="D1385" s="79"/>
      <c r="E1385" s="79"/>
      <c r="F1385" s="93"/>
      <c r="G1385" s="93"/>
      <c r="H1385" s="103"/>
      <c r="I1385" s="79"/>
      <c r="J1385" s="100"/>
      <c r="K1385" s="97"/>
      <c r="L1385" s="98"/>
      <c r="M1385" s="99" t="b">
        <v>0</v>
      </c>
      <c r="N1385" s="99"/>
      <c r="O1385" s="85"/>
      <c r="P1385" s="68"/>
    </row>
    <row r="1386">
      <c r="A1386" s="68"/>
      <c r="B1386" s="79"/>
      <c r="C1386" s="77"/>
      <c r="D1386" s="79"/>
      <c r="E1386" s="79"/>
      <c r="F1386" s="93"/>
      <c r="G1386" s="93"/>
      <c r="H1386" s="103"/>
      <c r="I1386" s="79"/>
      <c r="J1386" s="100"/>
      <c r="K1386" s="97"/>
      <c r="L1386" s="98"/>
      <c r="M1386" s="99" t="b">
        <v>0</v>
      </c>
      <c r="N1386" s="99"/>
      <c r="O1386" s="85"/>
      <c r="P1386" s="68"/>
    </row>
    <row r="1387">
      <c r="A1387" s="68"/>
      <c r="B1387" s="79"/>
      <c r="C1387" s="77"/>
      <c r="D1387" s="79"/>
      <c r="E1387" s="79"/>
      <c r="F1387" s="93"/>
      <c r="G1387" s="93"/>
      <c r="H1387" s="103"/>
      <c r="I1387" s="79"/>
      <c r="J1387" s="100"/>
      <c r="K1387" s="97"/>
      <c r="L1387" s="98"/>
      <c r="M1387" s="99" t="b">
        <v>0</v>
      </c>
      <c r="N1387" s="99"/>
      <c r="O1387" s="85"/>
      <c r="P1387" s="68"/>
    </row>
    <row r="1388">
      <c r="A1388" s="68"/>
      <c r="B1388" s="79"/>
      <c r="C1388" s="77"/>
      <c r="D1388" s="79"/>
      <c r="E1388" s="79"/>
      <c r="F1388" s="93"/>
      <c r="G1388" s="93"/>
      <c r="H1388" s="103"/>
      <c r="I1388" s="79"/>
      <c r="J1388" s="100"/>
      <c r="K1388" s="97"/>
      <c r="L1388" s="98"/>
      <c r="M1388" s="99" t="b">
        <v>0</v>
      </c>
      <c r="N1388" s="99"/>
      <c r="O1388" s="85"/>
      <c r="P1388" s="68"/>
    </row>
    <row r="1389">
      <c r="A1389" s="68"/>
      <c r="B1389" s="79"/>
      <c r="C1389" s="77"/>
      <c r="D1389" s="79"/>
      <c r="E1389" s="79"/>
      <c r="F1389" s="93"/>
      <c r="G1389" s="93"/>
      <c r="H1389" s="103"/>
      <c r="I1389" s="79"/>
      <c r="J1389" s="100"/>
      <c r="K1389" s="97"/>
      <c r="L1389" s="98"/>
      <c r="M1389" s="99" t="b">
        <v>0</v>
      </c>
      <c r="N1389" s="99"/>
      <c r="O1389" s="85"/>
      <c r="P1389" s="68"/>
    </row>
    <row r="1390">
      <c r="A1390" s="68"/>
      <c r="B1390" s="79"/>
      <c r="C1390" s="77"/>
      <c r="D1390" s="79"/>
      <c r="E1390" s="79"/>
      <c r="F1390" s="93"/>
      <c r="G1390" s="93"/>
      <c r="H1390" s="103"/>
      <c r="I1390" s="79"/>
      <c r="J1390" s="100"/>
      <c r="K1390" s="97"/>
      <c r="L1390" s="98"/>
      <c r="M1390" s="99" t="b">
        <v>0</v>
      </c>
      <c r="N1390" s="99"/>
      <c r="O1390" s="85"/>
      <c r="P1390" s="68"/>
    </row>
    <row r="1391">
      <c r="A1391" s="68"/>
      <c r="B1391" s="79"/>
      <c r="C1391" s="77"/>
      <c r="D1391" s="79"/>
      <c r="E1391" s="79"/>
      <c r="F1391" s="93"/>
      <c r="G1391" s="93"/>
      <c r="H1391" s="103"/>
      <c r="I1391" s="79"/>
      <c r="J1391" s="100"/>
      <c r="K1391" s="97"/>
      <c r="L1391" s="98"/>
      <c r="M1391" s="99" t="b">
        <v>0</v>
      </c>
      <c r="N1391" s="99"/>
      <c r="O1391" s="85"/>
      <c r="P1391" s="68"/>
    </row>
    <row r="1392">
      <c r="A1392" s="68"/>
      <c r="B1392" s="79"/>
      <c r="C1392" s="77"/>
      <c r="D1392" s="79"/>
      <c r="E1392" s="79"/>
      <c r="F1392" s="93"/>
      <c r="G1392" s="93"/>
      <c r="H1392" s="103"/>
      <c r="I1392" s="79"/>
      <c r="J1392" s="100"/>
      <c r="K1392" s="97"/>
      <c r="L1392" s="98"/>
      <c r="M1392" s="99" t="b">
        <v>0</v>
      </c>
      <c r="N1392" s="99"/>
      <c r="O1392" s="85"/>
      <c r="P1392" s="68"/>
    </row>
    <row r="1393">
      <c r="A1393" s="68"/>
      <c r="B1393" s="79"/>
      <c r="C1393" s="77"/>
      <c r="D1393" s="79"/>
      <c r="E1393" s="79"/>
      <c r="F1393" s="93"/>
      <c r="G1393" s="93"/>
      <c r="H1393" s="103"/>
      <c r="I1393" s="79"/>
      <c r="J1393" s="100"/>
      <c r="K1393" s="97"/>
      <c r="L1393" s="98"/>
      <c r="M1393" s="99" t="b">
        <v>0</v>
      </c>
      <c r="N1393" s="99"/>
      <c r="O1393" s="85"/>
      <c r="P1393" s="68"/>
    </row>
    <row r="1394">
      <c r="A1394" s="68"/>
      <c r="B1394" s="79"/>
      <c r="C1394" s="77"/>
      <c r="D1394" s="79"/>
      <c r="E1394" s="79"/>
      <c r="F1394" s="93"/>
      <c r="G1394" s="93"/>
      <c r="H1394" s="103"/>
      <c r="I1394" s="79"/>
      <c r="J1394" s="100"/>
      <c r="K1394" s="97"/>
      <c r="L1394" s="98"/>
      <c r="M1394" s="99" t="b">
        <v>0</v>
      </c>
      <c r="N1394" s="99"/>
      <c r="O1394" s="85"/>
      <c r="P1394" s="68"/>
    </row>
    <row r="1395">
      <c r="A1395" s="68"/>
      <c r="B1395" s="79"/>
      <c r="C1395" s="77"/>
      <c r="D1395" s="79"/>
      <c r="E1395" s="79"/>
      <c r="F1395" s="93"/>
      <c r="G1395" s="93"/>
      <c r="H1395" s="103"/>
      <c r="I1395" s="79"/>
      <c r="J1395" s="100"/>
      <c r="K1395" s="97"/>
      <c r="L1395" s="98"/>
      <c r="M1395" s="99" t="b">
        <v>0</v>
      </c>
      <c r="N1395" s="99"/>
      <c r="O1395" s="85"/>
      <c r="P1395" s="68"/>
    </row>
    <row r="1396">
      <c r="A1396" s="68"/>
      <c r="B1396" s="79"/>
      <c r="C1396" s="77"/>
      <c r="D1396" s="79"/>
      <c r="E1396" s="79"/>
      <c r="F1396" s="93"/>
      <c r="G1396" s="93"/>
      <c r="H1396" s="103"/>
      <c r="I1396" s="79"/>
      <c r="J1396" s="100"/>
      <c r="K1396" s="97"/>
      <c r="L1396" s="98"/>
      <c r="M1396" s="99" t="b">
        <v>0</v>
      </c>
      <c r="N1396" s="99"/>
      <c r="O1396" s="85"/>
      <c r="P1396" s="68"/>
    </row>
    <row r="1397">
      <c r="A1397" s="68"/>
      <c r="B1397" s="79"/>
      <c r="C1397" s="77"/>
      <c r="D1397" s="79"/>
      <c r="E1397" s="79"/>
      <c r="F1397" s="93"/>
      <c r="G1397" s="93"/>
      <c r="H1397" s="103"/>
      <c r="I1397" s="79"/>
      <c r="J1397" s="100"/>
      <c r="K1397" s="97"/>
      <c r="L1397" s="98"/>
      <c r="M1397" s="99" t="b">
        <v>0</v>
      </c>
      <c r="N1397" s="99"/>
      <c r="O1397" s="85"/>
      <c r="P1397" s="68"/>
    </row>
    <row r="1398">
      <c r="A1398" s="68"/>
      <c r="B1398" s="79"/>
      <c r="C1398" s="77"/>
      <c r="D1398" s="79"/>
      <c r="E1398" s="79"/>
      <c r="F1398" s="93"/>
      <c r="G1398" s="93"/>
      <c r="H1398" s="103"/>
      <c r="I1398" s="79"/>
      <c r="J1398" s="100"/>
      <c r="K1398" s="97"/>
      <c r="L1398" s="98"/>
      <c r="M1398" s="99" t="b">
        <v>0</v>
      </c>
      <c r="N1398" s="99"/>
      <c r="O1398" s="85"/>
      <c r="P1398" s="68"/>
    </row>
    <row r="1399">
      <c r="A1399" s="68"/>
      <c r="B1399" s="79"/>
      <c r="C1399" s="77"/>
      <c r="D1399" s="79"/>
      <c r="E1399" s="79"/>
      <c r="F1399" s="93"/>
      <c r="G1399" s="93"/>
      <c r="H1399" s="103"/>
      <c r="I1399" s="79"/>
      <c r="J1399" s="100"/>
      <c r="K1399" s="97"/>
      <c r="L1399" s="98"/>
      <c r="M1399" s="99" t="b">
        <v>0</v>
      </c>
      <c r="N1399" s="99"/>
      <c r="O1399" s="85"/>
      <c r="P1399" s="68"/>
    </row>
    <row r="1400">
      <c r="A1400" s="68"/>
      <c r="B1400" s="79"/>
      <c r="C1400" s="77"/>
      <c r="D1400" s="79"/>
      <c r="E1400" s="79"/>
      <c r="F1400" s="93"/>
      <c r="G1400" s="93"/>
      <c r="H1400" s="103"/>
      <c r="I1400" s="79"/>
      <c r="J1400" s="100"/>
      <c r="K1400" s="97"/>
      <c r="L1400" s="98"/>
      <c r="M1400" s="99" t="b">
        <v>0</v>
      </c>
      <c r="N1400" s="99"/>
      <c r="O1400" s="85"/>
      <c r="P1400" s="68"/>
    </row>
    <row r="1401">
      <c r="A1401" s="68"/>
      <c r="B1401" s="79"/>
      <c r="C1401" s="77"/>
      <c r="D1401" s="79"/>
      <c r="E1401" s="79"/>
      <c r="F1401" s="93"/>
      <c r="G1401" s="93"/>
      <c r="H1401" s="103"/>
      <c r="I1401" s="79"/>
      <c r="J1401" s="100"/>
      <c r="K1401" s="97"/>
      <c r="L1401" s="98"/>
      <c r="M1401" s="99" t="b">
        <v>0</v>
      </c>
      <c r="N1401" s="99"/>
      <c r="O1401" s="85"/>
      <c r="P1401" s="68"/>
    </row>
    <row r="1402">
      <c r="A1402" s="68"/>
      <c r="B1402" s="79"/>
      <c r="C1402" s="77"/>
      <c r="D1402" s="79"/>
      <c r="E1402" s="79"/>
      <c r="F1402" s="93"/>
      <c r="G1402" s="93"/>
      <c r="H1402" s="103"/>
      <c r="I1402" s="79"/>
      <c r="J1402" s="100"/>
      <c r="K1402" s="97"/>
      <c r="L1402" s="98"/>
      <c r="M1402" s="99" t="b">
        <v>0</v>
      </c>
      <c r="N1402" s="99"/>
      <c r="O1402" s="85"/>
      <c r="P1402" s="68"/>
    </row>
    <row r="1403">
      <c r="A1403" s="68"/>
      <c r="B1403" s="79"/>
      <c r="C1403" s="77"/>
      <c r="D1403" s="79"/>
      <c r="E1403" s="79"/>
      <c r="F1403" s="93"/>
      <c r="G1403" s="93"/>
      <c r="H1403" s="103"/>
      <c r="I1403" s="79"/>
      <c r="J1403" s="100"/>
      <c r="K1403" s="97"/>
      <c r="L1403" s="98"/>
      <c r="M1403" s="99" t="b">
        <v>0</v>
      </c>
      <c r="N1403" s="99"/>
      <c r="O1403" s="85"/>
      <c r="P1403" s="68"/>
    </row>
    <row r="1404">
      <c r="A1404" s="68"/>
      <c r="B1404" s="79"/>
      <c r="C1404" s="77"/>
      <c r="D1404" s="79"/>
      <c r="E1404" s="79"/>
      <c r="F1404" s="93"/>
      <c r="G1404" s="93"/>
      <c r="H1404" s="103"/>
      <c r="I1404" s="79"/>
      <c r="J1404" s="100"/>
      <c r="K1404" s="97"/>
      <c r="L1404" s="98"/>
      <c r="M1404" s="99" t="b">
        <v>0</v>
      </c>
      <c r="N1404" s="99"/>
      <c r="O1404" s="85"/>
      <c r="P1404" s="68"/>
    </row>
    <row r="1405">
      <c r="A1405" s="68"/>
      <c r="B1405" s="79"/>
      <c r="C1405" s="77"/>
      <c r="D1405" s="79"/>
      <c r="E1405" s="79"/>
      <c r="F1405" s="93"/>
      <c r="G1405" s="93"/>
      <c r="H1405" s="103"/>
      <c r="I1405" s="79"/>
      <c r="J1405" s="100"/>
      <c r="K1405" s="97"/>
      <c r="L1405" s="98"/>
      <c r="M1405" s="99" t="b">
        <v>0</v>
      </c>
      <c r="N1405" s="99"/>
      <c r="O1405" s="85"/>
      <c r="P1405" s="68"/>
    </row>
    <row r="1406">
      <c r="A1406" s="68"/>
      <c r="B1406" s="79"/>
      <c r="C1406" s="77"/>
      <c r="D1406" s="79"/>
      <c r="E1406" s="79"/>
      <c r="F1406" s="93"/>
      <c r="G1406" s="93"/>
      <c r="H1406" s="103"/>
      <c r="I1406" s="79"/>
      <c r="J1406" s="100"/>
      <c r="K1406" s="97"/>
      <c r="L1406" s="98"/>
      <c r="M1406" s="99" t="b">
        <v>0</v>
      </c>
      <c r="N1406" s="99"/>
      <c r="O1406" s="85"/>
      <c r="P1406" s="68"/>
    </row>
    <row r="1407">
      <c r="A1407" s="68"/>
      <c r="B1407" s="79"/>
      <c r="C1407" s="77"/>
      <c r="D1407" s="79"/>
      <c r="E1407" s="79"/>
      <c r="F1407" s="93"/>
      <c r="G1407" s="93"/>
      <c r="H1407" s="103"/>
      <c r="I1407" s="79"/>
      <c r="J1407" s="100"/>
      <c r="K1407" s="97"/>
      <c r="L1407" s="98"/>
      <c r="M1407" s="99" t="b">
        <v>0</v>
      </c>
      <c r="N1407" s="99"/>
      <c r="O1407" s="85"/>
      <c r="P1407" s="68"/>
    </row>
    <row r="1408">
      <c r="A1408" s="68"/>
      <c r="B1408" s="79"/>
      <c r="C1408" s="77"/>
      <c r="D1408" s="79"/>
      <c r="E1408" s="79"/>
      <c r="F1408" s="93"/>
      <c r="G1408" s="93"/>
      <c r="H1408" s="103"/>
      <c r="I1408" s="79"/>
      <c r="J1408" s="100"/>
      <c r="K1408" s="97"/>
      <c r="L1408" s="98"/>
      <c r="M1408" s="99" t="b">
        <v>0</v>
      </c>
      <c r="N1408" s="99"/>
      <c r="O1408" s="85"/>
      <c r="P1408" s="68"/>
    </row>
    <row r="1409">
      <c r="A1409" s="68"/>
      <c r="B1409" s="79"/>
      <c r="C1409" s="77"/>
      <c r="D1409" s="79"/>
      <c r="E1409" s="79"/>
      <c r="F1409" s="93"/>
      <c r="G1409" s="93"/>
      <c r="H1409" s="103"/>
      <c r="I1409" s="79"/>
      <c r="J1409" s="100"/>
      <c r="K1409" s="97"/>
      <c r="L1409" s="98"/>
      <c r="M1409" s="99" t="b">
        <v>0</v>
      </c>
      <c r="N1409" s="99"/>
      <c r="O1409" s="85"/>
      <c r="P1409" s="68"/>
    </row>
    <row r="1410">
      <c r="A1410" s="68"/>
      <c r="B1410" s="79"/>
      <c r="C1410" s="77"/>
      <c r="D1410" s="79"/>
      <c r="E1410" s="79"/>
      <c r="F1410" s="93"/>
      <c r="G1410" s="93"/>
      <c r="H1410" s="103"/>
      <c r="I1410" s="79"/>
      <c r="J1410" s="100"/>
      <c r="K1410" s="97"/>
      <c r="L1410" s="98"/>
      <c r="M1410" s="99" t="b">
        <v>0</v>
      </c>
      <c r="N1410" s="99"/>
      <c r="O1410" s="85"/>
      <c r="P1410" s="68"/>
    </row>
    <row r="1411">
      <c r="A1411" s="68"/>
      <c r="B1411" s="79"/>
      <c r="C1411" s="77"/>
      <c r="D1411" s="79"/>
      <c r="E1411" s="79"/>
      <c r="F1411" s="93"/>
      <c r="G1411" s="93"/>
      <c r="H1411" s="103"/>
      <c r="I1411" s="79"/>
      <c r="J1411" s="100"/>
      <c r="K1411" s="97"/>
      <c r="L1411" s="98"/>
      <c r="M1411" s="99" t="b">
        <v>0</v>
      </c>
      <c r="N1411" s="99"/>
      <c r="O1411" s="85"/>
      <c r="P1411" s="68"/>
    </row>
    <row r="1412">
      <c r="A1412" s="68"/>
      <c r="B1412" s="79"/>
      <c r="C1412" s="77"/>
      <c r="D1412" s="79"/>
      <c r="E1412" s="79"/>
      <c r="F1412" s="93"/>
      <c r="G1412" s="93"/>
      <c r="H1412" s="103"/>
      <c r="I1412" s="79"/>
      <c r="J1412" s="100"/>
      <c r="K1412" s="97"/>
      <c r="L1412" s="98"/>
      <c r="M1412" s="99" t="b">
        <v>0</v>
      </c>
      <c r="N1412" s="99"/>
      <c r="O1412" s="85"/>
      <c r="P1412" s="68"/>
    </row>
    <row r="1413">
      <c r="A1413" s="68"/>
      <c r="B1413" s="79"/>
      <c r="C1413" s="77"/>
      <c r="D1413" s="79"/>
      <c r="E1413" s="79"/>
      <c r="F1413" s="93"/>
      <c r="G1413" s="93"/>
      <c r="H1413" s="103"/>
      <c r="I1413" s="79"/>
      <c r="J1413" s="100"/>
      <c r="K1413" s="97"/>
      <c r="L1413" s="98"/>
      <c r="M1413" s="99" t="b">
        <v>0</v>
      </c>
      <c r="N1413" s="99"/>
      <c r="O1413" s="85"/>
      <c r="P1413" s="68"/>
    </row>
    <row r="1414">
      <c r="A1414" s="68"/>
      <c r="B1414" s="79"/>
      <c r="C1414" s="77"/>
      <c r="D1414" s="79"/>
      <c r="E1414" s="79"/>
      <c r="F1414" s="93"/>
      <c r="G1414" s="93"/>
      <c r="H1414" s="103"/>
      <c r="I1414" s="79"/>
      <c r="J1414" s="100"/>
      <c r="K1414" s="97"/>
      <c r="L1414" s="98"/>
      <c r="M1414" s="99" t="b">
        <v>0</v>
      </c>
      <c r="N1414" s="99"/>
      <c r="O1414" s="85"/>
      <c r="P1414" s="68"/>
    </row>
    <row r="1415">
      <c r="A1415" s="68"/>
      <c r="B1415" s="79"/>
      <c r="C1415" s="77"/>
      <c r="D1415" s="79"/>
      <c r="E1415" s="79"/>
      <c r="F1415" s="93"/>
      <c r="G1415" s="93"/>
      <c r="H1415" s="103"/>
      <c r="I1415" s="79"/>
      <c r="J1415" s="100"/>
      <c r="K1415" s="97"/>
      <c r="L1415" s="98"/>
      <c r="M1415" s="99" t="b">
        <v>0</v>
      </c>
      <c r="N1415" s="99"/>
      <c r="O1415" s="85"/>
      <c r="P1415" s="68"/>
    </row>
    <row r="1416">
      <c r="A1416" s="68"/>
      <c r="B1416" s="79"/>
      <c r="C1416" s="77"/>
      <c r="D1416" s="79"/>
      <c r="E1416" s="79"/>
      <c r="F1416" s="93"/>
      <c r="G1416" s="93"/>
      <c r="H1416" s="103"/>
      <c r="I1416" s="79"/>
      <c r="J1416" s="100"/>
      <c r="K1416" s="97"/>
      <c r="L1416" s="98"/>
      <c r="M1416" s="99" t="b">
        <v>0</v>
      </c>
      <c r="N1416" s="99"/>
      <c r="O1416" s="85"/>
      <c r="P1416" s="68"/>
    </row>
    <row r="1417">
      <c r="A1417" s="68"/>
      <c r="B1417" s="79"/>
      <c r="C1417" s="77"/>
      <c r="D1417" s="79"/>
      <c r="E1417" s="79"/>
      <c r="F1417" s="93"/>
      <c r="G1417" s="93"/>
      <c r="H1417" s="103"/>
      <c r="I1417" s="79"/>
      <c r="J1417" s="100"/>
      <c r="K1417" s="97"/>
      <c r="L1417" s="98"/>
      <c r="M1417" s="99" t="b">
        <v>0</v>
      </c>
      <c r="N1417" s="99"/>
      <c r="O1417" s="85"/>
      <c r="P1417" s="68"/>
    </row>
    <row r="1418">
      <c r="A1418" s="68"/>
      <c r="B1418" s="79"/>
      <c r="C1418" s="77"/>
      <c r="D1418" s="79"/>
      <c r="E1418" s="79"/>
      <c r="F1418" s="93"/>
      <c r="G1418" s="93"/>
      <c r="H1418" s="103"/>
      <c r="I1418" s="79"/>
      <c r="J1418" s="100"/>
      <c r="K1418" s="97"/>
      <c r="L1418" s="98"/>
      <c r="M1418" s="99" t="b">
        <v>0</v>
      </c>
      <c r="N1418" s="99"/>
      <c r="O1418" s="85"/>
      <c r="P1418" s="68"/>
    </row>
    <row r="1419">
      <c r="A1419" s="68"/>
      <c r="B1419" s="79"/>
      <c r="C1419" s="77"/>
      <c r="D1419" s="79"/>
      <c r="E1419" s="79"/>
      <c r="F1419" s="93"/>
      <c r="G1419" s="93"/>
      <c r="H1419" s="103"/>
      <c r="I1419" s="79"/>
      <c r="J1419" s="100"/>
      <c r="K1419" s="97"/>
      <c r="L1419" s="98"/>
      <c r="M1419" s="99" t="b">
        <v>0</v>
      </c>
      <c r="N1419" s="99"/>
      <c r="O1419" s="85"/>
      <c r="P1419" s="68"/>
    </row>
    <row r="1420">
      <c r="A1420" s="68"/>
      <c r="B1420" s="79"/>
      <c r="C1420" s="77"/>
      <c r="D1420" s="79"/>
      <c r="E1420" s="79"/>
      <c r="F1420" s="93"/>
      <c r="G1420" s="93"/>
      <c r="H1420" s="103"/>
      <c r="I1420" s="79"/>
      <c r="J1420" s="100"/>
      <c r="K1420" s="97"/>
      <c r="L1420" s="98"/>
      <c r="M1420" s="99" t="b">
        <v>0</v>
      </c>
      <c r="N1420" s="99"/>
      <c r="O1420" s="85"/>
      <c r="P1420" s="68"/>
    </row>
    <row r="1421">
      <c r="A1421" s="68"/>
      <c r="B1421" s="79"/>
      <c r="C1421" s="77"/>
      <c r="D1421" s="79"/>
      <c r="E1421" s="79"/>
      <c r="F1421" s="93"/>
      <c r="G1421" s="93"/>
      <c r="H1421" s="103"/>
      <c r="I1421" s="79"/>
      <c r="J1421" s="100"/>
      <c r="K1421" s="97"/>
      <c r="L1421" s="98"/>
      <c r="M1421" s="99" t="b">
        <v>0</v>
      </c>
      <c r="N1421" s="99"/>
      <c r="O1421" s="85"/>
      <c r="P1421" s="68"/>
    </row>
    <row r="1422">
      <c r="A1422" s="68"/>
      <c r="B1422" s="79"/>
      <c r="C1422" s="77"/>
      <c r="D1422" s="79"/>
      <c r="E1422" s="79"/>
      <c r="F1422" s="93"/>
      <c r="G1422" s="93"/>
      <c r="H1422" s="103"/>
      <c r="I1422" s="79"/>
      <c r="J1422" s="100"/>
      <c r="K1422" s="97"/>
      <c r="L1422" s="98"/>
      <c r="M1422" s="99" t="b">
        <v>0</v>
      </c>
      <c r="N1422" s="99"/>
      <c r="O1422" s="85"/>
      <c r="P1422" s="68"/>
    </row>
    <row r="1423">
      <c r="A1423" s="68"/>
      <c r="B1423" s="79"/>
      <c r="C1423" s="77"/>
      <c r="D1423" s="79"/>
      <c r="E1423" s="79"/>
      <c r="F1423" s="93"/>
      <c r="G1423" s="93"/>
      <c r="H1423" s="103"/>
      <c r="I1423" s="79"/>
      <c r="J1423" s="100"/>
      <c r="K1423" s="97"/>
      <c r="L1423" s="98"/>
      <c r="M1423" s="99" t="b">
        <v>0</v>
      </c>
      <c r="N1423" s="99"/>
      <c r="O1423" s="85"/>
      <c r="P1423" s="68"/>
    </row>
    <row r="1424">
      <c r="A1424" s="68"/>
      <c r="B1424" s="79"/>
      <c r="C1424" s="77"/>
      <c r="D1424" s="79"/>
      <c r="E1424" s="79"/>
      <c r="F1424" s="93"/>
      <c r="G1424" s="93"/>
      <c r="H1424" s="103"/>
      <c r="I1424" s="79"/>
      <c r="J1424" s="100"/>
      <c r="K1424" s="97"/>
      <c r="L1424" s="98"/>
      <c r="M1424" s="99" t="b">
        <v>0</v>
      </c>
      <c r="N1424" s="99"/>
      <c r="O1424" s="85"/>
      <c r="P1424" s="68"/>
    </row>
    <row r="1425">
      <c r="A1425" s="68"/>
      <c r="B1425" s="79"/>
      <c r="C1425" s="77"/>
      <c r="D1425" s="79"/>
      <c r="E1425" s="79"/>
      <c r="F1425" s="93"/>
      <c r="G1425" s="93"/>
      <c r="H1425" s="103"/>
      <c r="I1425" s="79"/>
      <c r="J1425" s="100"/>
      <c r="K1425" s="97"/>
      <c r="L1425" s="98"/>
      <c r="M1425" s="99" t="b">
        <v>0</v>
      </c>
      <c r="N1425" s="99"/>
      <c r="O1425" s="85"/>
      <c r="P1425" s="68"/>
    </row>
    <row r="1426">
      <c r="A1426" s="68"/>
      <c r="B1426" s="79"/>
      <c r="C1426" s="77"/>
      <c r="D1426" s="79"/>
      <c r="E1426" s="79"/>
      <c r="F1426" s="93"/>
      <c r="G1426" s="93"/>
      <c r="H1426" s="103"/>
      <c r="I1426" s="79"/>
      <c r="J1426" s="100"/>
      <c r="K1426" s="97"/>
      <c r="L1426" s="98"/>
      <c r="M1426" s="99" t="b">
        <v>0</v>
      </c>
      <c r="N1426" s="99"/>
      <c r="O1426" s="85"/>
      <c r="P1426" s="68"/>
    </row>
    <row r="1427">
      <c r="A1427" s="68"/>
      <c r="B1427" s="79"/>
      <c r="C1427" s="77"/>
      <c r="D1427" s="79"/>
      <c r="E1427" s="79"/>
      <c r="F1427" s="93"/>
      <c r="G1427" s="93"/>
      <c r="H1427" s="103"/>
      <c r="I1427" s="79"/>
      <c r="J1427" s="100"/>
      <c r="K1427" s="97"/>
      <c r="L1427" s="98"/>
      <c r="M1427" s="99" t="b">
        <v>0</v>
      </c>
      <c r="N1427" s="99"/>
      <c r="O1427" s="85"/>
      <c r="P1427" s="68"/>
    </row>
    <row r="1428">
      <c r="A1428" s="68"/>
      <c r="B1428" s="79"/>
      <c r="C1428" s="77"/>
      <c r="D1428" s="79"/>
      <c r="E1428" s="79"/>
      <c r="F1428" s="93"/>
      <c r="G1428" s="93"/>
      <c r="H1428" s="103"/>
      <c r="I1428" s="79"/>
      <c r="J1428" s="100"/>
      <c r="K1428" s="97"/>
      <c r="L1428" s="98"/>
      <c r="M1428" s="99" t="b">
        <v>0</v>
      </c>
      <c r="N1428" s="99"/>
      <c r="O1428" s="85"/>
      <c r="P1428" s="68"/>
    </row>
    <row r="1429">
      <c r="A1429" s="68"/>
      <c r="B1429" s="79"/>
      <c r="C1429" s="77"/>
      <c r="D1429" s="79"/>
      <c r="E1429" s="79"/>
      <c r="F1429" s="93"/>
      <c r="G1429" s="93"/>
      <c r="H1429" s="103"/>
      <c r="I1429" s="79"/>
      <c r="J1429" s="100"/>
      <c r="K1429" s="97"/>
      <c r="L1429" s="98"/>
      <c r="M1429" s="99" t="b">
        <v>0</v>
      </c>
      <c r="N1429" s="99"/>
      <c r="O1429" s="85"/>
      <c r="P1429" s="68"/>
    </row>
    <row r="1430">
      <c r="A1430" s="68"/>
      <c r="B1430" s="79"/>
      <c r="C1430" s="77"/>
      <c r="D1430" s="79"/>
      <c r="E1430" s="79"/>
      <c r="F1430" s="93"/>
      <c r="G1430" s="93"/>
      <c r="H1430" s="103"/>
      <c r="I1430" s="79"/>
      <c r="J1430" s="100"/>
      <c r="K1430" s="97"/>
      <c r="L1430" s="98"/>
      <c r="M1430" s="99" t="b">
        <v>0</v>
      </c>
      <c r="N1430" s="99"/>
      <c r="O1430" s="85"/>
      <c r="P1430" s="68"/>
    </row>
    <row r="1431">
      <c r="A1431" s="68"/>
      <c r="B1431" s="79"/>
      <c r="C1431" s="77"/>
      <c r="D1431" s="79"/>
      <c r="E1431" s="79"/>
      <c r="F1431" s="93"/>
      <c r="G1431" s="93"/>
      <c r="H1431" s="103"/>
      <c r="I1431" s="79"/>
      <c r="J1431" s="100"/>
      <c r="K1431" s="97"/>
      <c r="L1431" s="98"/>
      <c r="M1431" s="99" t="b">
        <v>0</v>
      </c>
      <c r="N1431" s="99"/>
      <c r="O1431" s="85"/>
      <c r="P1431" s="68"/>
    </row>
    <row r="1432">
      <c r="A1432" s="68"/>
      <c r="B1432" s="79"/>
      <c r="C1432" s="77"/>
      <c r="D1432" s="79"/>
      <c r="E1432" s="79"/>
      <c r="F1432" s="93"/>
      <c r="G1432" s="93"/>
      <c r="H1432" s="103"/>
      <c r="I1432" s="79"/>
      <c r="J1432" s="100"/>
      <c r="K1432" s="97"/>
      <c r="L1432" s="98"/>
      <c r="M1432" s="99" t="b">
        <v>0</v>
      </c>
      <c r="N1432" s="99"/>
      <c r="O1432" s="85"/>
      <c r="P1432" s="68"/>
    </row>
    <row r="1433">
      <c r="A1433" s="68"/>
      <c r="B1433" s="79"/>
      <c r="C1433" s="77"/>
      <c r="D1433" s="79"/>
      <c r="E1433" s="79"/>
      <c r="F1433" s="93"/>
      <c r="G1433" s="93"/>
      <c r="H1433" s="103"/>
      <c r="I1433" s="79"/>
      <c r="J1433" s="100"/>
      <c r="K1433" s="97"/>
      <c r="L1433" s="98"/>
      <c r="M1433" s="99" t="b">
        <v>0</v>
      </c>
      <c r="N1433" s="99"/>
      <c r="O1433" s="85"/>
      <c r="P1433" s="68"/>
    </row>
    <row r="1434">
      <c r="A1434" s="68"/>
      <c r="B1434" s="79"/>
      <c r="C1434" s="77"/>
      <c r="D1434" s="79"/>
      <c r="E1434" s="79"/>
      <c r="F1434" s="93"/>
      <c r="G1434" s="93"/>
      <c r="H1434" s="103"/>
      <c r="I1434" s="79"/>
      <c r="J1434" s="100"/>
      <c r="K1434" s="97"/>
      <c r="L1434" s="98"/>
      <c r="M1434" s="99" t="b">
        <v>0</v>
      </c>
      <c r="N1434" s="99"/>
      <c r="O1434" s="85"/>
      <c r="P1434" s="68"/>
    </row>
    <row r="1435">
      <c r="A1435" s="68"/>
      <c r="B1435" s="79"/>
      <c r="C1435" s="77"/>
      <c r="D1435" s="79"/>
      <c r="E1435" s="79"/>
      <c r="F1435" s="93"/>
      <c r="G1435" s="93"/>
      <c r="H1435" s="103"/>
      <c r="I1435" s="79"/>
      <c r="J1435" s="100"/>
      <c r="K1435" s="97"/>
      <c r="L1435" s="98"/>
      <c r="M1435" s="99" t="b">
        <v>0</v>
      </c>
      <c r="N1435" s="99"/>
      <c r="O1435" s="85"/>
      <c r="P1435" s="68"/>
    </row>
    <row r="1436">
      <c r="A1436" s="68"/>
      <c r="B1436" s="79"/>
      <c r="C1436" s="77"/>
      <c r="D1436" s="79"/>
      <c r="E1436" s="79"/>
      <c r="F1436" s="93"/>
      <c r="G1436" s="93"/>
      <c r="H1436" s="103"/>
      <c r="I1436" s="79"/>
      <c r="J1436" s="100"/>
      <c r="K1436" s="97"/>
      <c r="L1436" s="98"/>
      <c r="M1436" s="99" t="b">
        <v>0</v>
      </c>
      <c r="N1436" s="99"/>
      <c r="O1436" s="85"/>
      <c r="P1436" s="68"/>
    </row>
    <row r="1437">
      <c r="A1437" s="68"/>
      <c r="B1437" s="79"/>
      <c r="C1437" s="77"/>
      <c r="D1437" s="79"/>
      <c r="E1437" s="79"/>
      <c r="F1437" s="93"/>
      <c r="G1437" s="93"/>
      <c r="H1437" s="103"/>
      <c r="I1437" s="79"/>
      <c r="J1437" s="100"/>
      <c r="K1437" s="97"/>
      <c r="L1437" s="98"/>
      <c r="M1437" s="99" t="b">
        <v>0</v>
      </c>
      <c r="N1437" s="99"/>
      <c r="O1437" s="85"/>
      <c r="P1437" s="68"/>
    </row>
    <row r="1438">
      <c r="A1438" s="68"/>
      <c r="B1438" s="79"/>
      <c r="C1438" s="77"/>
      <c r="D1438" s="79"/>
      <c r="E1438" s="79"/>
      <c r="F1438" s="93"/>
      <c r="G1438" s="93"/>
      <c r="H1438" s="103"/>
      <c r="I1438" s="79"/>
      <c r="J1438" s="100"/>
      <c r="K1438" s="97"/>
      <c r="L1438" s="98"/>
      <c r="M1438" s="99" t="b">
        <v>0</v>
      </c>
      <c r="N1438" s="99"/>
      <c r="O1438" s="85"/>
      <c r="P1438" s="68"/>
    </row>
    <row r="1439">
      <c r="A1439" s="68"/>
      <c r="B1439" s="79"/>
      <c r="C1439" s="77"/>
      <c r="D1439" s="79"/>
      <c r="E1439" s="79"/>
      <c r="F1439" s="93"/>
      <c r="G1439" s="93"/>
      <c r="H1439" s="103"/>
      <c r="I1439" s="79"/>
      <c r="J1439" s="100"/>
      <c r="K1439" s="97"/>
      <c r="L1439" s="98"/>
      <c r="M1439" s="99" t="b">
        <v>0</v>
      </c>
      <c r="N1439" s="99"/>
      <c r="O1439" s="85"/>
      <c r="P1439" s="68"/>
    </row>
    <row r="1440">
      <c r="A1440" s="68"/>
      <c r="B1440" s="79"/>
      <c r="C1440" s="77"/>
      <c r="D1440" s="79"/>
      <c r="E1440" s="79"/>
      <c r="F1440" s="93"/>
      <c r="G1440" s="93"/>
      <c r="H1440" s="103"/>
      <c r="I1440" s="79"/>
      <c r="J1440" s="100"/>
      <c r="K1440" s="97"/>
      <c r="L1440" s="98"/>
      <c r="M1440" s="99" t="b">
        <v>0</v>
      </c>
      <c r="N1440" s="99"/>
      <c r="O1440" s="85"/>
      <c r="P1440" s="68"/>
    </row>
    <row r="1441">
      <c r="A1441" s="68"/>
      <c r="B1441" s="79"/>
      <c r="C1441" s="77"/>
      <c r="D1441" s="79"/>
      <c r="E1441" s="79"/>
      <c r="F1441" s="93"/>
      <c r="G1441" s="93"/>
      <c r="H1441" s="103"/>
      <c r="I1441" s="79"/>
      <c r="J1441" s="100"/>
      <c r="K1441" s="97"/>
      <c r="L1441" s="98"/>
      <c r="M1441" s="99" t="b">
        <v>0</v>
      </c>
      <c r="N1441" s="99"/>
      <c r="O1441" s="85"/>
      <c r="P1441" s="68"/>
    </row>
    <row r="1442">
      <c r="A1442" s="68"/>
      <c r="B1442" s="79"/>
      <c r="C1442" s="77"/>
      <c r="D1442" s="79"/>
      <c r="E1442" s="79"/>
      <c r="F1442" s="93"/>
      <c r="G1442" s="93"/>
      <c r="H1442" s="103"/>
      <c r="I1442" s="79"/>
      <c r="J1442" s="100"/>
      <c r="K1442" s="97"/>
      <c r="L1442" s="98"/>
      <c r="M1442" s="99" t="b">
        <v>0</v>
      </c>
      <c r="N1442" s="99"/>
      <c r="O1442" s="85"/>
      <c r="P1442" s="68"/>
    </row>
    <row r="1443">
      <c r="A1443" s="68"/>
      <c r="B1443" s="79"/>
      <c r="C1443" s="77"/>
      <c r="D1443" s="79"/>
      <c r="E1443" s="79"/>
      <c r="F1443" s="93"/>
      <c r="G1443" s="93"/>
      <c r="H1443" s="103"/>
      <c r="I1443" s="79"/>
      <c r="J1443" s="100"/>
      <c r="K1443" s="97"/>
      <c r="L1443" s="98"/>
      <c r="M1443" s="99" t="b">
        <v>0</v>
      </c>
      <c r="N1443" s="99"/>
      <c r="O1443" s="85"/>
      <c r="P1443" s="68"/>
    </row>
    <row r="1444">
      <c r="A1444" s="68"/>
      <c r="B1444" s="79"/>
      <c r="C1444" s="77"/>
      <c r="D1444" s="79"/>
      <c r="E1444" s="79"/>
      <c r="F1444" s="93"/>
      <c r="G1444" s="93"/>
      <c r="H1444" s="103"/>
      <c r="I1444" s="79"/>
      <c r="J1444" s="100"/>
      <c r="K1444" s="97"/>
      <c r="L1444" s="98"/>
      <c r="M1444" s="99" t="b">
        <v>0</v>
      </c>
      <c r="N1444" s="99"/>
      <c r="O1444" s="85"/>
      <c r="P1444" s="68"/>
    </row>
    <row r="1445">
      <c r="A1445" s="68"/>
      <c r="B1445" s="79"/>
      <c r="C1445" s="77"/>
      <c r="D1445" s="79"/>
      <c r="E1445" s="79"/>
      <c r="F1445" s="93"/>
      <c r="G1445" s="93"/>
      <c r="H1445" s="103"/>
      <c r="I1445" s="79"/>
      <c r="J1445" s="100"/>
      <c r="K1445" s="97"/>
      <c r="L1445" s="98"/>
      <c r="M1445" s="99" t="b">
        <v>0</v>
      </c>
      <c r="N1445" s="99"/>
      <c r="O1445" s="85"/>
      <c r="P1445" s="68"/>
    </row>
    <row r="1446">
      <c r="A1446" s="68"/>
      <c r="B1446" s="79"/>
      <c r="C1446" s="77"/>
      <c r="D1446" s="79"/>
      <c r="E1446" s="79"/>
      <c r="F1446" s="93"/>
      <c r="G1446" s="93"/>
      <c r="H1446" s="103"/>
      <c r="I1446" s="79"/>
      <c r="J1446" s="100"/>
      <c r="K1446" s="97"/>
      <c r="L1446" s="98"/>
      <c r="M1446" s="99" t="b">
        <v>0</v>
      </c>
      <c r="N1446" s="99"/>
      <c r="O1446" s="85"/>
      <c r="P1446" s="68"/>
    </row>
    <row r="1447">
      <c r="A1447" s="68"/>
      <c r="B1447" s="79"/>
      <c r="C1447" s="77"/>
      <c r="D1447" s="79"/>
      <c r="E1447" s="79"/>
      <c r="F1447" s="93"/>
      <c r="G1447" s="93"/>
      <c r="H1447" s="103"/>
      <c r="I1447" s="79"/>
      <c r="J1447" s="100"/>
      <c r="K1447" s="97"/>
      <c r="L1447" s="98"/>
      <c r="M1447" s="99" t="b">
        <v>0</v>
      </c>
      <c r="N1447" s="99"/>
      <c r="O1447" s="85"/>
      <c r="P1447" s="68"/>
    </row>
    <row r="1448">
      <c r="A1448" s="68"/>
      <c r="B1448" s="79"/>
      <c r="C1448" s="77"/>
      <c r="D1448" s="79"/>
      <c r="E1448" s="79"/>
      <c r="F1448" s="93"/>
      <c r="G1448" s="93"/>
      <c r="H1448" s="103"/>
      <c r="I1448" s="79"/>
      <c r="J1448" s="100"/>
      <c r="K1448" s="97"/>
      <c r="L1448" s="98"/>
      <c r="M1448" s="99" t="b">
        <v>0</v>
      </c>
      <c r="N1448" s="99"/>
      <c r="O1448" s="85"/>
      <c r="P1448" s="68"/>
    </row>
    <row r="1449">
      <c r="A1449" s="68"/>
      <c r="B1449" s="79"/>
      <c r="C1449" s="77"/>
      <c r="D1449" s="79"/>
      <c r="E1449" s="79"/>
      <c r="F1449" s="93"/>
      <c r="G1449" s="93"/>
      <c r="H1449" s="103"/>
      <c r="I1449" s="79"/>
      <c r="J1449" s="100"/>
      <c r="K1449" s="97"/>
      <c r="L1449" s="98"/>
      <c r="M1449" s="99" t="b">
        <v>0</v>
      </c>
      <c r="N1449" s="99"/>
      <c r="O1449" s="85"/>
      <c r="P1449" s="68"/>
    </row>
    <row r="1450">
      <c r="A1450" s="68"/>
      <c r="B1450" s="79"/>
      <c r="C1450" s="77"/>
      <c r="D1450" s="79"/>
      <c r="E1450" s="79"/>
      <c r="F1450" s="93"/>
      <c r="G1450" s="93"/>
      <c r="H1450" s="103"/>
      <c r="I1450" s="79"/>
      <c r="J1450" s="100"/>
      <c r="K1450" s="97"/>
      <c r="L1450" s="98"/>
      <c r="M1450" s="99" t="b">
        <v>0</v>
      </c>
      <c r="N1450" s="99"/>
      <c r="O1450" s="85"/>
      <c r="P1450" s="68"/>
    </row>
    <row r="1451">
      <c r="A1451" s="68"/>
      <c r="B1451" s="79"/>
      <c r="C1451" s="77"/>
      <c r="D1451" s="79"/>
      <c r="E1451" s="79"/>
      <c r="F1451" s="93"/>
      <c r="G1451" s="93"/>
      <c r="H1451" s="103"/>
      <c r="I1451" s="79"/>
      <c r="J1451" s="100"/>
      <c r="K1451" s="97"/>
      <c r="L1451" s="98"/>
      <c r="M1451" s="99" t="b">
        <v>0</v>
      </c>
      <c r="N1451" s="99"/>
      <c r="O1451" s="85"/>
      <c r="P1451" s="68"/>
    </row>
    <row r="1452">
      <c r="A1452" s="68"/>
      <c r="B1452" s="79"/>
      <c r="C1452" s="77"/>
      <c r="D1452" s="79"/>
      <c r="E1452" s="79"/>
      <c r="F1452" s="93"/>
      <c r="G1452" s="93"/>
      <c r="H1452" s="103"/>
      <c r="I1452" s="79"/>
      <c r="J1452" s="100"/>
      <c r="K1452" s="97"/>
      <c r="L1452" s="98"/>
      <c r="M1452" s="99" t="b">
        <v>0</v>
      </c>
      <c r="N1452" s="99"/>
      <c r="O1452" s="85"/>
      <c r="P1452" s="68"/>
    </row>
    <row r="1453">
      <c r="A1453" s="68"/>
      <c r="B1453" s="79"/>
      <c r="C1453" s="77"/>
      <c r="D1453" s="79"/>
      <c r="E1453" s="79"/>
      <c r="F1453" s="93"/>
      <c r="G1453" s="93"/>
      <c r="H1453" s="103"/>
      <c r="I1453" s="79"/>
      <c r="J1453" s="100"/>
      <c r="K1453" s="97"/>
      <c r="L1453" s="98"/>
      <c r="M1453" s="99" t="b">
        <v>0</v>
      </c>
      <c r="N1453" s="99"/>
      <c r="O1453" s="85"/>
      <c r="P1453" s="68"/>
    </row>
    <row r="1454">
      <c r="A1454" s="68"/>
      <c r="B1454" s="79"/>
      <c r="C1454" s="77"/>
      <c r="D1454" s="79"/>
      <c r="E1454" s="79"/>
      <c r="F1454" s="93"/>
      <c r="G1454" s="93"/>
      <c r="H1454" s="103"/>
      <c r="I1454" s="79"/>
      <c r="J1454" s="100"/>
      <c r="K1454" s="97"/>
      <c r="L1454" s="98"/>
      <c r="M1454" s="99" t="b">
        <v>0</v>
      </c>
      <c r="N1454" s="99"/>
      <c r="O1454" s="85"/>
      <c r="P1454" s="68"/>
    </row>
    <row r="1455">
      <c r="A1455" s="68"/>
      <c r="B1455" s="79"/>
      <c r="C1455" s="77"/>
      <c r="D1455" s="79"/>
      <c r="E1455" s="79"/>
      <c r="F1455" s="93"/>
      <c r="G1455" s="93"/>
      <c r="H1455" s="103"/>
      <c r="I1455" s="79"/>
      <c r="J1455" s="100"/>
      <c r="K1455" s="97"/>
      <c r="L1455" s="98"/>
      <c r="M1455" s="99" t="b">
        <v>0</v>
      </c>
      <c r="N1455" s="99"/>
      <c r="O1455" s="85"/>
      <c r="P1455" s="68"/>
    </row>
    <row r="1456">
      <c r="A1456" s="68"/>
      <c r="B1456" s="79"/>
      <c r="C1456" s="77"/>
      <c r="D1456" s="79"/>
      <c r="E1456" s="79"/>
      <c r="F1456" s="93"/>
      <c r="G1456" s="93"/>
      <c r="H1456" s="103"/>
      <c r="I1456" s="79"/>
      <c r="J1456" s="100"/>
      <c r="K1456" s="97"/>
      <c r="L1456" s="98"/>
      <c r="M1456" s="99" t="b">
        <v>0</v>
      </c>
      <c r="N1456" s="99"/>
      <c r="O1456" s="85"/>
      <c r="P1456" s="68"/>
    </row>
    <row r="1457">
      <c r="A1457" s="68"/>
      <c r="B1457" s="79"/>
      <c r="C1457" s="77"/>
      <c r="D1457" s="79"/>
      <c r="E1457" s="79"/>
      <c r="F1457" s="93"/>
      <c r="G1457" s="93"/>
      <c r="H1457" s="103"/>
      <c r="I1457" s="79"/>
      <c r="J1457" s="100"/>
      <c r="K1457" s="97"/>
      <c r="L1457" s="98"/>
      <c r="M1457" s="99" t="b">
        <v>0</v>
      </c>
      <c r="N1457" s="99"/>
      <c r="O1457" s="85"/>
      <c r="P1457" s="68"/>
    </row>
    <row r="1458">
      <c r="A1458" s="68"/>
      <c r="B1458" s="79"/>
      <c r="C1458" s="77"/>
      <c r="D1458" s="79"/>
      <c r="E1458" s="79"/>
      <c r="F1458" s="93"/>
      <c r="G1458" s="93"/>
      <c r="H1458" s="103"/>
      <c r="I1458" s="79"/>
      <c r="J1458" s="100"/>
      <c r="K1458" s="97"/>
      <c r="L1458" s="98"/>
      <c r="M1458" s="99" t="b">
        <v>0</v>
      </c>
      <c r="N1458" s="99"/>
      <c r="O1458" s="85"/>
      <c r="P1458" s="68"/>
    </row>
    <row r="1459">
      <c r="A1459" s="68"/>
      <c r="B1459" s="79"/>
      <c r="C1459" s="77"/>
      <c r="D1459" s="79"/>
      <c r="E1459" s="79"/>
      <c r="F1459" s="93"/>
      <c r="G1459" s="93"/>
      <c r="H1459" s="103"/>
      <c r="I1459" s="79"/>
      <c r="J1459" s="100"/>
      <c r="K1459" s="97"/>
      <c r="L1459" s="98"/>
      <c r="M1459" s="99" t="b">
        <v>0</v>
      </c>
      <c r="N1459" s="99"/>
      <c r="O1459" s="85"/>
      <c r="P1459" s="68"/>
    </row>
    <row r="1460">
      <c r="A1460" s="68"/>
      <c r="B1460" s="79"/>
      <c r="C1460" s="77"/>
      <c r="D1460" s="79"/>
      <c r="E1460" s="79"/>
      <c r="F1460" s="93"/>
      <c r="G1460" s="93"/>
      <c r="H1460" s="103"/>
      <c r="I1460" s="79"/>
      <c r="J1460" s="100"/>
      <c r="K1460" s="97"/>
      <c r="L1460" s="98"/>
      <c r="M1460" s="99" t="b">
        <v>0</v>
      </c>
      <c r="N1460" s="99"/>
      <c r="O1460" s="85"/>
      <c r="P1460" s="68"/>
    </row>
    <row r="1461">
      <c r="A1461" s="68"/>
      <c r="B1461" s="79"/>
      <c r="C1461" s="77"/>
      <c r="D1461" s="79"/>
      <c r="E1461" s="79"/>
      <c r="F1461" s="93"/>
      <c r="G1461" s="93"/>
      <c r="H1461" s="103"/>
      <c r="I1461" s="79"/>
      <c r="J1461" s="100"/>
      <c r="K1461" s="97"/>
      <c r="L1461" s="98"/>
      <c r="M1461" s="99" t="b">
        <v>0</v>
      </c>
      <c r="N1461" s="99"/>
      <c r="O1461" s="85"/>
      <c r="P1461" s="68"/>
    </row>
    <row r="1462">
      <c r="A1462" s="68"/>
      <c r="B1462" s="79"/>
      <c r="C1462" s="77"/>
      <c r="D1462" s="79"/>
      <c r="E1462" s="79"/>
      <c r="F1462" s="93"/>
      <c r="G1462" s="93"/>
      <c r="H1462" s="103"/>
      <c r="I1462" s="79"/>
      <c r="J1462" s="100"/>
      <c r="K1462" s="97"/>
      <c r="L1462" s="98"/>
      <c r="M1462" s="99" t="b">
        <v>0</v>
      </c>
      <c r="N1462" s="99"/>
      <c r="O1462" s="85"/>
      <c r="P1462" s="68"/>
    </row>
    <row r="1463">
      <c r="A1463" s="68"/>
      <c r="B1463" s="79"/>
      <c r="C1463" s="77"/>
      <c r="D1463" s="79"/>
      <c r="E1463" s="79"/>
      <c r="F1463" s="93"/>
      <c r="G1463" s="93"/>
      <c r="H1463" s="103"/>
      <c r="I1463" s="79"/>
      <c r="J1463" s="100"/>
      <c r="K1463" s="97"/>
      <c r="L1463" s="98"/>
      <c r="M1463" s="99" t="b">
        <v>0</v>
      </c>
      <c r="N1463" s="99"/>
      <c r="O1463" s="85"/>
      <c r="P1463" s="68"/>
    </row>
    <row r="1464">
      <c r="A1464" s="68"/>
      <c r="B1464" s="79"/>
      <c r="C1464" s="77"/>
      <c r="D1464" s="79"/>
      <c r="E1464" s="79"/>
      <c r="F1464" s="93"/>
      <c r="G1464" s="93"/>
      <c r="H1464" s="103"/>
      <c r="I1464" s="79"/>
      <c r="J1464" s="100"/>
      <c r="K1464" s="97"/>
      <c r="L1464" s="98"/>
      <c r="M1464" s="99" t="b">
        <v>0</v>
      </c>
      <c r="N1464" s="99"/>
      <c r="O1464" s="85"/>
      <c r="P1464" s="68"/>
    </row>
    <row r="1465">
      <c r="A1465" s="68"/>
      <c r="B1465" s="79"/>
      <c r="C1465" s="77"/>
      <c r="D1465" s="79"/>
      <c r="E1465" s="79"/>
      <c r="F1465" s="93"/>
      <c r="G1465" s="93"/>
      <c r="H1465" s="103"/>
      <c r="I1465" s="79"/>
      <c r="J1465" s="100"/>
      <c r="K1465" s="97"/>
      <c r="L1465" s="98"/>
      <c r="M1465" s="99" t="b">
        <v>0</v>
      </c>
      <c r="N1465" s="99"/>
      <c r="O1465" s="85"/>
      <c r="P1465" s="68"/>
    </row>
    <row r="1466">
      <c r="A1466" s="68"/>
      <c r="B1466" s="79"/>
      <c r="C1466" s="77"/>
      <c r="D1466" s="79"/>
      <c r="E1466" s="79"/>
      <c r="F1466" s="93"/>
      <c r="G1466" s="93"/>
      <c r="H1466" s="103"/>
      <c r="I1466" s="79"/>
      <c r="J1466" s="100"/>
      <c r="K1466" s="97"/>
      <c r="L1466" s="98"/>
      <c r="M1466" s="99" t="b">
        <v>0</v>
      </c>
      <c r="N1466" s="99"/>
      <c r="O1466" s="85"/>
      <c r="P1466" s="68"/>
    </row>
    <row r="1467">
      <c r="A1467" s="68"/>
      <c r="B1467" s="79"/>
      <c r="C1467" s="77"/>
      <c r="D1467" s="79"/>
      <c r="E1467" s="79"/>
      <c r="F1467" s="93"/>
      <c r="G1467" s="93"/>
      <c r="H1467" s="103"/>
      <c r="I1467" s="79"/>
      <c r="J1467" s="100"/>
      <c r="K1467" s="97"/>
      <c r="L1467" s="98"/>
      <c r="M1467" s="99" t="b">
        <v>0</v>
      </c>
      <c r="N1467" s="99"/>
      <c r="O1467" s="85"/>
      <c r="P1467" s="68"/>
    </row>
    <row r="1468">
      <c r="A1468" s="68"/>
      <c r="B1468" s="79"/>
      <c r="C1468" s="77"/>
      <c r="D1468" s="79"/>
      <c r="E1468" s="79"/>
      <c r="F1468" s="93"/>
      <c r="G1468" s="93"/>
      <c r="H1468" s="103"/>
      <c r="I1468" s="79"/>
      <c r="J1468" s="100"/>
      <c r="K1468" s="97"/>
      <c r="L1468" s="98"/>
      <c r="M1468" s="99" t="b">
        <v>0</v>
      </c>
      <c r="N1468" s="99"/>
      <c r="O1468" s="85"/>
      <c r="P1468" s="68"/>
    </row>
    <row r="1469">
      <c r="A1469" s="68"/>
      <c r="B1469" s="79"/>
      <c r="C1469" s="77"/>
      <c r="D1469" s="79"/>
      <c r="E1469" s="79"/>
      <c r="F1469" s="93"/>
      <c r="G1469" s="93"/>
      <c r="H1469" s="103"/>
      <c r="I1469" s="79"/>
      <c r="J1469" s="100"/>
      <c r="K1469" s="97"/>
      <c r="L1469" s="98"/>
      <c r="M1469" s="99" t="b">
        <v>0</v>
      </c>
      <c r="N1469" s="99"/>
      <c r="O1469" s="85"/>
      <c r="P1469" s="68"/>
    </row>
    <row r="1470">
      <c r="A1470" s="68"/>
      <c r="B1470" s="79"/>
      <c r="C1470" s="77"/>
      <c r="D1470" s="79"/>
      <c r="E1470" s="79"/>
      <c r="F1470" s="93"/>
      <c r="G1470" s="93"/>
      <c r="H1470" s="103"/>
      <c r="I1470" s="79"/>
      <c r="J1470" s="100"/>
      <c r="K1470" s="97"/>
      <c r="L1470" s="98"/>
      <c r="M1470" s="99" t="b">
        <v>0</v>
      </c>
      <c r="N1470" s="99"/>
      <c r="O1470" s="85"/>
      <c r="P1470" s="68"/>
    </row>
    <row r="1471">
      <c r="A1471" s="68"/>
      <c r="B1471" s="79"/>
      <c r="C1471" s="77"/>
      <c r="D1471" s="79"/>
      <c r="E1471" s="79"/>
      <c r="F1471" s="93"/>
      <c r="G1471" s="93"/>
      <c r="H1471" s="103"/>
      <c r="I1471" s="79"/>
      <c r="J1471" s="100"/>
      <c r="K1471" s="97"/>
      <c r="L1471" s="98"/>
      <c r="M1471" s="99" t="b">
        <v>0</v>
      </c>
      <c r="N1471" s="99"/>
      <c r="O1471" s="85"/>
      <c r="P1471" s="68"/>
    </row>
    <row r="1472">
      <c r="A1472" s="68"/>
      <c r="B1472" s="79"/>
      <c r="C1472" s="77"/>
      <c r="D1472" s="79"/>
      <c r="E1472" s="79"/>
      <c r="F1472" s="93"/>
      <c r="G1472" s="93"/>
      <c r="H1472" s="103"/>
      <c r="I1472" s="79"/>
      <c r="J1472" s="100"/>
      <c r="K1472" s="97"/>
      <c r="L1472" s="98"/>
      <c r="M1472" s="99" t="b">
        <v>0</v>
      </c>
      <c r="N1472" s="99"/>
      <c r="O1472" s="85"/>
      <c r="P1472" s="68"/>
    </row>
    <row r="1473">
      <c r="A1473" s="68"/>
      <c r="B1473" s="79"/>
      <c r="C1473" s="77"/>
      <c r="D1473" s="79"/>
      <c r="E1473" s="79"/>
      <c r="F1473" s="93"/>
      <c r="G1473" s="93"/>
      <c r="H1473" s="103"/>
      <c r="I1473" s="79"/>
      <c r="J1473" s="100"/>
      <c r="K1473" s="97"/>
      <c r="L1473" s="98"/>
      <c r="M1473" s="99" t="b">
        <v>0</v>
      </c>
      <c r="N1473" s="99"/>
      <c r="O1473" s="85"/>
      <c r="P1473" s="68"/>
    </row>
    <row r="1474">
      <c r="A1474" s="68"/>
      <c r="B1474" s="79"/>
      <c r="C1474" s="77"/>
      <c r="D1474" s="79"/>
      <c r="E1474" s="79"/>
      <c r="F1474" s="93"/>
      <c r="G1474" s="93"/>
      <c r="H1474" s="103"/>
      <c r="I1474" s="79"/>
      <c r="J1474" s="100"/>
      <c r="K1474" s="97"/>
      <c r="L1474" s="98"/>
      <c r="M1474" s="99" t="b">
        <v>0</v>
      </c>
      <c r="N1474" s="99"/>
      <c r="O1474" s="85"/>
      <c r="P1474" s="68"/>
    </row>
    <row r="1475">
      <c r="A1475" s="68"/>
      <c r="B1475" s="79"/>
      <c r="C1475" s="77"/>
      <c r="D1475" s="79"/>
      <c r="E1475" s="79"/>
      <c r="F1475" s="93"/>
      <c r="G1475" s="93"/>
      <c r="H1475" s="103"/>
      <c r="I1475" s="79"/>
      <c r="J1475" s="100"/>
      <c r="K1475" s="97"/>
      <c r="L1475" s="98"/>
      <c r="M1475" s="99" t="b">
        <v>0</v>
      </c>
      <c r="N1475" s="99"/>
      <c r="O1475" s="85"/>
      <c r="P1475" s="68"/>
    </row>
    <row r="1476">
      <c r="A1476" s="68"/>
      <c r="B1476" s="79"/>
      <c r="C1476" s="77"/>
      <c r="D1476" s="79"/>
      <c r="E1476" s="79"/>
      <c r="F1476" s="93"/>
      <c r="G1476" s="93"/>
      <c r="H1476" s="103"/>
      <c r="I1476" s="79"/>
      <c r="J1476" s="100"/>
      <c r="K1476" s="97"/>
      <c r="L1476" s="98"/>
      <c r="M1476" s="99" t="b">
        <v>0</v>
      </c>
      <c r="N1476" s="99"/>
      <c r="O1476" s="85"/>
      <c r="P1476" s="68"/>
    </row>
    <row r="1477">
      <c r="A1477" s="68"/>
      <c r="B1477" s="79"/>
      <c r="C1477" s="77"/>
      <c r="D1477" s="79"/>
      <c r="E1477" s="79"/>
      <c r="F1477" s="93"/>
      <c r="G1477" s="93"/>
      <c r="H1477" s="103"/>
      <c r="I1477" s="79"/>
      <c r="J1477" s="100"/>
      <c r="K1477" s="97"/>
      <c r="L1477" s="98"/>
      <c r="M1477" s="99" t="b">
        <v>0</v>
      </c>
      <c r="N1477" s="99"/>
      <c r="O1477" s="85"/>
      <c r="P1477" s="68"/>
    </row>
    <row r="1478">
      <c r="A1478" s="68"/>
      <c r="B1478" s="79"/>
      <c r="C1478" s="77"/>
      <c r="D1478" s="79"/>
      <c r="E1478" s="79"/>
      <c r="F1478" s="93"/>
      <c r="G1478" s="93"/>
      <c r="H1478" s="103"/>
      <c r="I1478" s="79"/>
      <c r="J1478" s="100"/>
      <c r="K1478" s="97"/>
      <c r="L1478" s="98"/>
      <c r="M1478" s="99" t="b">
        <v>0</v>
      </c>
      <c r="N1478" s="99"/>
      <c r="O1478" s="85"/>
      <c r="P1478" s="68"/>
    </row>
    <row r="1479">
      <c r="A1479" s="68"/>
      <c r="B1479" s="79"/>
      <c r="C1479" s="77"/>
      <c r="D1479" s="79"/>
      <c r="E1479" s="79"/>
      <c r="F1479" s="93"/>
      <c r="G1479" s="93"/>
      <c r="H1479" s="103"/>
      <c r="I1479" s="79"/>
      <c r="J1479" s="100"/>
      <c r="K1479" s="97"/>
      <c r="L1479" s="98"/>
      <c r="M1479" s="99" t="b">
        <v>0</v>
      </c>
      <c r="N1479" s="99"/>
      <c r="O1479" s="85"/>
      <c r="P1479" s="68"/>
    </row>
    <row r="1480">
      <c r="A1480" s="68"/>
      <c r="B1480" s="79"/>
      <c r="C1480" s="77"/>
      <c r="D1480" s="79"/>
      <c r="E1480" s="79"/>
      <c r="F1480" s="93"/>
      <c r="G1480" s="93"/>
      <c r="H1480" s="103"/>
      <c r="I1480" s="79"/>
      <c r="J1480" s="100"/>
      <c r="K1480" s="97"/>
      <c r="L1480" s="98"/>
      <c r="M1480" s="99" t="b">
        <v>0</v>
      </c>
      <c r="N1480" s="99"/>
      <c r="O1480" s="85"/>
      <c r="P1480" s="68"/>
    </row>
    <row r="1481">
      <c r="A1481" s="68"/>
      <c r="B1481" s="79"/>
      <c r="C1481" s="77"/>
      <c r="D1481" s="79"/>
      <c r="E1481" s="79"/>
      <c r="F1481" s="93"/>
      <c r="G1481" s="93"/>
      <c r="H1481" s="103"/>
      <c r="I1481" s="79"/>
      <c r="J1481" s="100"/>
      <c r="K1481" s="97"/>
      <c r="L1481" s="98"/>
      <c r="M1481" s="99" t="b">
        <v>0</v>
      </c>
      <c r="N1481" s="99"/>
      <c r="O1481" s="85"/>
      <c r="P1481" s="68"/>
    </row>
    <row r="1482">
      <c r="A1482" s="68"/>
      <c r="B1482" s="79"/>
      <c r="C1482" s="77"/>
      <c r="D1482" s="79"/>
      <c r="E1482" s="79"/>
      <c r="F1482" s="93"/>
      <c r="G1482" s="93"/>
      <c r="H1482" s="103"/>
      <c r="I1482" s="79"/>
      <c r="J1482" s="100"/>
      <c r="K1482" s="97"/>
      <c r="L1482" s="98"/>
      <c r="M1482" s="99" t="b">
        <v>0</v>
      </c>
      <c r="N1482" s="99"/>
      <c r="O1482" s="85"/>
      <c r="P1482" s="68"/>
    </row>
    <row r="1483">
      <c r="A1483" s="68"/>
      <c r="B1483" s="79"/>
      <c r="C1483" s="77"/>
      <c r="D1483" s="79"/>
      <c r="E1483" s="79"/>
      <c r="F1483" s="93"/>
      <c r="G1483" s="93"/>
      <c r="H1483" s="103"/>
      <c r="I1483" s="79"/>
      <c r="J1483" s="100"/>
      <c r="K1483" s="97"/>
      <c r="L1483" s="98"/>
      <c r="M1483" s="99" t="b">
        <v>0</v>
      </c>
      <c r="N1483" s="99"/>
      <c r="O1483" s="85"/>
      <c r="P1483" s="68"/>
    </row>
    <row r="1484">
      <c r="A1484" s="68"/>
      <c r="B1484" s="79"/>
      <c r="C1484" s="77"/>
      <c r="D1484" s="79"/>
      <c r="E1484" s="79"/>
      <c r="F1484" s="93"/>
      <c r="G1484" s="93"/>
      <c r="H1484" s="103"/>
      <c r="I1484" s="79"/>
      <c r="J1484" s="100"/>
      <c r="K1484" s="97"/>
      <c r="L1484" s="98"/>
      <c r="M1484" s="99" t="b">
        <v>0</v>
      </c>
      <c r="N1484" s="99"/>
      <c r="O1484" s="85"/>
      <c r="P1484" s="68"/>
    </row>
    <row r="1485">
      <c r="A1485" s="68"/>
      <c r="B1485" s="79"/>
      <c r="C1485" s="77"/>
      <c r="D1485" s="79"/>
      <c r="E1485" s="79"/>
      <c r="F1485" s="93"/>
      <c r="G1485" s="93"/>
      <c r="H1485" s="103"/>
      <c r="I1485" s="79"/>
      <c r="J1485" s="100"/>
      <c r="K1485" s="97"/>
      <c r="L1485" s="98"/>
      <c r="M1485" s="99" t="b">
        <v>0</v>
      </c>
      <c r="N1485" s="99"/>
      <c r="O1485" s="85"/>
      <c r="P1485" s="68"/>
    </row>
    <row r="1486">
      <c r="A1486" s="68"/>
      <c r="B1486" s="79"/>
      <c r="C1486" s="77"/>
      <c r="D1486" s="79"/>
      <c r="E1486" s="79"/>
      <c r="F1486" s="93"/>
      <c r="G1486" s="93"/>
      <c r="H1486" s="103"/>
      <c r="I1486" s="79"/>
      <c r="J1486" s="100"/>
      <c r="K1486" s="97"/>
      <c r="L1486" s="98"/>
      <c r="M1486" s="99" t="b">
        <v>0</v>
      </c>
      <c r="N1486" s="99"/>
      <c r="O1486" s="85"/>
      <c r="P1486" s="68"/>
    </row>
    <row r="1487">
      <c r="A1487" s="68"/>
      <c r="B1487" s="79"/>
      <c r="C1487" s="77"/>
      <c r="D1487" s="79"/>
      <c r="E1487" s="79"/>
      <c r="F1487" s="93"/>
      <c r="G1487" s="93"/>
      <c r="H1487" s="103"/>
      <c r="I1487" s="79"/>
      <c r="J1487" s="100"/>
      <c r="K1487" s="97"/>
      <c r="L1487" s="98"/>
      <c r="M1487" s="99" t="b">
        <v>0</v>
      </c>
      <c r="N1487" s="99"/>
      <c r="O1487" s="85"/>
      <c r="P1487" s="68"/>
    </row>
    <row r="1488">
      <c r="A1488" s="68"/>
      <c r="B1488" s="79"/>
      <c r="C1488" s="77"/>
      <c r="D1488" s="79"/>
      <c r="E1488" s="79"/>
      <c r="F1488" s="93"/>
      <c r="G1488" s="93"/>
      <c r="H1488" s="103"/>
      <c r="I1488" s="79"/>
      <c r="J1488" s="100"/>
      <c r="K1488" s="97"/>
      <c r="L1488" s="98"/>
      <c r="M1488" s="99" t="b">
        <v>0</v>
      </c>
      <c r="N1488" s="99"/>
      <c r="O1488" s="85"/>
      <c r="P1488" s="68"/>
    </row>
    <row r="1489">
      <c r="A1489" s="68"/>
      <c r="B1489" s="79"/>
      <c r="C1489" s="77"/>
      <c r="D1489" s="79"/>
      <c r="E1489" s="79"/>
      <c r="F1489" s="93"/>
      <c r="G1489" s="93"/>
      <c r="H1489" s="103"/>
      <c r="I1489" s="79"/>
      <c r="J1489" s="100"/>
      <c r="K1489" s="97"/>
      <c r="L1489" s="98"/>
      <c r="M1489" s="99" t="b">
        <v>0</v>
      </c>
      <c r="N1489" s="99"/>
      <c r="O1489" s="85"/>
      <c r="P1489" s="68"/>
    </row>
    <row r="1490">
      <c r="A1490" s="68"/>
      <c r="B1490" s="79"/>
      <c r="C1490" s="77"/>
      <c r="D1490" s="79"/>
      <c r="E1490" s="79"/>
      <c r="F1490" s="93"/>
      <c r="G1490" s="93"/>
      <c r="H1490" s="103"/>
      <c r="I1490" s="79"/>
      <c r="J1490" s="100"/>
      <c r="K1490" s="97"/>
      <c r="L1490" s="98"/>
      <c r="M1490" s="99" t="b">
        <v>0</v>
      </c>
      <c r="N1490" s="99"/>
      <c r="O1490" s="85"/>
      <c r="P1490" s="68"/>
    </row>
    <row r="1491">
      <c r="A1491" s="68"/>
      <c r="B1491" s="79"/>
      <c r="C1491" s="77"/>
      <c r="D1491" s="79"/>
      <c r="E1491" s="79"/>
      <c r="F1491" s="93"/>
      <c r="G1491" s="93"/>
      <c r="H1491" s="103"/>
      <c r="I1491" s="79"/>
      <c r="J1491" s="100"/>
      <c r="K1491" s="97"/>
      <c r="L1491" s="98"/>
      <c r="M1491" s="99" t="b">
        <v>0</v>
      </c>
      <c r="N1491" s="99"/>
      <c r="O1491" s="85"/>
      <c r="P1491" s="68"/>
    </row>
    <row r="1492">
      <c r="A1492" s="68"/>
      <c r="B1492" s="79"/>
      <c r="C1492" s="77"/>
      <c r="D1492" s="79"/>
      <c r="E1492" s="79"/>
      <c r="F1492" s="93"/>
      <c r="G1492" s="93"/>
      <c r="H1492" s="103"/>
      <c r="I1492" s="79"/>
      <c r="J1492" s="100"/>
      <c r="K1492" s="97"/>
      <c r="L1492" s="98"/>
      <c r="M1492" s="99" t="b">
        <v>0</v>
      </c>
      <c r="N1492" s="99"/>
      <c r="O1492" s="85"/>
      <c r="P1492" s="68"/>
    </row>
    <row r="1493">
      <c r="A1493" s="68"/>
      <c r="B1493" s="79"/>
      <c r="C1493" s="77"/>
      <c r="D1493" s="79"/>
      <c r="E1493" s="79"/>
      <c r="F1493" s="93"/>
      <c r="G1493" s="93"/>
      <c r="H1493" s="103"/>
      <c r="I1493" s="79"/>
      <c r="J1493" s="100"/>
      <c r="K1493" s="97"/>
      <c r="L1493" s="98"/>
      <c r="M1493" s="99" t="b">
        <v>0</v>
      </c>
      <c r="N1493" s="99"/>
      <c r="O1493" s="85"/>
      <c r="P1493" s="68"/>
    </row>
    <row r="1494">
      <c r="A1494" s="68"/>
      <c r="B1494" s="79"/>
      <c r="C1494" s="77"/>
      <c r="D1494" s="79"/>
      <c r="E1494" s="79"/>
      <c r="F1494" s="93"/>
      <c r="G1494" s="93"/>
      <c r="H1494" s="103"/>
      <c r="I1494" s="79"/>
      <c r="J1494" s="100"/>
      <c r="K1494" s="97"/>
      <c r="L1494" s="98"/>
      <c r="M1494" s="99" t="b">
        <v>0</v>
      </c>
      <c r="N1494" s="99"/>
      <c r="O1494" s="85"/>
      <c r="P1494" s="68"/>
    </row>
    <row r="1495">
      <c r="A1495" s="68"/>
      <c r="B1495" s="79"/>
      <c r="C1495" s="77"/>
      <c r="D1495" s="79"/>
      <c r="E1495" s="79"/>
      <c r="F1495" s="93"/>
      <c r="G1495" s="93"/>
      <c r="H1495" s="103"/>
      <c r="I1495" s="79"/>
      <c r="J1495" s="100"/>
      <c r="K1495" s="97"/>
      <c r="L1495" s="98"/>
      <c r="M1495" s="99" t="b">
        <v>0</v>
      </c>
      <c r="N1495" s="99"/>
      <c r="O1495" s="85"/>
      <c r="P1495" s="68"/>
    </row>
    <row r="1496">
      <c r="A1496" s="68"/>
      <c r="B1496" s="79"/>
      <c r="C1496" s="77"/>
      <c r="D1496" s="79"/>
      <c r="E1496" s="79"/>
      <c r="F1496" s="93"/>
      <c r="G1496" s="93"/>
      <c r="H1496" s="103"/>
      <c r="I1496" s="79"/>
      <c r="J1496" s="100"/>
      <c r="K1496" s="97"/>
      <c r="L1496" s="98"/>
      <c r="M1496" s="99" t="b">
        <v>0</v>
      </c>
      <c r="N1496" s="99"/>
      <c r="O1496" s="85"/>
      <c r="P1496" s="68"/>
    </row>
    <row r="1497">
      <c r="A1497" s="68"/>
      <c r="B1497" s="79"/>
      <c r="C1497" s="77"/>
      <c r="D1497" s="79"/>
      <c r="E1497" s="79"/>
      <c r="F1497" s="93"/>
      <c r="G1497" s="93"/>
      <c r="H1497" s="103"/>
      <c r="I1497" s="79"/>
      <c r="J1497" s="100"/>
      <c r="K1497" s="97"/>
      <c r="L1497" s="98"/>
      <c r="M1497" s="99" t="b">
        <v>0</v>
      </c>
      <c r="N1497" s="99"/>
      <c r="O1497" s="85"/>
      <c r="P1497" s="68"/>
    </row>
    <row r="1498">
      <c r="A1498" s="68"/>
      <c r="B1498" s="79"/>
      <c r="C1498" s="77"/>
      <c r="D1498" s="79"/>
      <c r="E1498" s="79"/>
      <c r="F1498" s="93"/>
      <c r="G1498" s="93"/>
      <c r="H1498" s="103"/>
      <c r="I1498" s="79"/>
      <c r="J1498" s="100"/>
      <c r="K1498" s="97"/>
      <c r="L1498" s="98"/>
      <c r="M1498" s="99" t="b">
        <v>0</v>
      </c>
      <c r="N1498" s="99"/>
      <c r="O1498" s="85"/>
      <c r="P1498" s="68"/>
    </row>
    <row r="1499">
      <c r="A1499" s="68"/>
      <c r="B1499" s="79"/>
      <c r="C1499" s="77"/>
      <c r="D1499" s="79"/>
      <c r="E1499" s="79"/>
      <c r="F1499" s="93"/>
      <c r="G1499" s="93"/>
      <c r="H1499" s="103"/>
      <c r="I1499" s="79"/>
      <c r="J1499" s="100"/>
      <c r="K1499" s="97"/>
      <c r="L1499" s="98"/>
      <c r="M1499" s="99" t="b">
        <v>0</v>
      </c>
      <c r="N1499" s="99"/>
      <c r="O1499" s="85"/>
      <c r="P1499" s="68"/>
    </row>
    <row r="1500">
      <c r="A1500" s="68"/>
      <c r="B1500" s="79"/>
      <c r="C1500" s="77"/>
      <c r="D1500" s="79"/>
      <c r="E1500" s="79"/>
      <c r="F1500" s="93"/>
      <c r="G1500" s="93"/>
      <c r="H1500" s="103"/>
      <c r="I1500" s="79"/>
      <c r="J1500" s="100"/>
      <c r="K1500" s="97"/>
      <c r="L1500" s="98"/>
      <c r="M1500" s="99" t="b">
        <v>0</v>
      </c>
      <c r="N1500" s="99"/>
      <c r="O1500" s="85"/>
      <c r="P1500" s="68"/>
    </row>
    <row r="1501">
      <c r="A1501" s="68"/>
      <c r="B1501" s="79"/>
      <c r="C1501" s="77"/>
      <c r="D1501" s="79"/>
      <c r="E1501" s="79"/>
      <c r="F1501" s="93"/>
      <c r="G1501" s="93"/>
      <c r="H1501" s="103"/>
      <c r="I1501" s="79"/>
      <c r="J1501" s="100"/>
      <c r="K1501" s="97"/>
      <c r="L1501" s="98"/>
      <c r="M1501" s="99" t="b">
        <v>0</v>
      </c>
      <c r="N1501" s="99"/>
      <c r="O1501" s="85"/>
      <c r="P1501" s="68"/>
    </row>
    <row r="1502">
      <c r="A1502" s="68"/>
      <c r="B1502" s="79"/>
      <c r="C1502" s="77"/>
      <c r="D1502" s="79"/>
      <c r="E1502" s="79"/>
      <c r="F1502" s="93"/>
      <c r="G1502" s="93"/>
      <c r="H1502" s="103"/>
      <c r="I1502" s="79"/>
      <c r="J1502" s="100"/>
      <c r="K1502" s="97"/>
      <c r="L1502" s="98"/>
      <c r="M1502" s="99" t="b">
        <v>0</v>
      </c>
      <c r="N1502" s="99"/>
      <c r="O1502" s="85"/>
      <c r="P1502" s="68"/>
    </row>
    <row r="1503">
      <c r="A1503" s="68"/>
      <c r="B1503" s="79"/>
      <c r="C1503" s="77"/>
      <c r="D1503" s="79"/>
      <c r="E1503" s="79"/>
      <c r="F1503" s="93"/>
      <c r="G1503" s="93"/>
      <c r="H1503" s="103"/>
      <c r="I1503" s="79"/>
      <c r="J1503" s="100"/>
      <c r="K1503" s="97"/>
      <c r="L1503" s="98"/>
      <c r="M1503" s="99" t="b">
        <v>0</v>
      </c>
      <c r="N1503" s="99"/>
      <c r="O1503" s="85"/>
      <c r="P1503" s="68"/>
    </row>
    <row r="1504">
      <c r="A1504" s="68"/>
      <c r="B1504" s="79"/>
      <c r="C1504" s="77"/>
      <c r="D1504" s="79"/>
      <c r="E1504" s="79"/>
      <c r="F1504" s="93"/>
      <c r="G1504" s="93"/>
      <c r="H1504" s="103"/>
      <c r="I1504" s="79"/>
      <c r="J1504" s="100"/>
      <c r="K1504" s="97"/>
      <c r="L1504" s="98"/>
      <c r="M1504" s="99" t="b">
        <v>0</v>
      </c>
      <c r="N1504" s="99"/>
      <c r="O1504" s="85"/>
      <c r="P1504" s="68"/>
    </row>
    <row r="1505">
      <c r="A1505" s="68"/>
      <c r="B1505" s="79"/>
      <c r="C1505" s="77"/>
      <c r="D1505" s="79"/>
      <c r="E1505" s="79"/>
      <c r="F1505" s="93"/>
      <c r="G1505" s="93"/>
      <c r="H1505" s="103"/>
      <c r="I1505" s="79"/>
      <c r="J1505" s="100"/>
      <c r="K1505" s="97"/>
      <c r="L1505" s="98"/>
      <c r="M1505" s="99" t="b">
        <v>0</v>
      </c>
      <c r="N1505" s="99"/>
      <c r="O1505" s="85"/>
      <c r="P1505" s="68"/>
    </row>
    <row r="1506">
      <c r="A1506" s="68"/>
      <c r="B1506" s="79"/>
      <c r="C1506" s="77"/>
      <c r="D1506" s="79"/>
      <c r="E1506" s="79"/>
      <c r="F1506" s="93"/>
      <c r="G1506" s="93"/>
      <c r="H1506" s="103"/>
      <c r="I1506" s="79"/>
      <c r="J1506" s="100"/>
      <c r="K1506" s="97"/>
      <c r="L1506" s="98"/>
      <c r="M1506" s="99" t="b">
        <v>0</v>
      </c>
      <c r="N1506" s="99"/>
      <c r="O1506" s="85"/>
      <c r="P1506" s="68"/>
    </row>
    <row r="1507">
      <c r="A1507" s="68"/>
      <c r="B1507" s="79"/>
      <c r="C1507" s="77"/>
      <c r="D1507" s="79"/>
      <c r="E1507" s="79"/>
      <c r="F1507" s="93"/>
      <c r="G1507" s="93"/>
      <c r="H1507" s="103"/>
      <c r="I1507" s="79"/>
      <c r="J1507" s="100"/>
      <c r="K1507" s="97"/>
      <c r="L1507" s="98"/>
      <c r="M1507" s="99" t="b">
        <v>0</v>
      </c>
      <c r="N1507" s="99"/>
      <c r="O1507" s="85"/>
      <c r="P1507" s="68"/>
    </row>
    <row r="1508">
      <c r="A1508" s="68"/>
      <c r="B1508" s="79"/>
      <c r="C1508" s="77"/>
      <c r="D1508" s="79"/>
      <c r="E1508" s="79"/>
      <c r="F1508" s="93"/>
      <c r="G1508" s="93"/>
      <c r="H1508" s="103"/>
      <c r="I1508" s="79"/>
      <c r="J1508" s="100"/>
      <c r="K1508" s="97"/>
      <c r="L1508" s="98"/>
      <c r="M1508" s="99" t="b">
        <v>0</v>
      </c>
      <c r="N1508" s="99"/>
      <c r="O1508" s="85"/>
      <c r="P1508" s="68"/>
    </row>
    <row r="1509">
      <c r="A1509" s="68"/>
      <c r="B1509" s="79"/>
      <c r="C1509" s="77"/>
      <c r="D1509" s="79"/>
      <c r="E1509" s="79"/>
      <c r="F1509" s="93"/>
      <c r="G1509" s="93"/>
      <c r="H1509" s="103"/>
      <c r="I1509" s="79"/>
      <c r="J1509" s="100"/>
      <c r="K1509" s="97"/>
      <c r="L1509" s="98"/>
      <c r="M1509" s="99" t="b">
        <v>0</v>
      </c>
      <c r="N1509" s="99"/>
      <c r="O1509" s="85"/>
      <c r="P1509" s="68"/>
    </row>
    <row r="1510">
      <c r="A1510" s="68"/>
      <c r="B1510" s="79"/>
      <c r="C1510" s="77"/>
      <c r="D1510" s="79"/>
      <c r="E1510" s="79"/>
      <c r="F1510" s="93"/>
      <c r="G1510" s="93"/>
      <c r="H1510" s="103"/>
      <c r="I1510" s="79"/>
      <c r="J1510" s="100"/>
      <c r="K1510" s="97"/>
      <c r="L1510" s="98"/>
      <c r="M1510" s="99" t="b">
        <v>0</v>
      </c>
      <c r="N1510" s="99"/>
      <c r="O1510" s="85"/>
      <c r="P1510" s="68"/>
    </row>
    <row r="1511">
      <c r="A1511" s="68"/>
      <c r="B1511" s="79"/>
      <c r="C1511" s="77"/>
      <c r="D1511" s="79"/>
      <c r="E1511" s="79"/>
      <c r="F1511" s="93"/>
      <c r="G1511" s="93"/>
      <c r="H1511" s="103"/>
      <c r="I1511" s="79"/>
      <c r="J1511" s="100"/>
      <c r="K1511" s="97"/>
      <c r="L1511" s="98"/>
      <c r="M1511" s="99" t="b">
        <v>0</v>
      </c>
      <c r="N1511" s="99"/>
      <c r="O1511" s="85"/>
      <c r="P1511" s="68"/>
    </row>
    <row r="1512">
      <c r="A1512" s="68"/>
      <c r="B1512" s="79"/>
      <c r="C1512" s="77"/>
      <c r="D1512" s="79"/>
      <c r="E1512" s="79"/>
      <c r="F1512" s="93"/>
      <c r="G1512" s="93"/>
      <c r="H1512" s="103"/>
      <c r="I1512" s="79"/>
      <c r="J1512" s="100"/>
      <c r="K1512" s="97"/>
      <c r="L1512" s="98"/>
      <c r="M1512" s="99" t="b">
        <v>0</v>
      </c>
      <c r="N1512" s="99"/>
      <c r="O1512" s="85"/>
      <c r="P1512" s="68"/>
    </row>
    <row r="1513">
      <c r="A1513" s="68"/>
      <c r="B1513" s="79"/>
      <c r="C1513" s="77"/>
      <c r="D1513" s="79"/>
      <c r="E1513" s="79"/>
      <c r="F1513" s="93"/>
      <c r="G1513" s="93"/>
      <c r="H1513" s="103"/>
      <c r="I1513" s="79"/>
      <c r="J1513" s="100"/>
      <c r="K1513" s="97"/>
      <c r="L1513" s="98"/>
      <c r="M1513" s="99" t="b">
        <v>0</v>
      </c>
      <c r="N1513" s="99"/>
      <c r="O1513" s="85"/>
      <c r="P1513" s="68"/>
    </row>
    <row r="1514">
      <c r="A1514" s="68"/>
      <c r="B1514" s="79"/>
      <c r="C1514" s="77"/>
      <c r="D1514" s="79"/>
      <c r="E1514" s="79"/>
      <c r="F1514" s="93"/>
      <c r="G1514" s="93"/>
      <c r="H1514" s="103"/>
      <c r="I1514" s="79"/>
      <c r="J1514" s="100"/>
      <c r="K1514" s="97"/>
      <c r="L1514" s="98"/>
      <c r="M1514" s="99" t="b">
        <v>0</v>
      </c>
      <c r="N1514" s="99"/>
      <c r="O1514" s="85"/>
      <c r="P1514" s="68"/>
    </row>
    <row r="1515">
      <c r="A1515" s="68"/>
      <c r="B1515" s="79"/>
      <c r="C1515" s="77"/>
      <c r="D1515" s="79"/>
      <c r="E1515" s="79"/>
      <c r="F1515" s="93"/>
      <c r="G1515" s="93"/>
      <c r="H1515" s="103"/>
      <c r="I1515" s="79"/>
      <c r="J1515" s="100"/>
      <c r="K1515" s="97"/>
      <c r="L1515" s="98"/>
      <c r="M1515" s="99" t="b">
        <v>0</v>
      </c>
      <c r="N1515" s="99"/>
      <c r="O1515" s="85"/>
      <c r="P1515" s="68"/>
    </row>
    <row r="1516">
      <c r="A1516" s="68"/>
      <c r="B1516" s="79"/>
      <c r="C1516" s="77"/>
      <c r="D1516" s="79"/>
      <c r="E1516" s="79"/>
      <c r="F1516" s="93"/>
      <c r="G1516" s="93"/>
      <c r="H1516" s="103"/>
      <c r="I1516" s="79"/>
      <c r="J1516" s="100"/>
      <c r="K1516" s="97"/>
      <c r="L1516" s="98"/>
      <c r="M1516" s="99" t="b">
        <v>0</v>
      </c>
      <c r="N1516" s="99"/>
      <c r="O1516" s="85"/>
      <c r="P1516" s="68"/>
    </row>
    <row r="1517">
      <c r="A1517" s="68"/>
      <c r="B1517" s="79"/>
      <c r="C1517" s="77"/>
      <c r="D1517" s="79"/>
      <c r="E1517" s="79"/>
      <c r="F1517" s="93"/>
      <c r="G1517" s="93"/>
      <c r="H1517" s="103"/>
      <c r="I1517" s="79"/>
      <c r="J1517" s="100"/>
      <c r="K1517" s="97"/>
      <c r="L1517" s="98"/>
      <c r="M1517" s="99" t="b">
        <v>0</v>
      </c>
      <c r="N1517" s="99"/>
      <c r="O1517" s="85"/>
      <c r="P1517" s="68"/>
    </row>
    <row r="1518">
      <c r="A1518" s="68"/>
      <c r="B1518" s="79"/>
      <c r="C1518" s="77"/>
      <c r="D1518" s="79"/>
      <c r="E1518" s="79"/>
      <c r="F1518" s="93"/>
      <c r="G1518" s="93"/>
      <c r="H1518" s="103"/>
      <c r="I1518" s="79"/>
      <c r="J1518" s="100"/>
      <c r="K1518" s="97"/>
      <c r="L1518" s="98"/>
      <c r="M1518" s="99" t="b">
        <v>0</v>
      </c>
      <c r="N1518" s="99"/>
      <c r="O1518" s="85"/>
      <c r="P1518" s="68"/>
    </row>
    <row r="1519">
      <c r="A1519" s="68"/>
      <c r="B1519" s="79"/>
      <c r="C1519" s="77"/>
      <c r="D1519" s="79"/>
      <c r="E1519" s="79"/>
      <c r="F1519" s="93"/>
      <c r="G1519" s="93"/>
      <c r="H1519" s="103"/>
      <c r="I1519" s="79"/>
      <c r="J1519" s="100"/>
      <c r="K1519" s="97"/>
      <c r="L1519" s="98"/>
      <c r="M1519" s="99" t="b">
        <v>0</v>
      </c>
      <c r="N1519" s="99"/>
      <c r="O1519" s="85"/>
      <c r="P1519" s="68"/>
    </row>
    <row r="1520">
      <c r="A1520" s="68"/>
      <c r="B1520" s="79"/>
      <c r="C1520" s="77"/>
      <c r="D1520" s="79"/>
      <c r="E1520" s="79"/>
      <c r="F1520" s="93"/>
      <c r="G1520" s="93"/>
      <c r="H1520" s="103"/>
      <c r="I1520" s="79"/>
      <c r="J1520" s="100"/>
      <c r="K1520" s="97"/>
      <c r="L1520" s="98"/>
      <c r="M1520" s="99" t="b">
        <v>0</v>
      </c>
      <c r="N1520" s="99"/>
      <c r="O1520" s="85"/>
      <c r="P1520" s="68"/>
    </row>
    <row r="1521">
      <c r="A1521" s="68"/>
      <c r="B1521" s="79"/>
      <c r="C1521" s="77"/>
      <c r="D1521" s="79"/>
      <c r="E1521" s="79"/>
      <c r="F1521" s="93"/>
      <c r="G1521" s="93"/>
      <c r="H1521" s="103"/>
      <c r="I1521" s="79"/>
      <c r="J1521" s="100"/>
      <c r="K1521" s="97"/>
      <c r="L1521" s="98"/>
      <c r="M1521" s="99" t="b">
        <v>0</v>
      </c>
      <c r="N1521" s="99"/>
      <c r="O1521" s="85"/>
      <c r="P1521" s="68"/>
    </row>
    <row r="1522">
      <c r="A1522" s="68"/>
      <c r="B1522" s="79"/>
      <c r="C1522" s="77"/>
      <c r="D1522" s="79"/>
      <c r="E1522" s="79"/>
      <c r="F1522" s="93"/>
      <c r="G1522" s="93"/>
      <c r="H1522" s="103"/>
      <c r="I1522" s="79"/>
      <c r="J1522" s="100"/>
      <c r="K1522" s="97"/>
      <c r="L1522" s="98"/>
      <c r="M1522" s="99" t="b">
        <v>0</v>
      </c>
      <c r="N1522" s="99"/>
      <c r="O1522" s="85"/>
      <c r="P1522" s="68"/>
    </row>
    <row r="1523">
      <c r="A1523" s="68"/>
      <c r="B1523" s="79"/>
      <c r="C1523" s="77"/>
      <c r="D1523" s="79"/>
      <c r="E1523" s="79"/>
      <c r="F1523" s="93"/>
      <c r="G1523" s="93"/>
      <c r="H1523" s="103"/>
      <c r="I1523" s="79"/>
      <c r="J1523" s="100"/>
      <c r="K1523" s="97"/>
      <c r="L1523" s="98"/>
      <c r="M1523" s="99" t="b">
        <v>0</v>
      </c>
      <c r="N1523" s="99"/>
      <c r="O1523" s="85"/>
      <c r="P1523" s="68"/>
    </row>
    <row r="1524">
      <c r="A1524" s="68"/>
      <c r="B1524" s="79"/>
      <c r="C1524" s="77"/>
      <c r="D1524" s="79"/>
      <c r="E1524" s="79"/>
      <c r="F1524" s="93"/>
      <c r="G1524" s="93"/>
      <c r="H1524" s="103"/>
      <c r="I1524" s="79"/>
      <c r="J1524" s="100"/>
      <c r="K1524" s="97"/>
      <c r="L1524" s="98"/>
      <c r="M1524" s="99" t="b">
        <v>0</v>
      </c>
      <c r="N1524" s="99"/>
      <c r="O1524" s="85"/>
      <c r="P1524" s="68"/>
    </row>
    <row r="1525">
      <c r="A1525" s="68"/>
      <c r="B1525" s="79"/>
      <c r="C1525" s="77"/>
      <c r="D1525" s="79"/>
      <c r="E1525" s="79"/>
      <c r="F1525" s="93"/>
      <c r="G1525" s="93"/>
      <c r="H1525" s="103"/>
      <c r="I1525" s="79"/>
      <c r="J1525" s="100"/>
      <c r="K1525" s="97"/>
      <c r="L1525" s="98"/>
      <c r="M1525" s="99" t="b">
        <v>0</v>
      </c>
      <c r="N1525" s="99"/>
      <c r="O1525" s="85"/>
      <c r="P1525" s="68"/>
    </row>
    <row r="1526">
      <c r="A1526" s="68"/>
      <c r="B1526" s="79"/>
      <c r="C1526" s="77"/>
      <c r="D1526" s="79"/>
      <c r="E1526" s="79"/>
      <c r="F1526" s="93"/>
      <c r="G1526" s="93"/>
      <c r="H1526" s="103"/>
      <c r="I1526" s="79"/>
      <c r="J1526" s="100"/>
      <c r="K1526" s="97"/>
      <c r="L1526" s="98"/>
      <c r="M1526" s="99" t="b">
        <v>0</v>
      </c>
      <c r="N1526" s="99"/>
      <c r="O1526" s="85"/>
      <c r="P1526" s="68"/>
    </row>
    <row r="1527">
      <c r="A1527" s="68"/>
      <c r="B1527" s="79"/>
      <c r="C1527" s="77"/>
      <c r="D1527" s="79"/>
      <c r="E1527" s="79"/>
      <c r="F1527" s="93"/>
      <c r="G1527" s="93"/>
      <c r="H1527" s="103"/>
      <c r="I1527" s="79"/>
      <c r="J1527" s="100"/>
      <c r="K1527" s="97"/>
      <c r="L1527" s="98"/>
      <c r="M1527" s="99" t="b">
        <v>0</v>
      </c>
      <c r="N1527" s="99"/>
      <c r="O1527" s="85"/>
      <c r="P1527" s="68"/>
    </row>
    <row r="1528">
      <c r="A1528" s="68"/>
      <c r="B1528" s="79"/>
      <c r="C1528" s="77"/>
      <c r="D1528" s="79"/>
      <c r="E1528" s="79"/>
      <c r="F1528" s="93"/>
      <c r="G1528" s="93"/>
      <c r="H1528" s="103"/>
      <c r="I1528" s="79"/>
      <c r="J1528" s="100"/>
      <c r="K1528" s="97"/>
      <c r="L1528" s="98"/>
      <c r="M1528" s="99" t="b">
        <v>0</v>
      </c>
      <c r="N1528" s="99"/>
      <c r="O1528" s="85"/>
      <c r="P1528" s="68"/>
    </row>
    <row r="1529">
      <c r="A1529" s="68"/>
      <c r="B1529" s="79"/>
      <c r="C1529" s="77"/>
      <c r="D1529" s="79"/>
      <c r="E1529" s="79"/>
      <c r="F1529" s="93"/>
      <c r="G1529" s="93"/>
      <c r="H1529" s="103"/>
      <c r="I1529" s="79"/>
      <c r="J1529" s="100"/>
      <c r="K1529" s="97"/>
      <c r="L1529" s="98"/>
      <c r="M1529" s="99" t="b">
        <v>0</v>
      </c>
      <c r="N1529" s="99"/>
      <c r="O1529" s="85"/>
      <c r="P1529" s="68"/>
    </row>
    <row r="1530">
      <c r="A1530" s="68"/>
      <c r="B1530" s="79"/>
      <c r="C1530" s="77"/>
      <c r="D1530" s="79"/>
      <c r="E1530" s="79"/>
      <c r="F1530" s="93"/>
      <c r="G1530" s="93"/>
      <c r="H1530" s="103"/>
      <c r="I1530" s="79"/>
      <c r="J1530" s="100"/>
      <c r="K1530" s="97"/>
      <c r="L1530" s="98"/>
      <c r="M1530" s="99" t="b">
        <v>0</v>
      </c>
      <c r="N1530" s="99"/>
      <c r="O1530" s="85"/>
      <c r="P1530" s="68"/>
    </row>
    <row r="1531">
      <c r="A1531" s="68"/>
      <c r="B1531" s="79"/>
      <c r="C1531" s="77"/>
      <c r="D1531" s="79"/>
      <c r="E1531" s="79"/>
      <c r="F1531" s="93"/>
      <c r="G1531" s="93"/>
      <c r="H1531" s="103"/>
      <c r="I1531" s="79"/>
      <c r="J1531" s="100"/>
      <c r="K1531" s="97"/>
      <c r="L1531" s="98"/>
      <c r="M1531" s="99" t="b">
        <v>0</v>
      </c>
      <c r="N1531" s="99"/>
      <c r="O1531" s="85"/>
      <c r="P1531" s="68"/>
    </row>
    <row r="1532">
      <c r="A1532" s="68"/>
      <c r="B1532" s="79"/>
      <c r="C1532" s="77"/>
      <c r="D1532" s="79"/>
      <c r="E1532" s="79"/>
      <c r="F1532" s="93"/>
      <c r="G1532" s="93"/>
      <c r="H1532" s="103"/>
      <c r="I1532" s="79"/>
      <c r="J1532" s="100"/>
      <c r="K1532" s="97"/>
      <c r="L1532" s="98"/>
      <c r="M1532" s="99" t="b">
        <v>0</v>
      </c>
      <c r="N1532" s="99"/>
      <c r="O1532" s="85"/>
      <c r="P1532" s="68"/>
    </row>
    <row r="1533">
      <c r="A1533" s="68"/>
      <c r="B1533" s="79"/>
      <c r="C1533" s="77"/>
      <c r="D1533" s="79"/>
      <c r="E1533" s="79"/>
      <c r="F1533" s="93"/>
      <c r="G1533" s="93"/>
      <c r="H1533" s="103"/>
      <c r="I1533" s="79"/>
      <c r="J1533" s="100"/>
      <c r="K1533" s="97"/>
      <c r="L1533" s="98"/>
      <c r="M1533" s="99" t="b">
        <v>0</v>
      </c>
      <c r="N1533" s="99"/>
      <c r="O1533" s="85"/>
      <c r="P1533" s="68"/>
    </row>
    <row r="1534">
      <c r="A1534" s="68"/>
      <c r="B1534" s="79"/>
      <c r="C1534" s="77"/>
      <c r="D1534" s="79"/>
      <c r="E1534" s="79"/>
      <c r="F1534" s="93"/>
      <c r="G1534" s="93"/>
      <c r="H1534" s="103"/>
      <c r="I1534" s="79"/>
      <c r="J1534" s="100"/>
      <c r="K1534" s="97"/>
      <c r="L1534" s="98"/>
      <c r="M1534" s="99" t="b">
        <v>0</v>
      </c>
      <c r="N1534" s="99"/>
      <c r="O1534" s="85"/>
      <c r="P1534" s="68"/>
    </row>
    <row r="1535">
      <c r="A1535" s="68"/>
      <c r="B1535" s="79"/>
      <c r="C1535" s="77"/>
      <c r="D1535" s="79"/>
      <c r="E1535" s="79"/>
      <c r="F1535" s="93"/>
      <c r="G1535" s="93"/>
      <c r="H1535" s="103"/>
      <c r="I1535" s="79"/>
      <c r="J1535" s="100"/>
      <c r="K1535" s="97"/>
      <c r="L1535" s="98"/>
      <c r="M1535" s="99" t="b">
        <v>0</v>
      </c>
      <c r="N1535" s="99"/>
      <c r="O1535" s="85"/>
      <c r="P1535" s="68"/>
    </row>
    <row r="1536">
      <c r="A1536" s="68"/>
      <c r="B1536" s="79"/>
      <c r="C1536" s="77"/>
      <c r="D1536" s="79"/>
      <c r="E1536" s="79"/>
      <c r="F1536" s="93"/>
      <c r="G1536" s="93"/>
      <c r="H1536" s="103"/>
      <c r="I1536" s="79"/>
      <c r="J1536" s="100"/>
      <c r="K1536" s="97"/>
      <c r="L1536" s="98"/>
      <c r="M1536" s="99" t="b">
        <v>0</v>
      </c>
      <c r="N1536" s="99"/>
      <c r="O1536" s="85"/>
      <c r="P1536" s="68"/>
    </row>
    <row r="1537">
      <c r="A1537" s="68"/>
      <c r="B1537" s="79"/>
      <c r="C1537" s="77"/>
      <c r="D1537" s="79"/>
      <c r="E1537" s="79"/>
      <c r="F1537" s="93"/>
      <c r="G1537" s="93"/>
      <c r="H1537" s="103"/>
      <c r="I1537" s="79"/>
      <c r="J1537" s="100"/>
      <c r="K1537" s="97"/>
      <c r="L1537" s="98"/>
      <c r="M1537" s="99" t="b">
        <v>0</v>
      </c>
      <c r="N1537" s="99"/>
      <c r="O1537" s="85"/>
      <c r="P1537" s="68"/>
    </row>
    <row r="1538">
      <c r="A1538" s="68"/>
      <c r="B1538" s="79"/>
      <c r="C1538" s="77"/>
      <c r="D1538" s="79"/>
      <c r="E1538" s="79"/>
      <c r="F1538" s="93"/>
      <c r="G1538" s="93"/>
      <c r="H1538" s="103"/>
      <c r="I1538" s="79"/>
      <c r="J1538" s="100"/>
      <c r="K1538" s="97"/>
      <c r="L1538" s="98"/>
      <c r="M1538" s="99" t="b">
        <v>0</v>
      </c>
      <c r="N1538" s="99"/>
      <c r="O1538" s="85"/>
      <c r="P1538" s="68"/>
    </row>
    <row r="1539">
      <c r="A1539" s="68"/>
      <c r="B1539" s="79"/>
      <c r="C1539" s="77"/>
      <c r="D1539" s="79"/>
      <c r="E1539" s="79"/>
      <c r="F1539" s="93"/>
      <c r="G1539" s="93"/>
      <c r="H1539" s="103"/>
      <c r="I1539" s="79"/>
      <c r="J1539" s="100"/>
      <c r="K1539" s="97"/>
      <c r="L1539" s="98"/>
      <c r="M1539" s="99" t="b">
        <v>0</v>
      </c>
      <c r="N1539" s="99"/>
      <c r="O1539" s="85"/>
      <c r="P1539" s="68"/>
    </row>
    <row r="1540">
      <c r="A1540" s="68"/>
      <c r="B1540" s="79"/>
      <c r="C1540" s="77"/>
      <c r="D1540" s="79"/>
      <c r="E1540" s="79"/>
      <c r="F1540" s="93"/>
      <c r="G1540" s="93"/>
      <c r="H1540" s="103"/>
      <c r="I1540" s="79"/>
      <c r="J1540" s="100"/>
      <c r="K1540" s="97"/>
      <c r="L1540" s="98"/>
      <c r="M1540" s="99" t="b">
        <v>0</v>
      </c>
      <c r="N1540" s="99"/>
      <c r="O1540" s="85"/>
      <c r="P1540" s="68"/>
    </row>
    <row r="1541">
      <c r="A1541" s="68"/>
      <c r="B1541" s="79"/>
      <c r="C1541" s="77"/>
      <c r="D1541" s="79"/>
      <c r="E1541" s="79"/>
      <c r="F1541" s="93"/>
      <c r="G1541" s="93"/>
      <c r="H1541" s="103"/>
      <c r="I1541" s="79"/>
      <c r="J1541" s="100"/>
      <c r="K1541" s="97"/>
      <c r="L1541" s="98"/>
      <c r="M1541" s="99" t="b">
        <v>0</v>
      </c>
      <c r="N1541" s="99"/>
      <c r="O1541" s="85"/>
      <c r="P1541" s="68"/>
    </row>
    <row r="1542">
      <c r="A1542" s="68"/>
      <c r="B1542" s="79"/>
      <c r="C1542" s="77"/>
      <c r="D1542" s="79"/>
      <c r="E1542" s="79"/>
      <c r="F1542" s="93"/>
      <c r="G1542" s="93"/>
      <c r="H1542" s="103"/>
      <c r="I1542" s="79"/>
      <c r="J1542" s="100"/>
      <c r="K1542" s="97"/>
      <c r="L1542" s="98"/>
      <c r="M1542" s="99" t="b">
        <v>0</v>
      </c>
      <c r="N1542" s="99"/>
      <c r="O1542" s="85"/>
      <c r="P1542" s="68"/>
    </row>
    <row r="1543">
      <c r="A1543" s="68"/>
      <c r="B1543" s="79"/>
      <c r="C1543" s="77"/>
      <c r="D1543" s="79"/>
      <c r="E1543" s="79"/>
      <c r="F1543" s="93"/>
      <c r="G1543" s="93"/>
      <c r="H1543" s="103"/>
      <c r="I1543" s="79"/>
      <c r="J1543" s="100"/>
      <c r="K1543" s="97"/>
      <c r="L1543" s="98"/>
      <c r="M1543" s="99" t="b">
        <v>0</v>
      </c>
      <c r="N1543" s="99"/>
      <c r="O1543" s="85"/>
      <c r="P1543" s="68"/>
    </row>
    <row r="1544">
      <c r="A1544" s="68"/>
      <c r="B1544" s="79"/>
      <c r="C1544" s="77"/>
      <c r="D1544" s="79"/>
      <c r="E1544" s="79"/>
      <c r="F1544" s="93"/>
      <c r="G1544" s="93"/>
      <c r="H1544" s="103"/>
      <c r="I1544" s="79"/>
      <c r="J1544" s="100"/>
      <c r="K1544" s="97"/>
      <c r="L1544" s="98"/>
      <c r="M1544" s="99" t="b">
        <v>0</v>
      </c>
      <c r="N1544" s="99"/>
      <c r="O1544" s="85"/>
      <c r="P1544" s="68"/>
    </row>
    <row r="1545">
      <c r="A1545" s="68"/>
      <c r="B1545" s="79"/>
      <c r="C1545" s="77"/>
      <c r="D1545" s="79"/>
      <c r="E1545" s="79"/>
      <c r="F1545" s="93"/>
      <c r="G1545" s="93"/>
      <c r="H1545" s="103"/>
      <c r="I1545" s="79"/>
      <c r="J1545" s="100"/>
      <c r="K1545" s="97"/>
      <c r="L1545" s="98"/>
      <c r="M1545" s="99" t="b">
        <v>0</v>
      </c>
      <c r="N1545" s="99"/>
      <c r="O1545" s="85"/>
      <c r="P1545" s="68"/>
    </row>
    <row r="1546">
      <c r="A1546" s="68"/>
      <c r="B1546" s="79"/>
      <c r="C1546" s="77"/>
      <c r="D1546" s="79"/>
      <c r="E1546" s="79"/>
      <c r="F1546" s="93"/>
      <c r="G1546" s="93"/>
      <c r="H1546" s="103"/>
      <c r="I1546" s="79"/>
      <c r="J1546" s="100"/>
      <c r="K1546" s="97"/>
      <c r="L1546" s="98"/>
      <c r="M1546" s="99" t="b">
        <v>0</v>
      </c>
      <c r="N1546" s="99"/>
      <c r="O1546" s="85"/>
      <c r="P1546" s="68"/>
    </row>
    <row r="1547">
      <c r="A1547" s="68"/>
      <c r="B1547" s="79"/>
      <c r="C1547" s="77"/>
      <c r="D1547" s="79"/>
      <c r="E1547" s="79"/>
      <c r="F1547" s="93"/>
      <c r="G1547" s="93"/>
      <c r="H1547" s="103"/>
      <c r="I1547" s="79"/>
      <c r="J1547" s="100"/>
      <c r="K1547" s="97"/>
      <c r="L1547" s="98"/>
      <c r="M1547" s="99" t="b">
        <v>0</v>
      </c>
      <c r="N1547" s="99"/>
      <c r="O1547" s="85"/>
      <c r="P1547" s="68"/>
    </row>
    <row r="1548">
      <c r="A1548" s="68"/>
      <c r="B1548" s="79"/>
      <c r="C1548" s="77"/>
      <c r="D1548" s="79"/>
      <c r="E1548" s="79"/>
      <c r="F1548" s="93"/>
      <c r="G1548" s="93"/>
      <c r="H1548" s="103"/>
      <c r="I1548" s="79"/>
      <c r="J1548" s="100"/>
      <c r="K1548" s="97"/>
      <c r="L1548" s="98"/>
      <c r="M1548" s="99" t="b">
        <v>0</v>
      </c>
      <c r="N1548" s="99"/>
      <c r="O1548" s="85"/>
      <c r="P1548" s="68"/>
    </row>
    <row r="1549">
      <c r="A1549" s="68"/>
      <c r="B1549" s="79"/>
      <c r="C1549" s="77"/>
      <c r="D1549" s="79"/>
      <c r="E1549" s="79"/>
      <c r="F1549" s="93"/>
      <c r="G1549" s="93"/>
      <c r="H1549" s="103"/>
      <c r="I1549" s="79"/>
      <c r="J1549" s="100"/>
      <c r="K1549" s="97"/>
      <c r="L1549" s="98"/>
      <c r="M1549" s="99" t="b">
        <v>0</v>
      </c>
      <c r="N1549" s="99"/>
      <c r="O1549" s="85"/>
      <c r="P1549" s="68"/>
    </row>
    <row r="1550">
      <c r="A1550" s="68"/>
      <c r="B1550" s="79"/>
      <c r="C1550" s="77"/>
      <c r="D1550" s="79"/>
      <c r="E1550" s="79"/>
      <c r="F1550" s="93"/>
      <c r="G1550" s="93"/>
      <c r="H1550" s="103"/>
      <c r="I1550" s="79"/>
      <c r="J1550" s="100"/>
      <c r="K1550" s="97"/>
      <c r="L1550" s="98"/>
      <c r="M1550" s="99" t="b">
        <v>0</v>
      </c>
      <c r="N1550" s="99"/>
      <c r="O1550" s="85"/>
      <c r="P1550" s="68"/>
    </row>
    <row r="1551">
      <c r="A1551" s="68"/>
      <c r="B1551" s="79"/>
      <c r="C1551" s="77"/>
      <c r="D1551" s="79"/>
      <c r="E1551" s="79"/>
      <c r="F1551" s="93"/>
      <c r="G1551" s="93"/>
      <c r="H1551" s="103"/>
      <c r="I1551" s="79"/>
      <c r="J1551" s="100"/>
      <c r="K1551" s="97"/>
      <c r="L1551" s="98"/>
      <c r="M1551" s="99" t="b">
        <v>0</v>
      </c>
      <c r="N1551" s="99"/>
      <c r="O1551" s="85"/>
      <c r="P1551" s="68"/>
    </row>
    <row r="1552">
      <c r="A1552" s="68"/>
      <c r="B1552" s="79"/>
      <c r="C1552" s="77"/>
      <c r="D1552" s="79"/>
      <c r="E1552" s="79"/>
      <c r="F1552" s="93"/>
      <c r="G1552" s="93"/>
      <c r="H1552" s="103"/>
      <c r="I1552" s="79"/>
      <c r="J1552" s="100"/>
      <c r="K1552" s="97"/>
      <c r="L1552" s="98"/>
      <c r="M1552" s="99" t="b">
        <v>0</v>
      </c>
      <c r="N1552" s="99"/>
      <c r="O1552" s="85"/>
      <c r="P1552" s="68"/>
    </row>
    <row r="1553">
      <c r="A1553" s="68"/>
      <c r="B1553" s="79"/>
      <c r="C1553" s="77"/>
      <c r="D1553" s="79"/>
      <c r="E1553" s="79"/>
      <c r="F1553" s="93"/>
      <c r="G1553" s="93"/>
      <c r="H1553" s="103"/>
      <c r="I1553" s="79"/>
      <c r="J1553" s="100"/>
      <c r="K1553" s="97"/>
      <c r="L1553" s="98"/>
      <c r="M1553" s="99" t="b">
        <v>0</v>
      </c>
      <c r="N1553" s="99"/>
      <c r="O1553" s="85"/>
      <c r="P1553" s="68"/>
    </row>
    <row r="1554">
      <c r="A1554" s="68"/>
      <c r="B1554" s="79"/>
      <c r="C1554" s="77"/>
      <c r="D1554" s="79"/>
      <c r="E1554" s="79"/>
      <c r="F1554" s="93"/>
      <c r="G1554" s="93"/>
      <c r="H1554" s="103"/>
      <c r="I1554" s="79"/>
      <c r="J1554" s="100"/>
      <c r="K1554" s="97"/>
      <c r="L1554" s="98"/>
      <c r="M1554" s="99" t="b">
        <v>0</v>
      </c>
      <c r="N1554" s="99"/>
      <c r="O1554" s="85"/>
      <c r="P1554" s="68"/>
    </row>
    <row r="1555">
      <c r="A1555" s="68"/>
      <c r="B1555" s="79"/>
      <c r="C1555" s="77"/>
      <c r="D1555" s="79"/>
      <c r="E1555" s="79"/>
      <c r="F1555" s="93"/>
      <c r="G1555" s="93"/>
      <c r="H1555" s="103"/>
      <c r="I1555" s="79"/>
      <c r="J1555" s="100"/>
      <c r="K1555" s="97"/>
      <c r="L1555" s="98"/>
      <c r="M1555" s="99" t="b">
        <v>0</v>
      </c>
      <c r="N1555" s="99"/>
      <c r="O1555" s="85"/>
      <c r="P1555" s="68"/>
    </row>
    <row r="1556">
      <c r="A1556" s="68"/>
      <c r="B1556" s="79"/>
      <c r="C1556" s="77"/>
      <c r="D1556" s="79"/>
      <c r="E1556" s="79"/>
      <c r="F1556" s="93"/>
      <c r="G1556" s="93"/>
      <c r="H1556" s="103"/>
      <c r="I1556" s="79"/>
      <c r="J1556" s="100"/>
      <c r="K1556" s="97"/>
      <c r="L1556" s="98"/>
      <c r="M1556" s="99" t="b">
        <v>0</v>
      </c>
      <c r="N1556" s="99"/>
      <c r="O1556" s="85"/>
      <c r="P1556" s="68"/>
    </row>
    <row r="1557">
      <c r="A1557" s="68"/>
      <c r="B1557" s="79"/>
      <c r="C1557" s="77"/>
      <c r="D1557" s="79"/>
      <c r="E1557" s="79"/>
      <c r="F1557" s="93"/>
      <c r="G1557" s="93"/>
      <c r="H1557" s="103"/>
      <c r="I1557" s="79"/>
      <c r="J1557" s="100"/>
      <c r="K1557" s="97"/>
      <c r="L1557" s="98"/>
      <c r="M1557" s="99" t="b">
        <v>0</v>
      </c>
      <c r="N1557" s="99"/>
      <c r="O1557" s="85"/>
      <c r="P1557" s="68"/>
    </row>
    <row r="1558">
      <c r="A1558" s="68"/>
      <c r="B1558" s="79"/>
      <c r="C1558" s="77"/>
      <c r="D1558" s="79"/>
      <c r="E1558" s="79"/>
      <c r="F1558" s="93"/>
      <c r="G1558" s="93"/>
      <c r="H1558" s="103"/>
      <c r="I1558" s="79"/>
      <c r="J1558" s="100"/>
      <c r="K1558" s="97"/>
      <c r="L1558" s="98"/>
      <c r="M1558" s="99" t="b">
        <v>0</v>
      </c>
      <c r="N1558" s="99"/>
      <c r="O1558" s="85"/>
      <c r="P1558" s="68"/>
    </row>
    <row r="1559">
      <c r="A1559" s="68"/>
      <c r="B1559" s="79"/>
      <c r="C1559" s="77"/>
      <c r="D1559" s="79"/>
      <c r="E1559" s="79"/>
      <c r="F1559" s="93"/>
      <c r="G1559" s="93"/>
      <c r="H1559" s="103"/>
      <c r="I1559" s="79"/>
      <c r="J1559" s="100"/>
      <c r="K1559" s="97"/>
      <c r="L1559" s="98"/>
      <c r="M1559" s="99" t="b">
        <v>0</v>
      </c>
      <c r="N1559" s="99"/>
      <c r="O1559" s="85"/>
      <c r="P1559" s="68"/>
    </row>
    <row r="1560">
      <c r="A1560" s="68"/>
      <c r="B1560" s="79"/>
      <c r="C1560" s="77"/>
      <c r="D1560" s="79"/>
      <c r="E1560" s="79"/>
      <c r="F1560" s="93"/>
      <c r="G1560" s="93"/>
      <c r="H1560" s="103"/>
      <c r="I1560" s="79"/>
      <c r="J1560" s="100"/>
      <c r="K1560" s="97"/>
      <c r="L1560" s="98"/>
      <c r="M1560" s="99" t="b">
        <v>0</v>
      </c>
      <c r="N1560" s="99"/>
      <c r="O1560" s="85"/>
      <c r="P1560" s="68"/>
    </row>
    <row r="1561">
      <c r="A1561" s="68"/>
      <c r="B1561" s="79"/>
      <c r="C1561" s="77"/>
      <c r="D1561" s="79"/>
      <c r="E1561" s="79"/>
      <c r="F1561" s="93"/>
      <c r="G1561" s="93"/>
      <c r="H1561" s="103"/>
      <c r="I1561" s="79"/>
      <c r="J1561" s="100"/>
      <c r="K1561" s="97"/>
      <c r="L1561" s="98"/>
      <c r="M1561" s="99" t="b">
        <v>0</v>
      </c>
      <c r="N1561" s="99"/>
      <c r="O1561" s="85"/>
      <c r="P1561" s="68"/>
    </row>
    <row r="1562">
      <c r="A1562" s="68"/>
      <c r="B1562" s="79"/>
      <c r="C1562" s="77"/>
      <c r="D1562" s="79"/>
      <c r="E1562" s="79"/>
      <c r="F1562" s="93"/>
      <c r="G1562" s="93"/>
      <c r="H1562" s="103"/>
      <c r="I1562" s="79"/>
      <c r="J1562" s="100"/>
      <c r="K1562" s="97"/>
      <c r="L1562" s="98"/>
      <c r="M1562" s="99" t="b">
        <v>0</v>
      </c>
      <c r="N1562" s="99"/>
      <c r="O1562" s="85"/>
      <c r="P1562" s="68"/>
    </row>
    <row r="1563">
      <c r="A1563" s="68"/>
      <c r="B1563" s="79"/>
      <c r="C1563" s="77"/>
      <c r="D1563" s="79"/>
      <c r="E1563" s="79"/>
      <c r="F1563" s="93"/>
      <c r="G1563" s="93"/>
      <c r="H1563" s="103"/>
      <c r="I1563" s="79"/>
      <c r="J1563" s="100"/>
      <c r="K1563" s="97"/>
      <c r="L1563" s="98"/>
      <c r="M1563" s="99" t="b">
        <v>0</v>
      </c>
      <c r="N1563" s="99"/>
      <c r="O1563" s="85"/>
      <c r="P1563" s="68"/>
    </row>
    <row r="1564">
      <c r="A1564" s="68"/>
      <c r="B1564" s="79"/>
      <c r="C1564" s="77"/>
      <c r="D1564" s="79"/>
      <c r="E1564" s="79"/>
      <c r="F1564" s="93"/>
      <c r="G1564" s="93"/>
      <c r="H1564" s="103"/>
      <c r="I1564" s="79"/>
      <c r="J1564" s="100"/>
      <c r="K1564" s="97"/>
      <c r="L1564" s="98"/>
      <c r="M1564" s="99" t="b">
        <v>0</v>
      </c>
      <c r="N1564" s="99"/>
      <c r="O1564" s="85"/>
      <c r="P1564" s="68"/>
    </row>
    <row r="1565">
      <c r="A1565" s="68"/>
      <c r="B1565" s="79"/>
      <c r="C1565" s="77"/>
      <c r="D1565" s="79"/>
      <c r="E1565" s="79"/>
      <c r="F1565" s="93"/>
      <c r="G1565" s="93"/>
      <c r="H1565" s="103"/>
      <c r="I1565" s="79"/>
      <c r="J1565" s="100"/>
      <c r="K1565" s="97"/>
      <c r="L1565" s="98"/>
      <c r="M1565" s="99" t="b">
        <v>0</v>
      </c>
      <c r="N1565" s="99"/>
      <c r="O1565" s="85"/>
      <c r="P1565" s="68"/>
    </row>
    <row r="1566">
      <c r="A1566" s="68"/>
      <c r="B1566" s="79"/>
      <c r="C1566" s="77"/>
      <c r="D1566" s="79"/>
      <c r="E1566" s="79"/>
      <c r="F1566" s="93"/>
      <c r="G1566" s="93"/>
      <c r="H1566" s="103"/>
      <c r="I1566" s="79"/>
      <c r="J1566" s="100"/>
      <c r="K1566" s="97"/>
      <c r="L1566" s="98"/>
      <c r="M1566" s="99" t="b">
        <v>0</v>
      </c>
      <c r="N1566" s="99"/>
      <c r="O1566" s="85"/>
      <c r="P1566" s="68"/>
    </row>
    <row r="1567">
      <c r="A1567" s="68"/>
      <c r="B1567" s="79"/>
      <c r="C1567" s="77"/>
      <c r="D1567" s="79"/>
      <c r="E1567" s="79"/>
      <c r="F1567" s="93"/>
      <c r="G1567" s="93"/>
      <c r="H1567" s="103"/>
      <c r="I1567" s="79"/>
      <c r="J1567" s="100"/>
      <c r="K1567" s="97"/>
      <c r="L1567" s="98"/>
      <c r="M1567" s="99" t="b">
        <v>0</v>
      </c>
      <c r="N1567" s="99"/>
      <c r="O1567" s="85"/>
      <c r="P1567" s="68"/>
    </row>
    <row r="1568">
      <c r="A1568" s="68"/>
      <c r="B1568" s="79"/>
      <c r="C1568" s="77"/>
      <c r="D1568" s="79"/>
      <c r="E1568" s="79"/>
      <c r="F1568" s="93"/>
      <c r="G1568" s="93"/>
      <c r="H1568" s="103"/>
      <c r="I1568" s="79"/>
      <c r="J1568" s="100"/>
      <c r="K1568" s="97"/>
      <c r="L1568" s="98"/>
      <c r="M1568" s="99" t="b">
        <v>0</v>
      </c>
      <c r="N1568" s="99"/>
      <c r="O1568" s="85"/>
      <c r="P1568" s="68"/>
    </row>
    <row r="1569">
      <c r="A1569" s="68"/>
      <c r="B1569" s="79"/>
      <c r="C1569" s="77"/>
      <c r="D1569" s="79"/>
      <c r="E1569" s="79"/>
      <c r="F1569" s="93"/>
      <c r="G1569" s="93"/>
      <c r="H1569" s="103"/>
      <c r="I1569" s="79"/>
      <c r="J1569" s="100"/>
      <c r="K1569" s="97"/>
      <c r="L1569" s="98"/>
      <c r="M1569" s="99" t="b">
        <v>0</v>
      </c>
      <c r="N1569" s="99"/>
      <c r="O1569" s="85"/>
      <c r="P1569" s="68"/>
    </row>
    <row r="1570">
      <c r="A1570" s="68"/>
      <c r="B1570" s="79"/>
      <c r="C1570" s="77"/>
      <c r="D1570" s="79"/>
      <c r="E1570" s="79"/>
      <c r="F1570" s="93"/>
      <c r="G1570" s="93"/>
      <c r="H1570" s="103"/>
      <c r="I1570" s="79"/>
      <c r="J1570" s="100"/>
      <c r="K1570" s="97"/>
      <c r="L1570" s="98"/>
      <c r="M1570" s="99" t="b">
        <v>0</v>
      </c>
      <c r="N1570" s="99"/>
      <c r="O1570" s="85"/>
      <c r="P1570" s="68"/>
    </row>
    <row r="1571">
      <c r="A1571" s="68"/>
      <c r="B1571" s="79"/>
      <c r="C1571" s="77"/>
      <c r="D1571" s="79"/>
      <c r="E1571" s="79"/>
      <c r="F1571" s="93"/>
      <c r="G1571" s="93"/>
      <c r="H1571" s="103"/>
      <c r="I1571" s="79"/>
      <c r="J1571" s="100"/>
      <c r="K1571" s="97"/>
      <c r="L1571" s="98"/>
      <c r="M1571" s="99" t="b">
        <v>0</v>
      </c>
      <c r="N1571" s="99"/>
      <c r="O1571" s="85"/>
      <c r="P1571" s="68"/>
    </row>
    <row r="1572">
      <c r="A1572" s="68"/>
      <c r="B1572" s="79"/>
      <c r="C1572" s="77"/>
      <c r="D1572" s="79"/>
      <c r="E1572" s="79"/>
      <c r="F1572" s="93"/>
      <c r="G1572" s="93"/>
      <c r="H1572" s="103"/>
      <c r="I1572" s="79"/>
      <c r="J1572" s="100"/>
      <c r="K1572" s="97"/>
      <c r="L1572" s="98"/>
      <c r="M1572" s="99" t="b">
        <v>0</v>
      </c>
      <c r="N1572" s="99"/>
      <c r="O1572" s="85"/>
      <c r="P1572" s="68"/>
    </row>
    <row r="1573">
      <c r="A1573" s="68"/>
      <c r="B1573" s="79"/>
      <c r="C1573" s="77"/>
      <c r="D1573" s="79"/>
      <c r="E1573" s="79"/>
      <c r="F1573" s="93"/>
      <c r="G1573" s="93"/>
      <c r="H1573" s="103"/>
      <c r="I1573" s="79"/>
      <c r="J1573" s="100"/>
      <c r="K1573" s="97"/>
      <c r="L1573" s="98"/>
      <c r="M1573" s="99" t="b">
        <v>0</v>
      </c>
      <c r="N1573" s="99"/>
      <c r="O1573" s="85"/>
      <c r="P1573" s="68"/>
    </row>
    <row r="1574">
      <c r="A1574" s="68"/>
      <c r="B1574" s="79"/>
      <c r="C1574" s="77"/>
      <c r="D1574" s="79"/>
      <c r="E1574" s="79"/>
      <c r="F1574" s="93"/>
      <c r="G1574" s="93"/>
      <c r="H1574" s="103"/>
      <c r="I1574" s="79"/>
      <c r="J1574" s="100"/>
      <c r="K1574" s="97"/>
      <c r="L1574" s="98"/>
      <c r="M1574" s="99" t="b">
        <v>0</v>
      </c>
      <c r="N1574" s="99"/>
      <c r="O1574" s="85"/>
      <c r="P1574" s="68"/>
    </row>
    <row r="1575">
      <c r="A1575" s="68"/>
      <c r="B1575" s="79"/>
      <c r="C1575" s="77"/>
      <c r="D1575" s="79"/>
      <c r="E1575" s="79"/>
      <c r="F1575" s="93"/>
      <c r="G1575" s="93"/>
      <c r="H1575" s="103"/>
      <c r="I1575" s="79"/>
      <c r="J1575" s="100"/>
      <c r="K1575" s="97"/>
      <c r="L1575" s="98"/>
      <c r="M1575" s="99" t="b">
        <v>0</v>
      </c>
      <c r="N1575" s="99"/>
      <c r="O1575" s="85"/>
      <c r="P1575" s="68"/>
    </row>
    <row r="1576">
      <c r="A1576" s="68"/>
      <c r="B1576" s="79"/>
      <c r="C1576" s="77"/>
      <c r="D1576" s="79"/>
      <c r="E1576" s="79"/>
      <c r="F1576" s="93"/>
      <c r="G1576" s="93"/>
      <c r="H1576" s="103"/>
      <c r="I1576" s="79"/>
      <c r="J1576" s="100"/>
      <c r="K1576" s="97"/>
      <c r="L1576" s="98"/>
      <c r="M1576" s="99" t="b">
        <v>0</v>
      </c>
      <c r="N1576" s="99"/>
      <c r="O1576" s="85"/>
      <c r="P1576" s="68"/>
    </row>
    <row r="1577">
      <c r="A1577" s="68"/>
      <c r="B1577" s="79"/>
      <c r="C1577" s="77"/>
      <c r="D1577" s="79"/>
      <c r="E1577" s="79"/>
      <c r="F1577" s="93"/>
      <c r="G1577" s="93"/>
      <c r="H1577" s="103"/>
      <c r="I1577" s="79"/>
      <c r="J1577" s="100"/>
      <c r="K1577" s="97"/>
      <c r="L1577" s="98"/>
      <c r="M1577" s="99" t="b">
        <v>0</v>
      </c>
      <c r="N1577" s="99"/>
      <c r="O1577" s="85"/>
      <c r="P1577" s="68"/>
    </row>
    <row r="1578">
      <c r="A1578" s="68"/>
      <c r="B1578" s="79"/>
      <c r="C1578" s="77"/>
      <c r="D1578" s="79"/>
      <c r="E1578" s="79"/>
      <c r="F1578" s="93"/>
      <c r="G1578" s="93"/>
      <c r="H1578" s="103"/>
      <c r="I1578" s="79"/>
      <c r="J1578" s="100"/>
      <c r="K1578" s="97"/>
      <c r="L1578" s="98"/>
      <c r="M1578" s="99" t="b">
        <v>0</v>
      </c>
      <c r="N1578" s="99"/>
      <c r="O1578" s="85"/>
      <c r="P1578" s="68"/>
    </row>
    <row r="1579">
      <c r="A1579" s="68"/>
      <c r="B1579" s="79"/>
      <c r="C1579" s="77"/>
      <c r="D1579" s="79"/>
      <c r="E1579" s="79"/>
      <c r="F1579" s="93"/>
      <c r="G1579" s="93"/>
      <c r="H1579" s="103"/>
      <c r="I1579" s="79"/>
      <c r="J1579" s="100"/>
      <c r="K1579" s="97"/>
      <c r="L1579" s="98"/>
      <c r="M1579" s="99" t="b">
        <v>0</v>
      </c>
      <c r="N1579" s="99"/>
      <c r="O1579" s="85"/>
      <c r="P1579" s="68"/>
    </row>
    <row r="1580">
      <c r="A1580" s="68"/>
      <c r="B1580" s="79"/>
      <c r="C1580" s="77"/>
      <c r="D1580" s="79"/>
      <c r="E1580" s="79"/>
      <c r="F1580" s="93"/>
      <c r="G1580" s="93"/>
      <c r="H1580" s="103"/>
      <c r="I1580" s="79"/>
      <c r="J1580" s="100"/>
      <c r="K1580" s="97"/>
      <c r="L1580" s="98"/>
      <c r="M1580" s="99" t="b">
        <v>0</v>
      </c>
      <c r="N1580" s="99"/>
      <c r="O1580" s="85"/>
      <c r="P1580" s="68"/>
    </row>
    <row r="1581">
      <c r="A1581" s="68"/>
      <c r="B1581" s="79"/>
      <c r="C1581" s="77"/>
      <c r="D1581" s="79"/>
      <c r="E1581" s="79"/>
      <c r="F1581" s="93"/>
      <c r="G1581" s="93"/>
      <c r="H1581" s="103"/>
      <c r="I1581" s="79"/>
      <c r="J1581" s="100"/>
      <c r="K1581" s="97"/>
      <c r="L1581" s="98"/>
      <c r="M1581" s="99" t="b">
        <v>0</v>
      </c>
      <c r="N1581" s="99"/>
      <c r="O1581" s="85"/>
      <c r="P1581" s="68"/>
    </row>
    <row r="1582">
      <c r="A1582" s="68"/>
      <c r="B1582" s="79"/>
      <c r="C1582" s="77"/>
      <c r="D1582" s="79"/>
      <c r="E1582" s="79"/>
      <c r="F1582" s="93"/>
      <c r="G1582" s="93"/>
      <c r="H1582" s="103"/>
      <c r="I1582" s="79"/>
      <c r="J1582" s="100"/>
      <c r="K1582" s="97"/>
      <c r="L1582" s="98"/>
      <c r="M1582" s="99" t="b">
        <v>0</v>
      </c>
      <c r="N1582" s="99"/>
      <c r="O1582" s="85"/>
      <c r="P1582" s="68"/>
    </row>
    <row r="1583">
      <c r="A1583" s="68"/>
      <c r="B1583" s="79"/>
      <c r="C1583" s="77"/>
      <c r="D1583" s="79"/>
      <c r="E1583" s="79"/>
      <c r="F1583" s="93"/>
      <c r="G1583" s="93"/>
      <c r="H1583" s="103"/>
      <c r="I1583" s="79"/>
      <c r="J1583" s="100"/>
      <c r="K1583" s="97"/>
      <c r="L1583" s="98"/>
      <c r="M1583" s="99" t="b">
        <v>0</v>
      </c>
      <c r="N1583" s="99"/>
      <c r="O1583" s="85"/>
      <c r="P1583" s="68"/>
    </row>
    <row r="1584">
      <c r="A1584" s="68"/>
      <c r="B1584" s="79"/>
      <c r="C1584" s="77"/>
      <c r="D1584" s="79"/>
      <c r="E1584" s="79"/>
      <c r="F1584" s="93"/>
      <c r="G1584" s="93"/>
      <c r="H1584" s="103"/>
      <c r="I1584" s="79"/>
      <c r="J1584" s="100"/>
      <c r="K1584" s="97"/>
      <c r="L1584" s="98"/>
      <c r="M1584" s="99" t="b">
        <v>0</v>
      </c>
      <c r="N1584" s="99"/>
      <c r="O1584" s="85"/>
      <c r="P1584" s="68"/>
    </row>
    <row r="1585">
      <c r="A1585" s="68"/>
      <c r="B1585" s="79"/>
      <c r="C1585" s="77"/>
      <c r="D1585" s="79"/>
      <c r="E1585" s="79"/>
      <c r="F1585" s="93"/>
      <c r="G1585" s="93"/>
      <c r="H1585" s="103"/>
      <c r="I1585" s="79"/>
      <c r="J1585" s="100"/>
      <c r="K1585" s="97"/>
      <c r="L1585" s="98"/>
      <c r="M1585" s="99" t="b">
        <v>0</v>
      </c>
      <c r="N1585" s="99"/>
      <c r="O1585" s="85"/>
      <c r="P1585" s="68"/>
    </row>
    <row r="1586">
      <c r="A1586" s="68"/>
      <c r="B1586" s="79"/>
      <c r="C1586" s="77"/>
      <c r="D1586" s="79"/>
      <c r="E1586" s="79"/>
      <c r="F1586" s="93"/>
      <c r="G1586" s="93"/>
      <c r="H1586" s="103"/>
      <c r="I1586" s="79"/>
      <c r="J1586" s="100"/>
      <c r="K1586" s="97"/>
      <c r="L1586" s="98"/>
      <c r="M1586" s="99" t="b">
        <v>0</v>
      </c>
      <c r="N1586" s="99"/>
      <c r="O1586" s="85"/>
      <c r="P1586" s="68"/>
    </row>
    <row r="1587">
      <c r="A1587" s="68"/>
      <c r="B1587" s="79"/>
      <c r="C1587" s="77"/>
      <c r="D1587" s="79"/>
      <c r="E1587" s="79"/>
      <c r="F1587" s="93"/>
      <c r="G1587" s="93"/>
      <c r="H1587" s="103"/>
      <c r="I1587" s="79"/>
      <c r="J1587" s="100"/>
      <c r="K1587" s="97"/>
      <c r="L1587" s="98"/>
      <c r="M1587" s="99" t="b">
        <v>0</v>
      </c>
      <c r="N1587" s="99"/>
      <c r="O1587" s="85"/>
      <c r="P1587" s="68"/>
    </row>
    <row r="1588">
      <c r="A1588" s="68"/>
      <c r="B1588" s="79"/>
      <c r="C1588" s="77"/>
      <c r="D1588" s="79"/>
      <c r="E1588" s="79"/>
      <c r="F1588" s="93"/>
      <c r="G1588" s="93"/>
      <c r="H1588" s="103"/>
      <c r="I1588" s="79"/>
      <c r="J1588" s="100"/>
      <c r="K1588" s="97"/>
      <c r="L1588" s="98"/>
      <c r="M1588" s="99" t="b">
        <v>0</v>
      </c>
      <c r="N1588" s="99"/>
      <c r="O1588" s="85"/>
      <c r="P1588" s="68"/>
    </row>
    <row r="1589">
      <c r="A1589" s="68"/>
      <c r="B1589" s="79"/>
      <c r="C1589" s="77"/>
      <c r="D1589" s="79"/>
      <c r="E1589" s="79"/>
      <c r="F1589" s="93"/>
      <c r="G1589" s="93"/>
      <c r="H1589" s="103"/>
      <c r="I1589" s="79"/>
      <c r="J1589" s="100"/>
      <c r="K1589" s="97"/>
      <c r="L1589" s="98"/>
      <c r="M1589" s="99" t="b">
        <v>0</v>
      </c>
      <c r="N1589" s="99"/>
      <c r="O1589" s="85"/>
      <c r="P1589" s="68"/>
    </row>
    <row r="1590">
      <c r="A1590" s="68"/>
      <c r="B1590" s="79"/>
      <c r="C1590" s="77"/>
      <c r="D1590" s="79"/>
      <c r="E1590" s="79"/>
      <c r="F1590" s="93"/>
      <c r="G1590" s="93"/>
      <c r="H1590" s="103"/>
      <c r="I1590" s="79"/>
      <c r="J1590" s="100"/>
      <c r="K1590" s="97"/>
      <c r="L1590" s="98"/>
      <c r="M1590" s="99" t="b">
        <v>0</v>
      </c>
      <c r="N1590" s="99"/>
      <c r="O1590" s="85"/>
      <c r="P1590" s="68"/>
    </row>
    <row r="1591">
      <c r="A1591" s="68"/>
      <c r="B1591" s="79"/>
      <c r="C1591" s="77"/>
      <c r="D1591" s="79"/>
      <c r="E1591" s="79"/>
      <c r="F1591" s="93"/>
      <c r="G1591" s="93"/>
      <c r="H1591" s="103"/>
      <c r="I1591" s="79"/>
      <c r="J1591" s="100"/>
      <c r="K1591" s="97"/>
      <c r="L1591" s="98"/>
      <c r="M1591" s="99" t="b">
        <v>0</v>
      </c>
      <c r="N1591" s="99"/>
      <c r="O1591" s="85"/>
      <c r="P1591" s="68"/>
    </row>
    <row r="1592">
      <c r="A1592" s="68"/>
      <c r="B1592" s="79"/>
      <c r="C1592" s="77"/>
      <c r="D1592" s="79"/>
      <c r="E1592" s="79"/>
      <c r="F1592" s="93"/>
      <c r="G1592" s="93"/>
      <c r="H1592" s="103"/>
      <c r="I1592" s="79"/>
      <c r="J1592" s="100"/>
      <c r="K1592" s="97"/>
      <c r="L1592" s="98"/>
      <c r="M1592" s="99" t="b">
        <v>0</v>
      </c>
      <c r="N1592" s="99"/>
      <c r="O1592" s="85"/>
      <c r="P1592" s="68"/>
    </row>
    <row r="1593">
      <c r="A1593" s="68"/>
      <c r="B1593" s="79"/>
      <c r="C1593" s="77"/>
      <c r="D1593" s="79"/>
      <c r="E1593" s="79"/>
      <c r="F1593" s="93"/>
      <c r="G1593" s="93"/>
      <c r="H1593" s="103"/>
      <c r="I1593" s="79"/>
      <c r="J1593" s="100"/>
      <c r="K1593" s="97"/>
      <c r="L1593" s="98"/>
      <c r="M1593" s="99" t="b">
        <v>0</v>
      </c>
      <c r="N1593" s="99"/>
      <c r="O1593" s="85"/>
      <c r="P1593" s="68"/>
    </row>
    <row r="1594">
      <c r="A1594" s="68"/>
      <c r="B1594" s="79"/>
      <c r="C1594" s="77"/>
      <c r="D1594" s="79"/>
      <c r="E1594" s="79"/>
      <c r="F1594" s="93"/>
      <c r="G1594" s="93"/>
      <c r="H1594" s="103"/>
      <c r="I1594" s="79"/>
      <c r="J1594" s="100"/>
      <c r="K1594" s="97"/>
      <c r="L1594" s="98"/>
      <c r="M1594" s="99" t="b">
        <v>0</v>
      </c>
      <c r="N1594" s="99"/>
      <c r="O1594" s="85"/>
      <c r="P1594" s="68"/>
    </row>
    <row r="1595">
      <c r="A1595" s="68"/>
      <c r="B1595" s="79"/>
      <c r="C1595" s="77"/>
      <c r="D1595" s="79"/>
      <c r="E1595" s="79"/>
      <c r="F1595" s="93"/>
      <c r="G1595" s="93"/>
      <c r="H1595" s="103"/>
      <c r="I1595" s="79"/>
      <c r="J1595" s="100"/>
      <c r="K1595" s="97"/>
      <c r="L1595" s="98"/>
      <c r="M1595" s="99" t="b">
        <v>0</v>
      </c>
      <c r="N1595" s="99"/>
      <c r="O1595" s="85"/>
      <c r="P1595" s="68"/>
    </row>
    <row r="1596">
      <c r="A1596" s="68"/>
      <c r="B1596" s="79"/>
      <c r="C1596" s="77"/>
      <c r="D1596" s="79"/>
      <c r="E1596" s="79"/>
      <c r="F1596" s="93"/>
      <c r="G1596" s="93"/>
      <c r="H1596" s="103"/>
      <c r="I1596" s="79"/>
      <c r="J1596" s="100"/>
      <c r="K1596" s="97"/>
      <c r="L1596" s="98"/>
      <c r="M1596" s="99" t="b">
        <v>0</v>
      </c>
      <c r="N1596" s="99"/>
      <c r="O1596" s="85"/>
      <c r="P1596" s="68"/>
    </row>
    <row r="1597">
      <c r="A1597" s="68"/>
      <c r="B1597" s="79"/>
      <c r="C1597" s="77"/>
      <c r="D1597" s="79"/>
      <c r="E1597" s="79"/>
      <c r="F1597" s="93"/>
      <c r="G1597" s="93"/>
      <c r="H1597" s="103"/>
      <c r="I1597" s="79"/>
      <c r="J1597" s="100"/>
      <c r="K1597" s="97"/>
      <c r="L1597" s="98"/>
      <c r="M1597" s="99" t="b">
        <v>0</v>
      </c>
      <c r="N1597" s="99"/>
      <c r="O1597" s="85"/>
      <c r="P1597" s="68"/>
    </row>
    <row r="1598">
      <c r="A1598" s="68"/>
      <c r="B1598" s="79"/>
      <c r="C1598" s="77"/>
      <c r="D1598" s="79"/>
      <c r="E1598" s="79"/>
      <c r="F1598" s="93"/>
      <c r="G1598" s="93"/>
      <c r="H1598" s="103"/>
      <c r="I1598" s="79"/>
      <c r="J1598" s="100"/>
      <c r="K1598" s="97"/>
      <c r="L1598" s="98"/>
      <c r="M1598" s="99" t="b">
        <v>0</v>
      </c>
      <c r="N1598" s="99"/>
      <c r="O1598" s="85"/>
      <c r="P1598" s="68"/>
    </row>
    <row r="1599">
      <c r="A1599" s="68"/>
      <c r="B1599" s="79"/>
      <c r="C1599" s="77"/>
      <c r="D1599" s="79"/>
      <c r="E1599" s="79"/>
      <c r="F1599" s="93"/>
      <c r="G1599" s="93"/>
      <c r="H1599" s="103"/>
      <c r="I1599" s="79"/>
      <c r="J1599" s="100"/>
      <c r="K1599" s="97"/>
      <c r="L1599" s="98"/>
      <c r="M1599" s="99" t="b">
        <v>0</v>
      </c>
      <c r="N1599" s="99"/>
      <c r="O1599" s="85"/>
      <c r="P1599" s="68"/>
    </row>
    <row r="1600">
      <c r="A1600" s="68"/>
      <c r="B1600" s="79"/>
      <c r="C1600" s="77"/>
      <c r="D1600" s="79"/>
      <c r="E1600" s="79"/>
      <c r="F1600" s="93"/>
      <c r="G1600" s="93"/>
      <c r="H1600" s="103"/>
      <c r="I1600" s="79"/>
      <c r="J1600" s="100"/>
      <c r="K1600" s="97"/>
      <c r="L1600" s="98"/>
      <c r="M1600" s="99" t="b">
        <v>0</v>
      </c>
      <c r="N1600" s="99"/>
      <c r="O1600" s="85"/>
      <c r="P1600" s="68"/>
    </row>
    <row r="1601">
      <c r="A1601" s="68"/>
      <c r="B1601" s="79"/>
      <c r="C1601" s="77"/>
      <c r="D1601" s="79"/>
      <c r="E1601" s="79"/>
      <c r="F1601" s="93"/>
      <c r="G1601" s="93"/>
      <c r="H1601" s="103"/>
      <c r="I1601" s="79"/>
      <c r="J1601" s="100"/>
      <c r="K1601" s="97"/>
      <c r="L1601" s="98"/>
      <c r="M1601" s="99" t="b">
        <v>0</v>
      </c>
      <c r="N1601" s="99"/>
      <c r="O1601" s="85"/>
      <c r="P1601" s="68"/>
    </row>
    <row r="1602">
      <c r="A1602" s="68"/>
      <c r="B1602" s="79"/>
      <c r="C1602" s="77"/>
      <c r="D1602" s="79"/>
      <c r="E1602" s="79"/>
      <c r="F1602" s="93"/>
      <c r="G1602" s="93"/>
      <c r="H1602" s="103"/>
      <c r="I1602" s="79"/>
      <c r="J1602" s="100"/>
      <c r="K1602" s="97"/>
      <c r="L1602" s="98"/>
      <c r="M1602" s="99" t="b">
        <v>0</v>
      </c>
      <c r="N1602" s="99"/>
      <c r="O1602" s="85"/>
      <c r="P1602" s="68"/>
    </row>
    <row r="1603">
      <c r="A1603" s="68"/>
      <c r="B1603" s="79"/>
      <c r="C1603" s="77"/>
      <c r="D1603" s="79"/>
      <c r="E1603" s="79"/>
      <c r="F1603" s="93"/>
      <c r="G1603" s="93"/>
      <c r="H1603" s="103"/>
      <c r="I1603" s="79"/>
      <c r="J1603" s="100"/>
      <c r="K1603" s="97"/>
      <c r="L1603" s="98"/>
      <c r="M1603" s="99" t="b">
        <v>0</v>
      </c>
      <c r="N1603" s="99"/>
      <c r="O1603" s="85"/>
      <c r="P1603" s="68"/>
    </row>
    <row r="1604">
      <c r="A1604" s="68"/>
      <c r="B1604" s="79"/>
      <c r="C1604" s="77"/>
      <c r="D1604" s="79"/>
      <c r="E1604" s="79"/>
      <c r="F1604" s="93"/>
      <c r="G1604" s="93"/>
      <c r="H1604" s="103"/>
      <c r="I1604" s="79"/>
      <c r="J1604" s="100"/>
      <c r="K1604" s="97"/>
      <c r="L1604" s="98"/>
      <c r="M1604" s="99" t="b">
        <v>0</v>
      </c>
      <c r="N1604" s="99"/>
      <c r="O1604" s="85"/>
      <c r="P1604" s="68"/>
    </row>
    <row r="1605">
      <c r="A1605" s="68"/>
      <c r="B1605" s="79"/>
      <c r="C1605" s="77"/>
      <c r="D1605" s="79"/>
      <c r="E1605" s="79"/>
      <c r="F1605" s="93"/>
      <c r="G1605" s="93"/>
      <c r="H1605" s="103"/>
      <c r="I1605" s="79"/>
      <c r="J1605" s="100"/>
      <c r="K1605" s="97"/>
      <c r="L1605" s="98"/>
      <c r="M1605" s="99" t="b">
        <v>0</v>
      </c>
      <c r="N1605" s="99"/>
      <c r="O1605" s="85"/>
      <c r="P1605" s="68"/>
    </row>
    <row r="1606">
      <c r="A1606" s="68"/>
      <c r="B1606" s="79"/>
      <c r="C1606" s="77"/>
      <c r="D1606" s="79"/>
      <c r="E1606" s="79"/>
      <c r="F1606" s="93"/>
      <c r="G1606" s="93"/>
      <c r="H1606" s="103"/>
      <c r="I1606" s="79"/>
      <c r="J1606" s="100"/>
      <c r="K1606" s="97"/>
      <c r="L1606" s="98"/>
      <c r="M1606" s="99" t="b">
        <v>0</v>
      </c>
      <c r="N1606" s="99"/>
      <c r="O1606" s="85"/>
      <c r="P1606" s="68"/>
    </row>
    <row r="1607">
      <c r="A1607" s="68"/>
      <c r="B1607" s="79"/>
      <c r="C1607" s="77"/>
      <c r="D1607" s="79"/>
      <c r="E1607" s="79"/>
      <c r="F1607" s="93"/>
      <c r="G1607" s="93"/>
      <c r="H1607" s="103"/>
      <c r="I1607" s="79"/>
      <c r="J1607" s="100"/>
      <c r="K1607" s="97"/>
      <c r="L1607" s="98"/>
      <c r="M1607" s="99" t="b">
        <v>0</v>
      </c>
      <c r="N1607" s="99"/>
      <c r="O1607" s="85"/>
      <c r="P1607" s="68"/>
    </row>
    <row r="1608">
      <c r="A1608" s="68"/>
      <c r="B1608" s="79"/>
      <c r="C1608" s="77"/>
      <c r="D1608" s="79"/>
      <c r="E1608" s="79"/>
      <c r="F1608" s="93"/>
      <c r="G1608" s="93"/>
      <c r="H1608" s="103"/>
      <c r="I1608" s="79"/>
      <c r="J1608" s="100"/>
      <c r="K1608" s="97"/>
      <c r="L1608" s="98"/>
      <c r="M1608" s="99" t="b">
        <v>0</v>
      </c>
      <c r="N1608" s="99"/>
      <c r="O1608" s="85"/>
      <c r="P1608" s="68"/>
    </row>
    <row r="1609">
      <c r="A1609" s="68"/>
      <c r="B1609" s="79"/>
      <c r="C1609" s="77"/>
      <c r="D1609" s="79"/>
      <c r="E1609" s="79"/>
      <c r="F1609" s="93"/>
      <c r="G1609" s="93"/>
      <c r="H1609" s="103"/>
      <c r="I1609" s="79"/>
      <c r="J1609" s="100"/>
      <c r="K1609" s="97"/>
      <c r="L1609" s="98"/>
      <c r="M1609" s="99" t="b">
        <v>0</v>
      </c>
      <c r="N1609" s="99"/>
      <c r="O1609" s="85"/>
      <c r="P1609" s="68"/>
    </row>
    <row r="1610">
      <c r="A1610" s="68"/>
      <c r="B1610" s="79"/>
      <c r="C1610" s="77"/>
      <c r="D1610" s="79"/>
      <c r="E1610" s="79"/>
      <c r="F1610" s="93"/>
      <c r="G1610" s="93"/>
      <c r="H1610" s="103"/>
      <c r="I1610" s="79"/>
      <c r="J1610" s="100"/>
      <c r="K1610" s="97"/>
      <c r="L1610" s="98"/>
      <c r="M1610" s="99" t="b">
        <v>0</v>
      </c>
      <c r="N1610" s="99"/>
      <c r="O1610" s="85"/>
      <c r="P1610" s="68"/>
    </row>
    <row r="1611">
      <c r="A1611" s="68"/>
      <c r="B1611" s="79"/>
      <c r="C1611" s="77"/>
      <c r="D1611" s="79"/>
      <c r="E1611" s="79"/>
      <c r="F1611" s="93"/>
      <c r="G1611" s="93"/>
      <c r="H1611" s="103"/>
      <c r="I1611" s="79"/>
      <c r="J1611" s="100"/>
      <c r="K1611" s="97"/>
      <c r="L1611" s="98"/>
      <c r="M1611" s="99" t="b">
        <v>0</v>
      </c>
      <c r="N1611" s="99"/>
      <c r="O1611" s="85"/>
      <c r="P1611" s="68"/>
    </row>
    <row r="1612">
      <c r="A1612" s="68"/>
      <c r="B1612" s="79"/>
      <c r="C1612" s="77"/>
      <c r="D1612" s="79"/>
      <c r="E1612" s="79"/>
      <c r="F1612" s="93"/>
      <c r="G1612" s="93"/>
      <c r="H1612" s="103"/>
      <c r="I1612" s="79"/>
      <c r="J1612" s="100"/>
      <c r="K1612" s="97"/>
      <c r="L1612" s="98"/>
      <c r="M1612" s="99" t="b">
        <v>0</v>
      </c>
      <c r="N1612" s="99"/>
      <c r="O1612" s="85"/>
      <c r="P1612" s="68"/>
    </row>
    <row r="1613">
      <c r="A1613" s="68"/>
      <c r="B1613" s="79"/>
      <c r="C1613" s="77"/>
      <c r="D1613" s="79"/>
      <c r="E1613" s="79"/>
      <c r="F1613" s="93"/>
      <c r="G1613" s="93"/>
      <c r="H1613" s="103"/>
      <c r="I1613" s="79"/>
      <c r="J1613" s="100"/>
      <c r="K1613" s="97"/>
      <c r="L1613" s="98"/>
      <c r="M1613" s="99" t="b">
        <v>0</v>
      </c>
      <c r="N1613" s="99"/>
      <c r="O1613" s="85"/>
      <c r="P1613" s="68"/>
    </row>
    <row r="1614">
      <c r="A1614" s="68"/>
      <c r="B1614" s="79"/>
      <c r="C1614" s="77"/>
      <c r="D1614" s="79"/>
      <c r="E1614" s="79"/>
      <c r="F1614" s="93"/>
      <c r="G1614" s="93"/>
      <c r="H1614" s="103"/>
      <c r="I1614" s="79"/>
      <c r="J1614" s="100"/>
      <c r="K1614" s="97"/>
      <c r="L1614" s="98"/>
      <c r="M1614" s="99" t="b">
        <v>0</v>
      </c>
      <c r="N1614" s="99"/>
      <c r="O1614" s="85"/>
      <c r="P1614" s="68"/>
    </row>
    <row r="1615">
      <c r="A1615" s="68"/>
      <c r="B1615" s="79"/>
      <c r="C1615" s="77"/>
      <c r="D1615" s="79"/>
      <c r="E1615" s="79"/>
      <c r="F1615" s="93"/>
      <c r="G1615" s="93"/>
      <c r="H1615" s="103"/>
      <c r="I1615" s="79"/>
      <c r="J1615" s="100"/>
      <c r="K1615" s="97"/>
      <c r="L1615" s="98"/>
      <c r="M1615" s="99" t="b">
        <v>0</v>
      </c>
      <c r="N1615" s="99"/>
      <c r="O1615" s="85"/>
      <c r="P1615" s="68"/>
    </row>
    <row r="1616">
      <c r="A1616" s="68"/>
      <c r="B1616" s="79"/>
      <c r="C1616" s="77"/>
      <c r="D1616" s="79"/>
      <c r="E1616" s="79"/>
      <c r="F1616" s="93"/>
      <c r="G1616" s="93"/>
      <c r="H1616" s="103"/>
      <c r="I1616" s="79"/>
      <c r="J1616" s="100"/>
      <c r="K1616" s="97"/>
      <c r="L1616" s="98"/>
      <c r="M1616" s="99" t="b">
        <v>0</v>
      </c>
      <c r="N1616" s="99"/>
      <c r="O1616" s="85"/>
      <c r="P1616" s="68"/>
    </row>
    <row r="1617">
      <c r="A1617" s="68"/>
      <c r="B1617" s="79"/>
      <c r="C1617" s="77"/>
      <c r="D1617" s="79"/>
      <c r="E1617" s="79"/>
      <c r="F1617" s="93"/>
      <c r="G1617" s="93"/>
      <c r="H1617" s="103"/>
      <c r="I1617" s="79"/>
      <c r="J1617" s="100"/>
      <c r="K1617" s="97"/>
      <c r="L1617" s="98"/>
      <c r="M1617" s="99" t="b">
        <v>0</v>
      </c>
      <c r="N1617" s="99"/>
      <c r="O1617" s="85"/>
      <c r="P1617" s="68"/>
    </row>
    <row r="1618">
      <c r="A1618" s="68"/>
      <c r="B1618" s="79"/>
      <c r="C1618" s="77"/>
      <c r="D1618" s="79"/>
      <c r="E1618" s="79"/>
      <c r="F1618" s="93"/>
      <c r="G1618" s="93"/>
      <c r="H1618" s="103"/>
      <c r="I1618" s="79"/>
      <c r="J1618" s="100"/>
      <c r="K1618" s="97"/>
      <c r="L1618" s="98"/>
      <c r="M1618" s="99" t="b">
        <v>0</v>
      </c>
      <c r="N1618" s="99"/>
      <c r="O1618" s="85"/>
      <c r="P1618" s="68"/>
    </row>
    <row r="1619">
      <c r="A1619" s="68"/>
      <c r="B1619" s="79"/>
      <c r="C1619" s="77"/>
      <c r="D1619" s="79"/>
      <c r="E1619" s="79"/>
      <c r="F1619" s="93"/>
      <c r="G1619" s="93"/>
      <c r="H1619" s="103"/>
      <c r="I1619" s="79"/>
      <c r="J1619" s="100"/>
      <c r="K1619" s="97"/>
      <c r="L1619" s="98"/>
      <c r="M1619" s="99" t="b">
        <v>0</v>
      </c>
      <c r="N1619" s="99"/>
      <c r="O1619" s="85"/>
      <c r="P1619" s="68"/>
    </row>
    <row r="1620">
      <c r="A1620" s="68"/>
      <c r="B1620" s="79"/>
      <c r="C1620" s="77"/>
      <c r="D1620" s="79"/>
      <c r="E1620" s="79"/>
      <c r="F1620" s="93"/>
      <c r="G1620" s="93"/>
      <c r="H1620" s="103"/>
      <c r="I1620" s="79"/>
      <c r="J1620" s="100"/>
      <c r="K1620" s="97"/>
      <c r="L1620" s="98"/>
      <c r="M1620" s="99" t="b">
        <v>0</v>
      </c>
      <c r="N1620" s="99"/>
      <c r="O1620" s="85"/>
      <c r="P1620" s="68"/>
    </row>
    <row r="1621">
      <c r="A1621" s="68"/>
      <c r="B1621" s="79"/>
      <c r="C1621" s="77"/>
      <c r="D1621" s="79"/>
      <c r="E1621" s="79"/>
      <c r="F1621" s="93"/>
      <c r="G1621" s="93"/>
      <c r="H1621" s="103"/>
      <c r="I1621" s="79"/>
      <c r="J1621" s="100"/>
      <c r="K1621" s="97"/>
      <c r="L1621" s="98"/>
      <c r="M1621" s="99" t="b">
        <v>0</v>
      </c>
      <c r="N1621" s="99"/>
      <c r="O1621" s="85"/>
      <c r="P1621" s="68"/>
    </row>
    <row r="1622">
      <c r="A1622" s="68"/>
      <c r="B1622" s="79"/>
      <c r="C1622" s="77"/>
      <c r="D1622" s="79"/>
      <c r="E1622" s="79"/>
      <c r="F1622" s="93"/>
      <c r="G1622" s="93"/>
      <c r="H1622" s="103"/>
      <c r="I1622" s="79"/>
      <c r="J1622" s="100"/>
      <c r="K1622" s="97"/>
      <c r="L1622" s="98"/>
      <c r="M1622" s="99" t="b">
        <v>0</v>
      </c>
      <c r="N1622" s="99"/>
      <c r="O1622" s="85"/>
      <c r="P1622" s="68"/>
    </row>
    <row r="1623">
      <c r="A1623" s="68"/>
      <c r="B1623" s="79"/>
      <c r="C1623" s="77"/>
      <c r="D1623" s="79"/>
      <c r="E1623" s="79"/>
      <c r="F1623" s="93"/>
      <c r="G1623" s="93"/>
      <c r="H1623" s="103"/>
      <c r="I1623" s="79"/>
      <c r="J1623" s="100"/>
      <c r="K1623" s="97"/>
      <c r="L1623" s="98"/>
      <c r="M1623" s="99" t="b">
        <v>0</v>
      </c>
      <c r="N1623" s="99"/>
      <c r="O1623" s="85"/>
      <c r="P1623" s="68"/>
    </row>
    <row r="1624">
      <c r="A1624" s="68"/>
      <c r="B1624" s="79"/>
      <c r="C1624" s="77"/>
      <c r="D1624" s="79"/>
      <c r="E1624" s="79"/>
      <c r="F1624" s="93"/>
      <c r="G1624" s="93"/>
      <c r="H1624" s="103"/>
      <c r="I1624" s="79"/>
      <c r="J1624" s="100"/>
      <c r="K1624" s="97"/>
      <c r="L1624" s="98"/>
      <c r="M1624" s="99" t="b">
        <v>0</v>
      </c>
      <c r="N1624" s="99"/>
      <c r="O1624" s="85"/>
      <c r="P1624" s="68"/>
    </row>
    <row r="1625">
      <c r="A1625" s="68"/>
      <c r="B1625" s="79"/>
      <c r="C1625" s="77"/>
      <c r="D1625" s="79"/>
      <c r="E1625" s="79"/>
      <c r="F1625" s="93"/>
      <c r="G1625" s="93"/>
      <c r="H1625" s="103"/>
      <c r="I1625" s="79"/>
      <c r="J1625" s="100"/>
      <c r="K1625" s="97"/>
      <c r="L1625" s="98"/>
      <c r="M1625" s="99" t="b">
        <v>0</v>
      </c>
      <c r="N1625" s="99"/>
      <c r="O1625" s="85"/>
      <c r="P1625" s="68"/>
    </row>
    <row r="1626">
      <c r="A1626" s="68"/>
      <c r="B1626" s="79"/>
      <c r="C1626" s="77"/>
      <c r="D1626" s="79"/>
      <c r="E1626" s="79"/>
      <c r="F1626" s="93"/>
      <c r="G1626" s="93"/>
      <c r="H1626" s="103"/>
      <c r="I1626" s="79"/>
      <c r="J1626" s="100"/>
      <c r="K1626" s="97"/>
      <c r="L1626" s="98"/>
      <c r="M1626" s="99" t="b">
        <v>0</v>
      </c>
      <c r="N1626" s="99"/>
      <c r="O1626" s="85"/>
      <c r="P1626" s="68"/>
    </row>
    <row r="1627">
      <c r="A1627" s="68"/>
      <c r="B1627" s="79"/>
      <c r="C1627" s="77"/>
      <c r="D1627" s="79"/>
      <c r="E1627" s="79"/>
      <c r="F1627" s="93"/>
      <c r="G1627" s="93"/>
      <c r="H1627" s="103"/>
      <c r="I1627" s="79"/>
      <c r="J1627" s="100"/>
      <c r="K1627" s="97"/>
      <c r="L1627" s="98"/>
      <c r="M1627" s="99" t="b">
        <v>0</v>
      </c>
      <c r="N1627" s="99"/>
      <c r="O1627" s="85"/>
      <c r="P1627" s="68"/>
    </row>
    <row r="1628">
      <c r="A1628" s="68"/>
      <c r="B1628" s="79"/>
      <c r="C1628" s="77"/>
      <c r="D1628" s="79"/>
      <c r="E1628" s="79"/>
      <c r="F1628" s="93"/>
      <c r="G1628" s="93"/>
      <c r="H1628" s="103"/>
      <c r="I1628" s="79"/>
      <c r="J1628" s="100"/>
      <c r="K1628" s="97"/>
      <c r="L1628" s="98"/>
      <c r="M1628" s="99" t="b">
        <v>0</v>
      </c>
      <c r="N1628" s="99"/>
      <c r="O1628" s="85"/>
      <c r="P1628" s="68"/>
    </row>
    <row r="1629">
      <c r="A1629" s="68"/>
      <c r="B1629" s="79"/>
      <c r="C1629" s="77"/>
      <c r="D1629" s="79"/>
      <c r="E1629" s="79"/>
      <c r="F1629" s="93"/>
      <c r="G1629" s="93"/>
      <c r="H1629" s="103"/>
      <c r="I1629" s="79"/>
      <c r="J1629" s="100"/>
      <c r="K1629" s="97"/>
      <c r="L1629" s="98"/>
      <c r="M1629" s="99" t="b">
        <v>0</v>
      </c>
      <c r="N1629" s="99"/>
      <c r="O1629" s="85"/>
      <c r="P1629" s="68"/>
    </row>
    <row r="1630">
      <c r="A1630" s="68"/>
      <c r="B1630" s="79"/>
      <c r="C1630" s="77"/>
      <c r="D1630" s="79"/>
      <c r="E1630" s="79"/>
      <c r="F1630" s="93"/>
      <c r="G1630" s="93"/>
      <c r="H1630" s="103"/>
      <c r="I1630" s="79"/>
      <c r="J1630" s="100"/>
      <c r="K1630" s="97"/>
      <c r="L1630" s="98"/>
      <c r="M1630" s="99" t="b">
        <v>0</v>
      </c>
      <c r="N1630" s="99"/>
      <c r="O1630" s="85"/>
      <c r="P1630" s="68"/>
    </row>
    <row r="1631">
      <c r="A1631" s="68"/>
      <c r="B1631" s="79"/>
      <c r="C1631" s="77"/>
      <c r="D1631" s="79"/>
      <c r="E1631" s="79"/>
      <c r="F1631" s="93"/>
      <c r="G1631" s="93"/>
      <c r="H1631" s="103"/>
      <c r="I1631" s="79"/>
      <c r="J1631" s="100"/>
      <c r="K1631" s="97"/>
      <c r="L1631" s="98"/>
      <c r="M1631" s="99" t="b">
        <v>0</v>
      </c>
      <c r="N1631" s="99"/>
      <c r="O1631" s="85"/>
      <c r="P1631" s="68"/>
    </row>
    <row r="1632">
      <c r="A1632" s="68"/>
      <c r="B1632" s="79"/>
      <c r="C1632" s="77"/>
      <c r="D1632" s="79"/>
      <c r="E1632" s="79"/>
      <c r="F1632" s="93"/>
      <c r="G1632" s="93"/>
      <c r="H1632" s="103"/>
      <c r="I1632" s="79"/>
      <c r="J1632" s="100"/>
      <c r="K1632" s="97"/>
      <c r="L1632" s="98"/>
      <c r="M1632" s="99" t="b">
        <v>0</v>
      </c>
      <c r="N1632" s="99"/>
      <c r="O1632" s="85"/>
      <c r="P1632" s="68"/>
    </row>
    <row r="1633">
      <c r="A1633" s="68"/>
      <c r="B1633" s="79"/>
      <c r="C1633" s="77"/>
      <c r="D1633" s="79"/>
      <c r="E1633" s="79"/>
      <c r="F1633" s="93"/>
      <c r="G1633" s="93"/>
      <c r="H1633" s="103"/>
      <c r="I1633" s="79"/>
      <c r="J1633" s="100"/>
      <c r="K1633" s="97"/>
      <c r="L1633" s="98"/>
      <c r="M1633" s="99" t="b">
        <v>0</v>
      </c>
      <c r="N1633" s="99"/>
      <c r="O1633" s="85"/>
      <c r="P1633" s="68"/>
    </row>
    <row r="1634">
      <c r="A1634" s="68"/>
      <c r="B1634" s="79"/>
      <c r="C1634" s="77"/>
      <c r="D1634" s="79"/>
      <c r="E1634" s="79"/>
      <c r="F1634" s="93"/>
      <c r="G1634" s="93"/>
      <c r="H1634" s="103"/>
      <c r="I1634" s="79"/>
      <c r="J1634" s="100"/>
      <c r="K1634" s="97"/>
      <c r="L1634" s="98"/>
      <c r="M1634" s="99" t="b">
        <v>0</v>
      </c>
      <c r="N1634" s="99"/>
      <c r="O1634" s="85"/>
      <c r="P1634" s="68"/>
    </row>
    <row r="1635">
      <c r="A1635" s="68"/>
      <c r="B1635" s="79"/>
      <c r="C1635" s="77"/>
      <c r="D1635" s="79"/>
      <c r="E1635" s="79"/>
      <c r="F1635" s="93"/>
      <c r="G1635" s="93"/>
      <c r="H1635" s="103"/>
      <c r="I1635" s="79"/>
      <c r="J1635" s="100"/>
      <c r="K1635" s="97"/>
      <c r="L1635" s="98"/>
      <c r="M1635" s="99" t="b">
        <v>0</v>
      </c>
      <c r="N1635" s="99"/>
      <c r="O1635" s="85"/>
      <c r="P1635" s="68"/>
    </row>
    <row r="1636">
      <c r="A1636" s="68"/>
      <c r="B1636" s="79"/>
      <c r="C1636" s="77"/>
      <c r="D1636" s="79"/>
      <c r="E1636" s="79"/>
      <c r="F1636" s="93"/>
      <c r="G1636" s="93"/>
      <c r="H1636" s="103"/>
      <c r="I1636" s="79"/>
      <c r="J1636" s="100"/>
      <c r="K1636" s="97"/>
      <c r="L1636" s="98"/>
      <c r="M1636" s="99" t="b">
        <v>0</v>
      </c>
      <c r="N1636" s="99"/>
      <c r="O1636" s="85"/>
      <c r="P1636" s="68"/>
    </row>
    <row r="1637">
      <c r="A1637" s="68"/>
      <c r="B1637" s="79"/>
      <c r="C1637" s="77"/>
      <c r="D1637" s="79"/>
      <c r="E1637" s="79"/>
      <c r="F1637" s="93"/>
      <c r="G1637" s="93"/>
      <c r="H1637" s="103"/>
      <c r="I1637" s="79"/>
      <c r="J1637" s="100"/>
      <c r="K1637" s="97"/>
      <c r="L1637" s="98"/>
      <c r="M1637" s="99" t="b">
        <v>0</v>
      </c>
      <c r="N1637" s="99"/>
      <c r="O1637" s="85"/>
      <c r="P1637" s="68"/>
    </row>
    <row r="1638">
      <c r="A1638" s="68"/>
      <c r="B1638" s="79"/>
      <c r="C1638" s="77"/>
      <c r="D1638" s="79"/>
      <c r="E1638" s="79"/>
      <c r="F1638" s="93"/>
      <c r="G1638" s="93"/>
      <c r="H1638" s="103"/>
      <c r="I1638" s="79"/>
      <c r="J1638" s="100"/>
      <c r="K1638" s="97"/>
      <c r="L1638" s="98"/>
      <c r="M1638" s="99" t="b">
        <v>0</v>
      </c>
      <c r="N1638" s="99"/>
      <c r="O1638" s="85"/>
      <c r="P1638" s="68"/>
    </row>
    <row r="1639">
      <c r="A1639" s="68"/>
      <c r="B1639" s="79"/>
      <c r="C1639" s="77"/>
      <c r="D1639" s="79"/>
      <c r="E1639" s="79"/>
      <c r="F1639" s="93"/>
      <c r="G1639" s="93"/>
      <c r="H1639" s="103"/>
      <c r="I1639" s="79"/>
      <c r="J1639" s="100"/>
      <c r="K1639" s="97"/>
      <c r="L1639" s="98"/>
      <c r="M1639" s="99" t="b">
        <v>0</v>
      </c>
      <c r="N1639" s="99"/>
      <c r="O1639" s="85"/>
      <c r="P1639" s="68"/>
    </row>
    <row r="1640">
      <c r="A1640" s="68"/>
      <c r="B1640" s="79"/>
      <c r="C1640" s="77"/>
      <c r="D1640" s="79"/>
      <c r="E1640" s="79"/>
      <c r="F1640" s="93"/>
      <c r="G1640" s="93"/>
      <c r="H1640" s="103"/>
      <c r="I1640" s="79"/>
      <c r="J1640" s="100"/>
      <c r="K1640" s="97"/>
      <c r="L1640" s="98"/>
      <c r="M1640" s="99" t="b">
        <v>0</v>
      </c>
      <c r="N1640" s="99"/>
      <c r="O1640" s="85"/>
      <c r="P1640" s="68"/>
    </row>
    <row r="1641">
      <c r="A1641" s="68"/>
      <c r="B1641" s="79"/>
      <c r="C1641" s="77"/>
      <c r="D1641" s="79"/>
      <c r="E1641" s="79"/>
      <c r="F1641" s="93"/>
      <c r="G1641" s="93"/>
      <c r="H1641" s="103"/>
      <c r="I1641" s="79"/>
      <c r="J1641" s="100"/>
      <c r="K1641" s="97"/>
      <c r="L1641" s="98"/>
      <c r="M1641" s="99" t="b">
        <v>0</v>
      </c>
      <c r="N1641" s="99"/>
      <c r="O1641" s="85"/>
      <c r="P1641" s="68"/>
    </row>
    <row r="1642">
      <c r="A1642" s="68"/>
      <c r="B1642" s="79"/>
      <c r="C1642" s="77"/>
      <c r="D1642" s="79"/>
      <c r="E1642" s="79"/>
      <c r="F1642" s="93"/>
      <c r="G1642" s="93"/>
      <c r="H1642" s="103"/>
      <c r="I1642" s="79"/>
      <c r="J1642" s="100"/>
      <c r="K1642" s="97"/>
      <c r="L1642" s="98"/>
      <c r="M1642" s="99" t="b">
        <v>0</v>
      </c>
      <c r="N1642" s="99"/>
      <c r="O1642" s="85"/>
      <c r="P1642" s="68"/>
    </row>
    <row r="1643">
      <c r="A1643" s="68"/>
      <c r="B1643" s="79"/>
      <c r="C1643" s="77"/>
      <c r="D1643" s="79"/>
      <c r="E1643" s="79"/>
      <c r="F1643" s="93"/>
      <c r="G1643" s="93"/>
      <c r="H1643" s="103"/>
      <c r="I1643" s="79"/>
      <c r="J1643" s="100"/>
      <c r="K1643" s="97"/>
      <c r="L1643" s="98"/>
      <c r="M1643" s="99" t="b">
        <v>0</v>
      </c>
      <c r="N1643" s="99"/>
      <c r="O1643" s="85"/>
      <c r="P1643" s="68"/>
    </row>
    <row r="1644">
      <c r="A1644" s="68"/>
      <c r="B1644" s="79"/>
      <c r="C1644" s="77"/>
      <c r="D1644" s="79"/>
      <c r="E1644" s="79"/>
      <c r="F1644" s="93"/>
      <c r="G1644" s="93"/>
      <c r="H1644" s="103"/>
      <c r="I1644" s="79"/>
      <c r="J1644" s="100"/>
      <c r="K1644" s="97"/>
      <c r="L1644" s="98"/>
      <c r="M1644" s="99" t="b">
        <v>0</v>
      </c>
      <c r="N1644" s="99"/>
      <c r="O1644" s="85"/>
      <c r="P1644" s="68"/>
    </row>
    <row r="1645">
      <c r="A1645" s="68"/>
      <c r="B1645" s="79"/>
      <c r="C1645" s="77"/>
      <c r="D1645" s="79"/>
      <c r="E1645" s="79"/>
      <c r="F1645" s="93"/>
      <c r="G1645" s="93"/>
      <c r="H1645" s="103"/>
      <c r="I1645" s="79"/>
      <c r="J1645" s="100"/>
      <c r="K1645" s="97"/>
      <c r="L1645" s="98"/>
      <c r="M1645" s="99" t="b">
        <v>0</v>
      </c>
      <c r="N1645" s="99"/>
      <c r="O1645" s="85"/>
      <c r="P1645" s="68"/>
    </row>
    <row r="1646">
      <c r="A1646" s="68"/>
      <c r="B1646" s="79"/>
      <c r="C1646" s="77"/>
      <c r="D1646" s="79"/>
      <c r="E1646" s="79"/>
      <c r="F1646" s="93"/>
      <c r="G1646" s="93"/>
      <c r="H1646" s="103"/>
      <c r="I1646" s="79"/>
      <c r="J1646" s="100"/>
      <c r="K1646" s="97"/>
      <c r="L1646" s="98"/>
      <c r="M1646" s="99" t="b">
        <v>0</v>
      </c>
      <c r="N1646" s="99"/>
      <c r="O1646" s="85"/>
      <c r="P1646" s="68"/>
    </row>
    <row r="1647">
      <c r="A1647" s="68"/>
      <c r="B1647" s="79"/>
      <c r="C1647" s="77"/>
      <c r="D1647" s="79"/>
      <c r="E1647" s="79"/>
      <c r="F1647" s="93"/>
      <c r="G1647" s="93"/>
      <c r="H1647" s="103"/>
      <c r="I1647" s="79"/>
      <c r="J1647" s="100"/>
      <c r="K1647" s="97"/>
      <c r="L1647" s="98"/>
      <c r="M1647" s="99" t="b">
        <v>0</v>
      </c>
      <c r="N1647" s="99"/>
      <c r="O1647" s="85"/>
      <c r="P1647" s="68"/>
    </row>
    <row r="1648">
      <c r="A1648" s="68"/>
      <c r="B1648" s="79"/>
      <c r="C1648" s="77"/>
      <c r="D1648" s="79"/>
      <c r="E1648" s="79"/>
      <c r="F1648" s="93"/>
      <c r="G1648" s="93"/>
      <c r="H1648" s="103"/>
      <c r="I1648" s="79"/>
      <c r="J1648" s="100"/>
      <c r="K1648" s="97"/>
      <c r="L1648" s="98"/>
      <c r="M1648" s="99" t="b">
        <v>0</v>
      </c>
      <c r="N1648" s="99"/>
      <c r="O1648" s="85"/>
      <c r="P1648" s="68"/>
    </row>
    <row r="1649">
      <c r="A1649" s="68"/>
      <c r="B1649" s="79"/>
      <c r="C1649" s="77"/>
      <c r="D1649" s="79"/>
      <c r="E1649" s="79"/>
      <c r="F1649" s="93"/>
      <c r="G1649" s="93"/>
      <c r="H1649" s="103"/>
      <c r="I1649" s="79"/>
      <c r="J1649" s="100"/>
      <c r="K1649" s="97"/>
      <c r="L1649" s="98"/>
      <c r="M1649" s="99" t="b">
        <v>0</v>
      </c>
      <c r="N1649" s="99"/>
      <c r="O1649" s="85"/>
      <c r="P1649" s="68"/>
    </row>
    <row r="1650">
      <c r="A1650" s="68"/>
      <c r="B1650" s="79"/>
      <c r="C1650" s="77"/>
      <c r="D1650" s="79"/>
      <c r="E1650" s="79"/>
      <c r="F1650" s="93"/>
      <c r="G1650" s="93"/>
      <c r="H1650" s="103"/>
      <c r="I1650" s="79"/>
      <c r="J1650" s="100"/>
      <c r="K1650" s="97"/>
      <c r="L1650" s="98"/>
      <c r="M1650" s="99" t="b">
        <v>0</v>
      </c>
      <c r="N1650" s="99"/>
      <c r="O1650" s="85"/>
      <c r="P1650" s="68"/>
    </row>
    <row r="1651">
      <c r="A1651" s="68"/>
      <c r="B1651" s="79"/>
      <c r="C1651" s="77"/>
      <c r="D1651" s="79"/>
      <c r="E1651" s="79"/>
      <c r="F1651" s="93"/>
      <c r="G1651" s="93"/>
      <c r="H1651" s="103"/>
      <c r="I1651" s="79"/>
      <c r="J1651" s="100"/>
      <c r="K1651" s="97"/>
      <c r="L1651" s="98"/>
      <c r="M1651" s="99" t="b">
        <v>0</v>
      </c>
      <c r="N1651" s="99"/>
      <c r="O1651" s="85"/>
      <c r="P1651" s="68"/>
    </row>
    <row r="1652">
      <c r="A1652" s="68"/>
      <c r="B1652" s="79"/>
      <c r="C1652" s="77"/>
      <c r="D1652" s="79"/>
      <c r="E1652" s="79"/>
      <c r="F1652" s="93"/>
      <c r="G1652" s="93"/>
      <c r="H1652" s="103"/>
      <c r="I1652" s="79"/>
      <c r="J1652" s="100"/>
      <c r="K1652" s="97"/>
      <c r="L1652" s="98"/>
      <c r="M1652" s="99" t="b">
        <v>0</v>
      </c>
      <c r="N1652" s="99"/>
      <c r="O1652" s="85"/>
      <c r="P1652" s="68"/>
    </row>
    <row r="1653">
      <c r="A1653" s="68"/>
      <c r="B1653" s="79"/>
      <c r="C1653" s="77"/>
      <c r="D1653" s="79"/>
      <c r="E1653" s="79"/>
      <c r="F1653" s="93"/>
      <c r="G1653" s="93"/>
      <c r="H1653" s="103"/>
      <c r="I1653" s="79"/>
      <c r="J1653" s="100"/>
      <c r="K1653" s="97"/>
      <c r="L1653" s="98"/>
      <c r="M1653" s="99" t="b">
        <v>0</v>
      </c>
      <c r="N1653" s="99"/>
      <c r="O1653" s="85"/>
      <c r="P1653" s="68"/>
    </row>
    <row r="1654">
      <c r="A1654" s="68"/>
      <c r="B1654" s="79"/>
      <c r="C1654" s="77"/>
      <c r="D1654" s="79"/>
      <c r="E1654" s="79"/>
      <c r="F1654" s="93"/>
      <c r="G1654" s="93"/>
      <c r="H1654" s="103"/>
      <c r="I1654" s="79"/>
      <c r="J1654" s="100"/>
      <c r="K1654" s="97"/>
      <c r="L1654" s="98"/>
      <c r="M1654" s="99" t="b">
        <v>0</v>
      </c>
      <c r="N1654" s="99"/>
      <c r="O1654" s="85"/>
      <c r="P1654" s="68"/>
    </row>
    <row r="1655">
      <c r="A1655" s="68"/>
      <c r="B1655" s="79"/>
      <c r="C1655" s="77"/>
      <c r="D1655" s="79"/>
      <c r="E1655" s="79"/>
      <c r="F1655" s="93"/>
      <c r="G1655" s="93"/>
      <c r="H1655" s="103"/>
      <c r="I1655" s="79"/>
      <c r="J1655" s="100"/>
      <c r="K1655" s="97"/>
      <c r="L1655" s="98"/>
      <c r="M1655" s="99" t="b">
        <v>0</v>
      </c>
      <c r="N1655" s="99"/>
      <c r="O1655" s="85"/>
      <c r="P1655" s="68"/>
    </row>
    <row r="1656">
      <c r="A1656" s="68"/>
      <c r="B1656" s="79"/>
      <c r="C1656" s="77"/>
      <c r="D1656" s="79"/>
      <c r="E1656" s="79"/>
      <c r="F1656" s="93"/>
      <c r="G1656" s="93"/>
      <c r="H1656" s="103"/>
      <c r="I1656" s="79"/>
      <c r="J1656" s="100"/>
      <c r="K1656" s="97"/>
      <c r="L1656" s="98"/>
      <c r="M1656" s="99" t="b">
        <v>0</v>
      </c>
      <c r="N1656" s="99"/>
      <c r="O1656" s="85"/>
      <c r="P1656" s="68"/>
    </row>
    <row r="1657">
      <c r="A1657" s="68"/>
      <c r="B1657" s="79"/>
      <c r="C1657" s="77"/>
      <c r="D1657" s="79"/>
      <c r="E1657" s="79"/>
      <c r="F1657" s="93"/>
      <c r="G1657" s="93"/>
      <c r="H1657" s="103"/>
      <c r="I1657" s="79"/>
      <c r="J1657" s="100"/>
      <c r="K1657" s="97"/>
      <c r="L1657" s="98"/>
      <c r="M1657" s="99" t="b">
        <v>0</v>
      </c>
      <c r="N1657" s="99"/>
      <c r="O1657" s="85"/>
      <c r="P1657" s="68"/>
    </row>
    <row r="1658">
      <c r="A1658" s="68"/>
      <c r="B1658" s="79"/>
      <c r="C1658" s="77"/>
      <c r="D1658" s="79"/>
      <c r="E1658" s="79"/>
      <c r="F1658" s="93"/>
      <c r="G1658" s="93"/>
      <c r="H1658" s="103"/>
      <c r="I1658" s="79"/>
      <c r="J1658" s="100"/>
      <c r="K1658" s="97"/>
      <c r="L1658" s="98"/>
      <c r="M1658" s="99" t="b">
        <v>0</v>
      </c>
      <c r="N1658" s="99"/>
      <c r="O1658" s="85"/>
      <c r="P1658" s="68"/>
    </row>
    <row r="1659">
      <c r="A1659" s="68"/>
      <c r="B1659" s="79"/>
      <c r="C1659" s="77"/>
      <c r="D1659" s="79"/>
      <c r="E1659" s="79"/>
      <c r="F1659" s="93"/>
      <c r="G1659" s="93"/>
      <c r="H1659" s="103"/>
      <c r="I1659" s="79"/>
      <c r="J1659" s="100"/>
      <c r="K1659" s="97"/>
      <c r="L1659" s="98"/>
      <c r="M1659" s="99" t="b">
        <v>0</v>
      </c>
      <c r="N1659" s="99"/>
      <c r="O1659" s="85"/>
      <c r="P1659" s="68"/>
    </row>
    <row r="1660">
      <c r="A1660" s="68"/>
      <c r="B1660" s="79"/>
      <c r="C1660" s="77"/>
      <c r="D1660" s="79"/>
      <c r="E1660" s="79"/>
      <c r="F1660" s="93"/>
      <c r="G1660" s="93"/>
      <c r="H1660" s="103"/>
      <c r="I1660" s="79"/>
      <c r="J1660" s="100"/>
      <c r="K1660" s="97"/>
      <c r="L1660" s="98"/>
      <c r="M1660" s="99" t="b">
        <v>0</v>
      </c>
      <c r="N1660" s="99"/>
      <c r="O1660" s="85"/>
      <c r="P1660" s="68"/>
    </row>
    <row r="1661">
      <c r="A1661" s="68"/>
      <c r="B1661" s="79"/>
      <c r="C1661" s="77"/>
      <c r="D1661" s="79"/>
      <c r="E1661" s="79"/>
      <c r="F1661" s="93"/>
      <c r="G1661" s="93"/>
      <c r="H1661" s="103"/>
      <c r="I1661" s="79"/>
      <c r="J1661" s="100"/>
      <c r="K1661" s="97"/>
      <c r="L1661" s="98"/>
      <c r="M1661" s="99" t="b">
        <v>0</v>
      </c>
      <c r="N1661" s="99"/>
      <c r="O1661" s="85"/>
      <c r="P1661" s="68"/>
    </row>
    <row r="1662">
      <c r="A1662" s="68"/>
      <c r="B1662" s="79"/>
      <c r="C1662" s="77"/>
      <c r="D1662" s="79"/>
      <c r="E1662" s="79"/>
      <c r="F1662" s="93"/>
      <c r="G1662" s="93"/>
      <c r="H1662" s="103"/>
      <c r="I1662" s="79"/>
      <c r="J1662" s="100"/>
      <c r="K1662" s="97"/>
      <c r="L1662" s="98"/>
      <c r="M1662" s="99" t="b">
        <v>0</v>
      </c>
      <c r="N1662" s="99"/>
      <c r="O1662" s="85"/>
      <c r="P1662" s="68"/>
    </row>
    <row r="1663">
      <c r="A1663" s="68"/>
      <c r="B1663" s="79"/>
      <c r="C1663" s="77"/>
      <c r="D1663" s="79"/>
      <c r="E1663" s="79"/>
      <c r="F1663" s="93"/>
      <c r="G1663" s="93"/>
      <c r="H1663" s="103"/>
      <c r="I1663" s="79"/>
      <c r="J1663" s="100"/>
      <c r="K1663" s="97"/>
      <c r="L1663" s="98"/>
      <c r="M1663" s="99" t="b">
        <v>0</v>
      </c>
      <c r="N1663" s="99"/>
      <c r="O1663" s="85"/>
      <c r="P1663" s="68"/>
    </row>
    <row r="1664">
      <c r="A1664" s="68"/>
      <c r="B1664" s="79"/>
      <c r="C1664" s="77"/>
      <c r="D1664" s="79"/>
      <c r="E1664" s="79"/>
      <c r="F1664" s="93"/>
      <c r="G1664" s="93"/>
      <c r="H1664" s="103"/>
      <c r="I1664" s="79"/>
      <c r="J1664" s="100"/>
      <c r="K1664" s="97"/>
      <c r="L1664" s="98"/>
      <c r="M1664" s="99" t="b">
        <v>0</v>
      </c>
      <c r="N1664" s="99"/>
      <c r="O1664" s="85"/>
      <c r="P1664" s="68"/>
    </row>
    <row r="1665">
      <c r="A1665" s="68"/>
      <c r="B1665" s="79"/>
      <c r="C1665" s="77"/>
      <c r="D1665" s="79"/>
      <c r="E1665" s="79"/>
      <c r="F1665" s="93"/>
      <c r="G1665" s="93"/>
      <c r="H1665" s="103"/>
      <c r="I1665" s="79"/>
      <c r="J1665" s="100"/>
      <c r="K1665" s="97"/>
      <c r="L1665" s="98"/>
      <c r="M1665" s="99" t="b">
        <v>0</v>
      </c>
      <c r="N1665" s="99"/>
      <c r="O1665" s="85"/>
      <c r="P1665" s="68"/>
    </row>
    <row r="1666">
      <c r="A1666" s="68"/>
      <c r="B1666" s="79"/>
      <c r="C1666" s="77"/>
      <c r="D1666" s="79"/>
      <c r="E1666" s="79"/>
      <c r="F1666" s="93"/>
      <c r="G1666" s="93"/>
      <c r="H1666" s="103"/>
      <c r="I1666" s="79"/>
      <c r="J1666" s="100"/>
      <c r="K1666" s="97"/>
      <c r="L1666" s="98"/>
      <c r="M1666" s="99" t="b">
        <v>0</v>
      </c>
      <c r="N1666" s="99"/>
      <c r="O1666" s="85"/>
      <c r="P1666" s="68"/>
    </row>
    <row r="1667">
      <c r="A1667" s="68"/>
      <c r="B1667" s="79"/>
      <c r="C1667" s="77"/>
      <c r="D1667" s="79"/>
      <c r="E1667" s="79"/>
      <c r="F1667" s="93"/>
      <c r="G1667" s="93"/>
      <c r="H1667" s="103"/>
      <c r="I1667" s="79"/>
      <c r="J1667" s="100"/>
      <c r="K1667" s="97"/>
      <c r="L1667" s="98"/>
      <c r="M1667" s="99" t="b">
        <v>0</v>
      </c>
      <c r="N1667" s="99"/>
      <c r="O1667" s="85"/>
      <c r="P1667" s="68"/>
    </row>
    <row r="1668">
      <c r="A1668" s="68"/>
      <c r="B1668" s="79"/>
      <c r="C1668" s="77"/>
      <c r="D1668" s="79"/>
      <c r="E1668" s="79"/>
      <c r="F1668" s="93"/>
      <c r="G1668" s="93"/>
      <c r="H1668" s="103"/>
      <c r="I1668" s="79"/>
      <c r="J1668" s="100"/>
      <c r="K1668" s="97"/>
      <c r="L1668" s="98"/>
      <c r="M1668" s="99" t="b">
        <v>0</v>
      </c>
      <c r="N1668" s="99"/>
      <c r="O1668" s="85"/>
      <c r="P1668" s="68"/>
    </row>
    <row r="1669">
      <c r="A1669" s="68"/>
      <c r="B1669" s="79"/>
      <c r="C1669" s="77"/>
      <c r="D1669" s="79"/>
      <c r="E1669" s="79"/>
      <c r="F1669" s="93"/>
      <c r="G1669" s="93"/>
      <c r="H1669" s="103"/>
      <c r="I1669" s="79"/>
      <c r="J1669" s="100"/>
      <c r="K1669" s="97"/>
      <c r="L1669" s="98"/>
      <c r="M1669" s="99" t="b">
        <v>0</v>
      </c>
      <c r="N1669" s="99"/>
      <c r="O1669" s="85"/>
      <c r="P1669" s="68"/>
    </row>
    <row r="1670">
      <c r="A1670" s="68"/>
      <c r="B1670" s="79"/>
      <c r="C1670" s="77"/>
      <c r="D1670" s="79"/>
      <c r="E1670" s="79"/>
      <c r="F1670" s="93"/>
      <c r="G1670" s="93"/>
      <c r="H1670" s="103"/>
      <c r="I1670" s="79"/>
      <c r="J1670" s="100"/>
      <c r="K1670" s="97"/>
      <c r="L1670" s="98"/>
      <c r="M1670" s="99" t="b">
        <v>0</v>
      </c>
      <c r="N1670" s="99"/>
      <c r="O1670" s="85"/>
      <c r="P1670" s="68"/>
    </row>
    <row r="1671">
      <c r="A1671" s="68"/>
      <c r="B1671" s="79"/>
      <c r="C1671" s="77"/>
      <c r="D1671" s="79"/>
      <c r="E1671" s="79"/>
      <c r="F1671" s="93"/>
      <c r="G1671" s="93"/>
      <c r="H1671" s="103"/>
      <c r="I1671" s="79"/>
      <c r="J1671" s="100"/>
      <c r="K1671" s="97"/>
      <c r="L1671" s="98"/>
      <c r="M1671" s="99" t="b">
        <v>0</v>
      </c>
      <c r="N1671" s="99"/>
      <c r="O1671" s="85"/>
      <c r="P1671" s="68"/>
    </row>
    <row r="1672">
      <c r="A1672" s="68"/>
      <c r="B1672" s="79"/>
      <c r="C1672" s="77"/>
      <c r="D1672" s="79"/>
      <c r="E1672" s="79"/>
      <c r="F1672" s="93"/>
      <c r="G1672" s="93"/>
      <c r="H1672" s="103"/>
      <c r="I1672" s="79"/>
      <c r="J1672" s="100"/>
      <c r="K1672" s="97"/>
      <c r="L1672" s="98"/>
      <c r="M1672" s="99" t="b">
        <v>0</v>
      </c>
      <c r="N1672" s="99"/>
      <c r="O1672" s="85"/>
      <c r="P1672" s="68"/>
    </row>
    <row r="1673">
      <c r="A1673" s="68"/>
      <c r="B1673" s="79"/>
      <c r="C1673" s="77"/>
      <c r="D1673" s="79"/>
      <c r="E1673" s="79"/>
      <c r="F1673" s="93"/>
      <c r="G1673" s="93"/>
      <c r="H1673" s="103"/>
      <c r="I1673" s="79"/>
      <c r="J1673" s="100"/>
      <c r="K1673" s="97"/>
      <c r="L1673" s="98"/>
      <c r="M1673" s="99" t="b">
        <v>0</v>
      </c>
      <c r="N1673" s="99"/>
      <c r="O1673" s="85"/>
      <c r="P1673" s="68"/>
    </row>
    <row r="1674">
      <c r="A1674" s="68"/>
      <c r="B1674" s="79"/>
      <c r="C1674" s="77"/>
      <c r="D1674" s="79"/>
      <c r="E1674" s="79"/>
      <c r="F1674" s="93"/>
      <c r="G1674" s="93"/>
      <c r="H1674" s="103"/>
      <c r="I1674" s="79"/>
      <c r="J1674" s="100"/>
      <c r="K1674" s="97"/>
      <c r="L1674" s="98"/>
      <c r="M1674" s="99" t="b">
        <v>0</v>
      </c>
      <c r="N1674" s="99"/>
      <c r="O1674" s="85"/>
      <c r="P1674" s="68"/>
    </row>
    <row r="1675">
      <c r="A1675" s="68"/>
      <c r="B1675" s="79"/>
      <c r="C1675" s="77"/>
      <c r="D1675" s="79"/>
      <c r="E1675" s="79"/>
      <c r="F1675" s="93"/>
      <c r="G1675" s="93"/>
      <c r="H1675" s="103"/>
      <c r="I1675" s="79"/>
      <c r="J1675" s="100"/>
      <c r="K1675" s="97"/>
      <c r="L1675" s="98"/>
      <c r="M1675" s="99" t="b">
        <v>0</v>
      </c>
      <c r="N1675" s="99"/>
      <c r="O1675" s="85"/>
      <c r="P1675" s="68"/>
    </row>
    <row r="1676">
      <c r="A1676" s="68"/>
      <c r="B1676" s="79"/>
      <c r="C1676" s="77"/>
      <c r="D1676" s="79"/>
      <c r="E1676" s="79"/>
      <c r="F1676" s="93"/>
      <c r="G1676" s="93"/>
      <c r="H1676" s="103"/>
      <c r="I1676" s="79"/>
      <c r="J1676" s="100"/>
      <c r="K1676" s="97"/>
      <c r="L1676" s="98"/>
      <c r="M1676" s="99" t="b">
        <v>0</v>
      </c>
      <c r="N1676" s="99"/>
      <c r="O1676" s="85"/>
      <c r="P1676" s="68"/>
    </row>
    <row r="1677">
      <c r="A1677" s="68"/>
      <c r="B1677" s="79"/>
      <c r="C1677" s="77"/>
      <c r="D1677" s="79"/>
      <c r="E1677" s="79"/>
      <c r="F1677" s="93"/>
      <c r="G1677" s="93"/>
      <c r="H1677" s="103"/>
      <c r="I1677" s="79"/>
      <c r="J1677" s="100"/>
      <c r="K1677" s="97"/>
      <c r="L1677" s="98"/>
      <c r="M1677" s="99" t="b">
        <v>0</v>
      </c>
      <c r="N1677" s="99"/>
      <c r="O1677" s="85"/>
      <c r="P1677" s="68"/>
    </row>
    <row r="1678">
      <c r="A1678" s="68"/>
      <c r="B1678" s="79"/>
      <c r="C1678" s="77"/>
      <c r="D1678" s="79"/>
      <c r="E1678" s="79"/>
      <c r="F1678" s="93"/>
      <c r="G1678" s="93"/>
      <c r="H1678" s="103"/>
      <c r="I1678" s="79"/>
      <c r="J1678" s="100"/>
      <c r="K1678" s="97"/>
      <c r="L1678" s="98"/>
      <c r="M1678" s="99" t="b">
        <v>0</v>
      </c>
      <c r="N1678" s="99"/>
      <c r="O1678" s="85"/>
      <c r="P1678" s="68"/>
    </row>
    <row r="1679">
      <c r="A1679" s="68"/>
      <c r="B1679" s="79"/>
      <c r="C1679" s="77"/>
      <c r="D1679" s="79"/>
      <c r="E1679" s="79"/>
      <c r="F1679" s="93"/>
      <c r="G1679" s="93"/>
      <c r="H1679" s="103"/>
      <c r="I1679" s="79"/>
      <c r="J1679" s="100"/>
      <c r="K1679" s="97"/>
      <c r="L1679" s="98"/>
      <c r="M1679" s="99" t="b">
        <v>0</v>
      </c>
      <c r="N1679" s="99"/>
      <c r="O1679" s="85"/>
      <c r="P1679" s="68"/>
    </row>
    <row r="1680">
      <c r="A1680" s="68"/>
      <c r="B1680" s="79"/>
      <c r="C1680" s="77"/>
      <c r="D1680" s="79"/>
      <c r="E1680" s="79"/>
      <c r="F1680" s="93"/>
      <c r="G1680" s="93"/>
      <c r="H1680" s="103"/>
      <c r="I1680" s="79"/>
      <c r="J1680" s="100"/>
      <c r="K1680" s="97"/>
      <c r="L1680" s="98"/>
      <c r="M1680" s="99" t="b">
        <v>0</v>
      </c>
      <c r="N1680" s="99"/>
      <c r="O1680" s="85"/>
      <c r="P1680" s="68"/>
    </row>
    <row r="1681">
      <c r="A1681" s="68"/>
      <c r="B1681" s="79"/>
      <c r="C1681" s="77"/>
      <c r="D1681" s="79"/>
      <c r="E1681" s="79"/>
      <c r="F1681" s="93"/>
      <c r="G1681" s="93"/>
      <c r="H1681" s="103"/>
      <c r="I1681" s="79"/>
      <c r="J1681" s="100"/>
      <c r="K1681" s="97"/>
      <c r="L1681" s="98"/>
      <c r="M1681" s="99" t="b">
        <v>0</v>
      </c>
      <c r="N1681" s="99"/>
      <c r="O1681" s="85"/>
      <c r="P1681" s="68"/>
    </row>
    <row r="1682">
      <c r="A1682" s="68"/>
      <c r="B1682" s="79"/>
      <c r="C1682" s="77"/>
      <c r="D1682" s="79"/>
      <c r="E1682" s="79"/>
      <c r="F1682" s="93"/>
      <c r="G1682" s="93"/>
      <c r="H1682" s="103"/>
      <c r="I1682" s="79"/>
      <c r="J1682" s="100"/>
      <c r="K1682" s="97"/>
      <c r="L1682" s="98"/>
      <c r="M1682" s="99" t="b">
        <v>0</v>
      </c>
      <c r="N1682" s="99"/>
      <c r="O1682" s="85"/>
      <c r="P1682" s="68"/>
    </row>
    <row r="1683">
      <c r="A1683" s="68"/>
      <c r="B1683" s="79"/>
      <c r="C1683" s="77"/>
      <c r="D1683" s="79"/>
      <c r="E1683" s="79"/>
      <c r="F1683" s="93"/>
      <c r="G1683" s="93"/>
      <c r="H1683" s="103"/>
      <c r="I1683" s="79"/>
      <c r="J1683" s="100"/>
      <c r="K1683" s="97"/>
      <c r="L1683" s="98"/>
      <c r="M1683" s="99" t="b">
        <v>0</v>
      </c>
      <c r="N1683" s="99"/>
      <c r="O1683" s="85"/>
      <c r="P1683" s="68"/>
    </row>
    <row r="1684">
      <c r="A1684" s="68"/>
      <c r="B1684" s="79"/>
      <c r="C1684" s="77"/>
      <c r="D1684" s="79"/>
      <c r="E1684" s="79"/>
      <c r="F1684" s="93"/>
      <c r="G1684" s="93"/>
      <c r="H1684" s="103"/>
      <c r="I1684" s="79"/>
      <c r="J1684" s="100"/>
      <c r="K1684" s="97"/>
      <c r="L1684" s="98"/>
      <c r="M1684" s="99" t="b">
        <v>0</v>
      </c>
      <c r="N1684" s="99"/>
      <c r="O1684" s="85"/>
      <c r="P1684" s="68"/>
    </row>
    <row r="1685">
      <c r="A1685" s="68"/>
      <c r="B1685" s="79"/>
      <c r="C1685" s="77"/>
      <c r="D1685" s="79"/>
      <c r="E1685" s="79"/>
      <c r="F1685" s="93"/>
      <c r="G1685" s="93"/>
      <c r="H1685" s="103"/>
      <c r="I1685" s="79"/>
      <c r="J1685" s="100"/>
      <c r="K1685" s="97"/>
      <c r="L1685" s="98"/>
      <c r="M1685" s="99" t="b">
        <v>0</v>
      </c>
      <c r="N1685" s="99"/>
      <c r="O1685" s="85"/>
      <c r="P1685" s="68"/>
    </row>
    <row r="1686">
      <c r="A1686" s="68"/>
      <c r="B1686" s="79"/>
      <c r="C1686" s="77"/>
      <c r="D1686" s="79"/>
      <c r="E1686" s="79"/>
      <c r="F1686" s="93"/>
      <c r="G1686" s="93"/>
      <c r="H1686" s="103"/>
      <c r="I1686" s="79"/>
      <c r="J1686" s="100"/>
      <c r="K1686" s="97"/>
      <c r="L1686" s="98"/>
      <c r="M1686" s="99" t="b">
        <v>0</v>
      </c>
      <c r="N1686" s="99"/>
      <c r="O1686" s="85"/>
      <c r="P1686" s="68"/>
    </row>
    <row r="1687">
      <c r="A1687" s="68"/>
      <c r="B1687" s="79"/>
      <c r="C1687" s="77"/>
      <c r="D1687" s="79"/>
      <c r="E1687" s="79"/>
      <c r="F1687" s="93"/>
      <c r="G1687" s="93"/>
      <c r="H1687" s="103"/>
      <c r="I1687" s="79"/>
      <c r="J1687" s="100"/>
      <c r="K1687" s="97"/>
      <c r="L1687" s="98"/>
      <c r="M1687" s="99" t="b">
        <v>0</v>
      </c>
      <c r="N1687" s="99"/>
      <c r="O1687" s="85"/>
      <c r="P1687" s="68"/>
    </row>
    <row r="1688">
      <c r="A1688" s="68"/>
      <c r="B1688" s="79"/>
      <c r="C1688" s="77"/>
      <c r="D1688" s="79"/>
      <c r="E1688" s="79"/>
      <c r="F1688" s="93"/>
      <c r="G1688" s="93"/>
      <c r="H1688" s="103"/>
      <c r="I1688" s="79"/>
      <c r="J1688" s="100"/>
      <c r="K1688" s="97"/>
      <c r="L1688" s="98"/>
      <c r="M1688" s="99" t="b">
        <v>0</v>
      </c>
      <c r="N1688" s="99"/>
      <c r="O1688" s="85"/>
      <c r="P1688" s="68"/>
    </row>
    <row r="1689">
      <c r="A1689" s="68"/>
      <c r="B1689" s="79"/>
      <c r="C1689" s="77"/>
      <c r="D1689" s="79"/>
      <c r="E1689" s="79"/>
      <c r="F1689" s="93"/>
      <c r="G1689" s="93"/>
      <c r="H1689" s="103"/>
      <c r="I1689" s="79"/>
      <c r="J1689" s="100"/>
      <c r="K1689" s="97"/>
      <c r="L1689" s="98"/>
      <c r="M1689" s="99" t="b">
        <v>0</v>
      </c>
      <c r="N1689" s="99"/>
      <c r="O1689" s="85"/>
      <c r="P1689" s="68"/>
    </row>
    <row r="1690">
      <c r="A1690" s="68"/>
      <c r="B1690" s="79"/>
      <c r="C1690" s="77"/>
      <c r="D1690" s="79"/>
      <c r="E1690" s="79"/>
      <c r="F1690" s="93"/>
      <c r="G1690" s="93"/>
      <c r="H1690" s="103"/>
      <c r="I1690" s="79"/>
      <c r="J1690" s="100"/>
      <c r="K1690" s="97"/>
      <c r="L1690" s="98"/>
      <c r="M1690" s="99" t="b">
        <v>0</v>
      </c>
      <c r="N1690" s="99"/>
      <c r="O1690" s="85"/>
      <c r="P1690" s="68"/>
    </row>
    <row r="1691">
      <c r="A1691" s="68"/>
      <c r="B1691" s="79"/>
      <c r="C1691" s="77"/>
      <c r="D1691" s="79"/>
      <c r="E1691" s="79"/>
      <c r="F1691" s="93"/>
      <c r="G1691" s="93"/>
      <c r="H1691" s="103"/>
      <c r="I1691" s="79"/>
      <c r="J1691" s="100"/>
      <c r="K1691" s="97"/>
      <c r="L1691" s="98"/>
      <c r="M1691" s="99" t="b">
        <v>0</v>
      </c>
      <c r="N1691" s="99"/>
      <c r="O1691" s="85"/>
      <c r="P1691" s="68"/>
    </row>
    <row r="1692">
      <c r="A1692" s="68"/>
      <c r="B1692" s="79"/>
      <c r="C1692" s="77"/>
      <c r="D1692" s="79"/>
      <c r="E1692" s="79"/>
      <c r="F1692" s="93"/>
      <c r="G1692" s="93"/>
      <c r="H1692" s="103"/>
      <c r="I1692" s="79"/>
      <c r="J1692" s="100"/>
      <c r="K1692" s="97"/>
      <c r="L1692" s="98"/>
      <c r="M1692" s="99" t="b">
        <v>0</v>
      </c>
      <c r="N1692" s="99"/>
      <c r="O1692" s="85"/>
      <c r="P1692" s="68"/>
    </row>
    <row r="1693">
      <c r="A1693" s="68"/>
      <c r="B1693" s="79"/>
      <c r="C1693" s="77"/>
      <c r="D1693" s="79"/>
      <c r="E1693" s="79"/>
      <c r="F1693" s="93"/>
      <c r="G1693" s="93"/>
      <c r="H1693" s="103"/>
      <c r="I1693" s="79"/>
      <c r="J1693" s="100"/>
      <c r="K1693" s="97"/>
      <c r="L1693" s="98"/>
      <c r="M1693" s="99" t="b">
        <v>0</v>
      </c>
      <c r="N1693" s="99"/>
      <c r="O1693" s="85"/>
      <c r="P1693" s="68"/>
    </row>
    <row r="1694">
      <c r="A1694" s="68"/>
      <c r="B1694" s="79"/>
      <c r="C1694" s="77"/>
      <c r="D1694" s="79"/>
      <c r="E1694" s="79"/>
      <c r="F1694" s="93"/>
      <c r="G1694" s="93"/>
      <c r="H1694" s="103"/>
      <c r="I1694" s="79"/>
      <c r="J1694" s="100"/>
      <c r="K1694" s="97"/>
      <c r="L1694" s="98"/>
      <c r="M1694" s="99" t="b">
        <v>0</v>
      </c>
      <c r="N1694" s="99"/>
      <c r="O1694" s="85"/>
      <c r="P1694" s="68"/>
    </row>
    <row r="1695">
      <c r="A1695" s="68"/>
      <c r="B1695" s="79"/>
      <c r="C1695" s="77"/>
      <c r="D1695" s="79"/>
      <c r="E1695" s="79"/>
      <c r="F1695" s="93"/>
      <c r="G1695" s="93"/>
      <c r="H1695" s="103"/>
      <c r="I1695" s="79"/>
      <c r="J1695" s="100"/>
      <c r="K1695" s="97"/>
      <c r="L1695" s="98"/>
      <c r="M1695" s="99" t="b">
        <v>0</v>
      </c>
      <c r="N1695" s="99"/>
      <c r="O1695" s="85"/>
      <c r="P1695" s="68"/>
    </row>
    <row r="1696">
      <c r="A1696" s="68"/>
      <c r="B1696" s="79"/>
      <c r="C1696" s="77"/>
      <c r="D1696" s="79"/>
      <c r="E1696" s="79"/>
      <c r="F1696" s="93"/>
      <c r="G1696" s="93"/>
      <c r="H1696" s="103"/>
      <c r="I1696" s="79"/>
      <c r="J1696" s="100"/>
      <c r="K1696" s="97"/>
      <c r="L1696" s="98"/>
      <c r="M1696" s="99" t="b">
        <v>0</v>
      </c>
      <c r="N1696" s="99"/>
      <c r="O1696" s="85"/>
      <c r="P1696" s="68"/>
    </row>
    <row r="1697">
      <c r="A1697" s="68"/>
      <c r="B1697" s="79"/>
      <c r="C1697" s="77"/>
      <c r="D1697" s="79"/>
      <c r="E1697" s="79"/>
      <c r="F1697" s="93"/>
      <c r="G1697" s="93"/>
      <c r="H1697" s="103"/>
      <c r="I1697" s="79"/>
      <c r="J1697" s="100"/>
      <c r="K1697" s="97"/>
      <c r="L1697" s="98"/>
      <c r="M1697" s="99" t="b">
        <v>0</v>
      </c>
      <c r="N1697" s="99"/>
      <c r="O1697" s="85"/>
      <c r="P1697" s="68"/>
    </row>
    <row r="1698">
      <c r="A1698" s="68"/>
      <c r="B1698" s="79"/>
      <c r="C1698" s="77"/>
      <c r="D1698" s="79"/>
      <c r="E1698" s="79"/>
      <c r="F1698" s="93"/>
      <c r="G1698" s="93"/>
      <c r="H1698" s="103"/>
      <c r="I1698" s="79"/>
      <c r="J1698" s="100"/>
      <c r="K1698" s="97"/>
      <c r="L1698" s="98"/>
      <c r="M1698" s="99" t="b">
        <v>0</v>
      </c>
      <c r="N1698" s="99"/>
      <c r="O1698" s="85"/>
      <c r="P1698" s="68"/>
    </row>
    <row r="1699">
      <c r="A1699" s="68"/>
      <c r="B1699" s="79"/>
      <c r="C1699" s="77"/>
      <c r="D1699" s="79"/>
      <c r="E1699" s="79"/>
      <c r="F1699" s="93"/>
      <c r="G1699" s="93"/>
      <c r="H1699" s="103"/>
      <c r="I1699" s="79"/>
      <c r="J1699" s="100"/>
      <c r="K1699" s="97"/>
      <c r="L1699" s="98"/>
      <c r="M1699" s="99" t="b">
        <v>0</v>
      </c>
      <c r="N1699" s="99"/>
      <c r="O1699" s="85"/>
      <c r="P1699" s="68"/>
    </row>
    <row r="1700">
      <c r="A1700" s="68"/>
      <c r="B1700" s="79"/>
      <c r="C1700" s="77"/>
      <c r="D1700" s="79"/>
      <c r="E1700" s="79"/>
      <c r="F1700" s="93"/>
      <c r="G1700" s="93"/>
      <c r="H1700" s="103"/>
      <c r="I1700" s="79"/>
      <c r="J1700" s="100"/>
      <c r="K1700" s="97"/>
      <c r="L1700" s="98"/>
      <c r="M1700" s="99" t="b">
        <v>0</v>
      </c>
      <c r="N1700" s="99"/>
      <c r="O1700" s="85"/>
      <c r="P1700" s="68"/>
    </row>
    <row r="1701">
      <c r="A1701" s="68"/>
      <c r="B1701" s="79"/>
      <c r="C1701" s="77"/>
      <c r="D1701" s="79"/>
      <c r="E1701" s="79"/>
      <c r="F1701" s="93"/>
      <c r="G1701" s="93"/>
      <c r="H1701" s="103"/>
      <c r="I1701" s="79"/>
      <c r="J1701" s="100"/>
      <c r="K1701" s="97"/>
      <c r="L1701" s="98"/>
      <c r="M1701" s="99" t="b">
        <v>0</v>
      </c>
      <c r="N1701" s="99"/>
      <c r="O1701" s="85"/>
      <c r="P1701" s="68"/>
    </row>
    <row r="1702">
      <c r="A1702" s="68"/>
      <c r="B1702" s="79"/>
      <c r="C1702" s="77"/>
      <c r="D1702" s="79"/>
      <c r="E1702" s="79"/>
      <c r="F1702" s="93"/>
      <c r="G1702" s="93"/>
      <c r="H1702" s="103"/>
      <c r="I1702" s="79"/>
      <c r="J1702" s="100"/>
      <c r="K1702" s="97"/>
      <c r="L1702" s="98"/>
      <c r="M1702" s="99" t="b">
        <v>0</v>
      </c>
      <c r="N1702" s="99"/>
      <c r="O1702" s="85"/>
      <c r="P1702" s="68"/>
    </row>
    <row r="1703">
      <c r="A1703" s="68"/>
      <c r="B1703" s="79"/>
      <c r="C1703" s="77"/>
      <c r="D1703" s="79"/>
      <c r="E1703" s="79"/>
      <c r="F1703" s="93"/>
      <c r="G1703" s="93"/>
      <c r="H1703" s="103"/>
      <c r="I1703" s="79"/>
      <c r="J1703" s="100"/>
      <c r="K1703" s="97"/>
      <c r="L1703" s="98"/>
      <c r="M1703" s="99" t="b">
        <v>0</v>
      </c>
      <c r="N1703" s="99"/>
      <c r="O1703" s="85"/>
      <c r="P1703" s="68"/>
    </row>
    <row r="1704">
      <c r="A1704" s="68"/>
      <c r="B1704" s="79"/>
      <c r="C1704" s="77"/>
      <c r="D1704" s="79"/>
      <c r="E1704" s="79"/>
      <c r="F1704" s="93"/>
      <c r="G1704" s="93"/>
      <c r="H1704" s="103"/>
      <c r="I1704" s="79"/>
      <c r="J1704" s="100"/>
      <c r="K1704" s="97"/>
      <c r="L1704" s="98"/>
      <c r="M1704" s="99" t="b">
        <v>0</v>
      </c>
      <c r="N1704" s="99"/>
      <c r="O1704" s="85"/>
      <c r="P1704" s="68"/>
    </row>
    <row r="1705">
      <c r="A1705" s="68"/>
      <c r="B1705" s="79"/>
      <c r="C1705" s="77"/>
      <c r="D1705" s="79"/>
      <c r="E1705" s="79"/>
      <c r="F1705" s="93"/>
      <c r="G1705" s="93"/>
      <c r="H1705" s="103"/>
      <c r="I1705" s="79"/>
      <c r="J1705" s="100"/>
      <c r="K1705" s="97"/>
      <c r="L1705" s="98"/>
      <c r="M1705" s="99" t="b">
        <v>0</v>
      </c>
      <c r="N1705" s="99"/>
      <c r="O1705" s="85"/>
      <c r="P1705" s="68"/>
    </row>
    <row r="1706">
      <c r="A1706" s="68"/>
      <c r="B1706" s="79"/>
      <c r="C1706" s="77"/>
      <c r="D1706" s="79"/>
      <c r="E1706" s="79"/>
      <c r="F1706" s="93"/>
      <c r="G1706" s="93"/>
      <c r="H1706" s="103"/>
      <c r="I1706" s="79"/>
      <c r="J1706" s="100"/>
      <c r="K1706" s="97"/>
      <c r="L1706" s="98"/>
      <c r="M1706" s="99" t="b">
        <v>0</v>
      </c>
      <c r="N1706" s="99"/>
      <c r="O1706" s="85"/>
      <c r="P1706" s="68"/>
    </row>
    <row r="1707">
      <c r="A1707" s="68"/>
      <c r="B1707" s="79"/>
      <c r="C1707" s="77"/>
      <c r="D1707" s="79"/>
      <c r="E1707" s="79"/>
      <c r="F1707" s="93"/>
      <c r="G1707" s="93"/>
      <c r="H1707" s="103"/>
      <c r="I1707" s="79"/>
      <c r="J1707" s="100"/>
      <c r="K1707" s="97"/>
      <c r="L1707" s="98"/>
      <c r="M1707" s="99" t="b">
        <v>0</v>
      </c>
      <c r="N1707" s="99"/>
      <c r="O1707" s="85"/>
      <c r="P1707" s="68"/>
    </row>
    <row r="1708">
      <c r="A1708" s="68"/>
      <c r="B1708" s="79"/>
      <c r="C1708" s="77"/>
      <c r="D1708" s="79"/>
      <c r="E1708" s="79"/>
      <c r="F1708" s="93"/>
      <c r="G1708" s="93"/>
      <c r="H1708" s="103"/>
      <c r="I1708" s="79"/>
      <c r="J1708" s="100"/>
      <c r="K1708" s="97"/>
      <c r="L1708" s="98"/>
      <c r="M1708" s="99" t="b">
        <v>0</v>
      </c>
      <c r="N1708" s="99"/>
      <c r="O1708" s="85"/>
      <c r="P1708" s="68"/>
    </row>
    <row r="1709">
      <c r="A1709" s="68"/>
      <c r="B1709" s="79"/>
      <c r="C1709" s="77"/>
      <c r="D1709" s="79"/>
      <c r="E1709" s="79"/>
      <c r="F1709" s="93"/>
      <c r="G1709" s="93"/>
      <c r="H1709" s="103"/>
      <c r="I1709" s="79"/>
      <c r="J1709" s="100"/>
      <c r="K1709" s="97"/>
      <c r="L1709" s="98"/>
      <c r="M1709" s="99" t="b">
        <v>0</v>
      </c>
      <c r="N1709" s="99"/>
      <c r="O1709" s="85"/>
      <c r="P1709" s="68"/>
    </row>
    <row r="1710">
      <c r="A1710" s="68"/>
      <c r="B1710" s="79"/>
      <c r="C1710" s="77"/>
      <c r="D1710" s="79"/>
      <c r="E1710" s="79"/>
      <c r="F1710" s="93"/>
      <c r="G1710" s="93"/>
      <c r="H1710" s="103"/>
      <c r="I1710" s="79"/>
      <c r="J1710" s="100"/>
      <c r="K1710" s="97"/>
      <c r="L1710" s="98"/>
      <c r="M1710" s="99" t="b">
        <v>0</v>
      </c>
      <c r="N1710" s="99"/>
      <c r="O1710" s="85"/>
      <c r="P1710" s="68"/>
    </row>
    <row r="1711">
      <c r="A1711" s="68"/>
      <c r="B1711" s="79"/>
      <c r="C1711" s="77"/>
      <c r="D1711" s="79"/>
      <c r="E1711" s="79"/>
      <c r="F1711" s="93"/>
      <c r="G1711" s="93"/>
      <c r="H1711" s="103"/>
      <c r="I1711" s="79"/>
      <c r="J1711" s="100"/>
      <c r="K1711" s="97"/>
      <c r="L1711" s="98"/>
      <c r="M1711" s="99" t="b">
        <v>0</v>
      </c>
      <c r="N1711" s="99"/>
      <c r="O1711" s="85"/>
      <c r="P1711" s="68"/>
    </row>
    <row r="1712">
      <c r="A1712" s="68"/>
      <c r="B1712" s="79"/>
      <c r="C1712" s="77"/>
      <c r="D1712" s="79"/>
      <c r="E1712" s="79"/>
      <c r="F1712" s="93"/>
      <c r="G1712" s="93"/>
      <c r="H1712" s="103"/>
      <c r="I1712" s="79"/>
      <c r="J1712" s="100"/>
      <c r="K1712" s="97"/>
      <c r="L1712" s="98"/>
      <c r="M1712" s="99" t="b">
        <v>0</v>
      </c>
      <c r="N1712" s="99"/>
      <c r="O1712" s="85"/>
      <c r="P1712" s="68"/>
    </row>
    <row r="1713">
      <c r="A1713" s="68"/>
      <c r="B1713" s="79"/>
      <c r="C1713" s="77"/>
      <c r="D1713" s="79"/>
      <c r="E1713" s="79"/>
      <c r="F1713" s="93"/>
      <c r="G1713" s="93"/>
      <c r="H1713" s="103"/>
      <c r="I1713" s="79"/>
      <c r="J1713" s="100"/>
      <c r="K1713" s="97"/>
      <c r="L1713" s="98"/>
      <c r="M1713" s="99" t="b">
        <v>0</v>
      </c>
      <c r="N1713" s="99"/>
      <c r="O1713" s="85"/>
      <c r="P1713" s="68"/>
    </row>
    <row r="1714">
      <c r="A1714" s="68"/>
      <c r="B1714" s="79"/>
      <c r="C1714" s="77"/>
      <c r="D1714" s="79"/>
      <c r="E1714" s="79"/>
      <c r="F1714" s="93"/>
      <c r="G1714" s="93"/>
      <c r="H1714" s="103"/>
      <c r="I1714" s="79"/>
      <c r="J1714" s="100"/>
      <c r="K1714" s="97"/>
      <c r="L1714" s="98"/>
      <c r="M1714" s="99" t="b">
        <v>0</v>
      </c>
      <c r="N1714" s="99"/>
      <c r="O1714" s="85"/>
      <c r="P1714" s="68"/>
    </row>
    <row r="1715">
      <c r="A1715" s="68"/>
      <c r="B1715" s="79"/>
      <c r="C1715" s="77"/>
      <c r="D1715" s="79"/>
      <c r="E1715" s="79"/>
      <c r="F1715" s="93"/>
      <c r="G1715" s="93"/>
      <c r="H1715" s="103"/>
      <c r="I1715" s="79"/>
      <c r="J1715" s="100"/>
      <c r="K1715" s="97"/>
      <c r="L1715" s="98"/>
      <c r="M1715" s="99" t="b">
        <v>0</v>
      </c>
      <c r="N1715" s="99"/>
      <c r="O1715" s="85"/>
      <c r="P1715" s="68"/>
    </row>
    <row r="1716">
      <c r="A1716" s="68"/>
      <c r="B1716" s="79"/>
      <c r="C1716" s="77"/>
      <c r="D1716" s="79"/>
      <c r="E1716" s="79"/>
      <c r="F1716" s="93"/>
      <c r="G1716" s="93"/>
      <c r="H1716" s="103"/>
      <c r="I1716" s="79"/>
      <c r="J1716" s="100"/>
      <c r="K1716" s="97"/>
      <c r="L1716" s="98"/>
      <c r="M1716" s="99" t="b">
        <v>0</v>
      </c>
      <c r="N1716" s="99"/>
      <c r="O1716" s="85"/>
      <c r="P1716" s="68"/>
    </row>
    <row r="1717">
      <c r="A1717" s="68"/>
      <c r="B1717" s="79"/>
      <c r="C1717" s="77"/>
      <c r="D1717" s="79"/>
      <c r="E1717" s="79"/>
      <c r="F1717" s="93"/>
      <c r="G1717" s="93"/>
      <c r="H1717" s="103"/>
      <c r="I1717" s="79"/>
      <c r="J1717" s="100"/>
      <c r="K1717" s="97"/>
      <c r="L1717" s="98"/>
      <c r="M1717" s="99" t="b">
        <v>0</v>
      </c>
      <c r="N1717" s="99"/>
      <c r="O1717" s="85"/>
      <c r="P1717" s="68"/>
    </row>
    <row r="1718">
      <c r="A1718" s="68"/>
      <c r="B1718" s="79"/>
      <c r="C1718" s="77"/>
      <c r="D1718" s="79"/>
      <c r="E1718" s="79"/>
      <c r="F1718" s="93"/>
      <c r="G1718" s="93"/>
      <c r="H1718" s="103"/>
      <c r="I1718" s="79"/>
      <c r="J1718" s="100"/>
      <c r="K1718" s="97"/>
      <c r="L1718" s="98"/>
      <c r="M1718" s="99" t="b">
        <v>0</v>
      </c>
      <c r="N1718" s="99"/>
      <c r="O1718" s="85"/>
      <c r="P1718" s="68"/>
    </row>
    <row r="1719">
      <c r="A1719" s="68"/>
      <c r="B1719" s="79"/>
      <c r="C1719" s="77"/>
      <c r="D1719" s="79"/>
      <c r="E1719" s="79"/>
      <c r="F1719" s="93"/>
      <c r="G1719" s="93"/>
      <c r="H1719" s="103"/>
      <c r="I1719" s="79"/>
      <c r="J1719" s="100"/>
      <c r="K1719" s="97"/>
      <c r="L1719" s="98"/>
      <c r="M1719" s="99" t="b">
        <v>0</v>
      </c>
      <c r="N1719" s="99"/>
      <c r="O1719" s="85"/>
      <c r="P1719" s="68"/>
    </row>
    <row r="1720">
      <c r="A1720" s="68"/>
      <c r="B1720" s="79"/>
      <c r="C1720" s="77"/>
      <c r="D1720" s="79"/>
      <c r="E1720" s="79"/>
      <c r="F1720" s="93"/>
      <c r="G1720" s="93"/>
      <c r="H1720" s="103"/>
      <c r="I1720" s="79"/>
      <c r="J1720" s="100"/>
      <c r="K1720" s="97"/>
      <c r="L1720" s="98"/>
      <c r="M1720" s="99" t="b">
        <v>0</v>
      </c>
      <c r="N1720" s="99"/>
      <c r="O1720" s="85"/>
      <c r="P1720" s="68"/>
    </row>
    <row r="1721">
      <c r="A1721" s="68"/>
      <c r="B1721" s="79"/>
      <c r="C1721" s="77"/>
      <c r="D1721" s="79"/>
      <c r="E1721" s="79"/>
      <c r="F1721" s="93"/>
      <c r="G1721" s="93"/>
      <c r="H1721" s="103"/>
      <c r="I1721" s="79"/>
      <c r="J1721" s="100"/>
      <c r="K1721" s="97"/>
      <c r="L1721" s="98"/>
      <c r="M1721" s="99" t="b">
        <v>0</v>
      </c>
      <c r="N1721" s="99"/>
      <c r="O1721" s="85"/>
      <c r="P1721" s="68"/>
    </row>
    <row r="1722">
      <c r="A1722" s="68"/>
      <c r="B1722" s="79"/>
      <c r="C1722" s="77"/>
      <c r="D1722" s="79"/>
      <c r="E1722" s="79"/>
      <c r="F1722" s="93"/>
      <c r="G1722" s="93"/>
      <c r="H1722" s="103"/>
      <c r="I1722" s="79"/>
      <c r="J1722" s="100"/>
      <c r="K1722" s="97"/>
      <c r="L1722" s="98"/>
      <c r="M1722" s="99" t="b">
        <v>0</v>
      </c>
      <c r="N1722" s="99"/>
      <c r="O1722" s="85"/>
      <c r="P1722" s="68"/>
    </row>
    <row r="1723">
      <c r="A1723" s="68"/>
      <c r="B1723" s="79"/>
      <c r="C1723" s="77"/>
      <c r="D1723" s="79"/>
      <c r="E1723" s="79"/>
      <c r="F1723" s="93"/>
      <c r="G1723" s="93"/>
      <c r="H1723" s="103"/>
      <c r="I1723" s="79"/>
      <c r="J1723" s="100"/>
      <c r="K1723" s="97"/>
      <c r="L1723" s="98"/>
      <c r="M1723" s="99" t="b">
        <v>0</v>
      </c>
      <c r="N1723" s="99"/>
      <c r="O1723" s="85"/>
      <c r="P1723" s="68"/>
    </row>
    <row r="1724">
      <c r="A1724" s="68"/>
      <c r="B1724" s="79"/>
      <c r="C1724" s="77"/>
      <c r="D1724" s="79"/>
      <c r="E1724" s="79"/>
      <c r="F1724" s="93"/>
      <c r="G1724" s="93"/>
      <c r="H1724" s="103"/>
      <c r="I1724" s="79"/>
      <c r="J1724" s="100"/>
      <c r="K1724" s="97"/>
      <c r="L1724" s="98"/>
      <c r="M1724" s="99" t="b">
        <v>0</v>
      </c>
      <c r="N1724" s="99"/>
      <c r="O1724" s="85"/>
      <c r="P1724" s="68"/>
    </row>
    <row r="1725">
      <c r="A1725" s="68"/>
      <c r="B1725" s="79"/>
      <c r="C1725" s="77"/>
      <c r="D1725" s="79"/>
      <c r="E1725" s="79"/>
      <c r="F1725" s="93"/>
      <c r="G1725" s="93"/>
      <c r="H1725" s="103"/>
      <c r="I1725" s="79"/>
      <c r="J1725" s="100"/>
      <c r="K1725" s="97"/>
      <c r="L1725" s="98"/>
      <c r="M1725" s="99" t="b">
        <v>0</v>
      </c>
      <c r="N1725" s="99"/>
      <c r="O1725" s="85"/>
      <c r="P1725" s="68"/>
    </row>
    <row r="1726">
      <c r="A1726" s="68"/>
      <c r="B1726" s="79"/>
      <c r="C1726" s="77"/>
      <c r="D1726" s="79"/>
      <c r="E1726" s="79"/>
      <c r="F1726" s="93"/>
      <c r="G1726" s="93"/>
      <c r="H1726" s="103"/>
      <c r="I1726" s="79"/>
      <c r="J1726" s="100"/>
      <c r="K1726" s="97"/>
      <c r="L1726" s="98"/>
      <c r="M1726" s="99" t="b">
        <v>0</v>
      </c>
      <c r="N1726" s="99"/>
      <c r="O1726" s="85"/>
      <c r="P1726" s="68"/>
    </row>
    <row r="1727">
      <c r="A1727" s="68"/>
      <c r="B1727" s="79"/>
      <c r="C1727" s="77"/>
      <c r="D1727" s="79"/>
      <c r="E1727" s="79"/>
      <c r="F1727" s="93"/>
      <c r="G1727" s="93"/>
      <c r="H1727" s="103"/>
      <c r="I1727" s="79"/>
      <c r="J1727" s="100"/>
      <c r="K1727" s="97"/>
      <c r="L1727" s="98"/>
      <c r="M1727" s="99" t="b">
        <v>0</v>
      </c>
      <c r="N1727" s="99"/>
      <c r="O1727" s="85"/>
      <c r="P1727" s="68"/>
    </row>
    <row r="1728">
      <c r="A1728" s="68"/>
      <c r="B1728" s="79"/>
      <c r="C1728" s="77"/>
      <c r="D1728" s="79"/>
      <c r="E1728" s="79"/>
      <c r="F1728" s="93"/>
      <c r="G1728" s="93"/>
      <c r="H1728" s="103"/>
      <c r="I1728" s="79"/>
      <c r="J1728" s="100"/>
      <c r="K1728" s="97"/>
      <c r="L1728" s="98"/>
      <c r="M1728" s="99" t="b">
        <v>0</v>
      </c>
      <c r="N1728" s="99"/>
      <c r="O1728" s="85"/>
      <c r="P1728" s="68"/>
    </row>
    <row r="1729">
      <c r="A1729" s="68"/>
      <c r="B1729" s="79"/>
      <c r="C1729" s="77"/>
      <c r="D1729" s="79"/>
      <c r="E1729" s="79"/>
      <c r="F1729" s="93"/>
      <c r="G1729" s="93"/>
      <c r="H1729" s="103"/>
      <c r="I1729" s="79"/>
      <c r="J1729" s="100"/>
      <c r="K1729" s="97"/>
      <c r="L1729" s="98"/>
      <c r="M1729" s="99" t="b">
        <v>0</v>
      </c>
      <c r="N1729" s="99"/>
      <c r="O1729" s="85"/>
      <c r="P1729" s="68"/>
    </row>
    <row r="1730">
      <c r="A1730" s="68"/>
      <c r="B1730" s="79"/>
      <c r="C1730" s="77"/>
      <c r="D1730" s="79"/>
      <c r="E1730" s="79"/>
      <c r="F1730" s="93"/>
      <c r="G1730" s="93"/>
      <c r="H1730" s="103"/>
      <c r="I1730" s="79"/>
      <c r="J1730" s="100"/>
      <c r="K1730" s="97"/>
      <c r="L1730" s="98"/>
      <c r="M1730" s="99" t="b">
        <v>0</v>
      </c>
      <c r="N1730" s="99"/>
      <c r="O1730" s="85"/>
      <c r="P1730" s="68"/>
    </row>
    <row r="1731">
      <c r="A1731" s="68"/>
      <c r="B1731" s="79"/>
      <c r="C1731" s="77"/>
      <c r="D1731" s="79"/>
      <c r="E1731" s="79"/>
      <c r="F1731" s="93"/>
      <c r="G1731" s="93"/>
      <c r="H1731" s="103"/>
      <c r="I1731" s="79"/>
      <c r="J1731" s="100"/>
      <c r="K1731" s="97"/>
      <c r="L1731" s="98"/>
      <c r="M1731" s="99" t="b">
        <v>0</v>
      </c>
      <c r="N1731" s="99"/>
      <c r="O1731" s="85"/>
      <c r="P1731" s="68"/>
    </row>
    <row r="1732">
      <c r="A1732" s="68"/>
      <c r="B1732" s="79"/>
      <c r="C1732" s="77"/>
      <c r="D1732" s="79"/>
      <c r="E1732" s="79"/>
      <c r="F1732" s="93"/>
      <c r="G1732" s="93"/>
      <c r="H1732" s="103"/>
      <c r="I1732" s="79"/>
      <c r="J1732" s="100"/>
      <c r="K1732" s="97"/>
      <c r="L1732" s="98"/>
      <c r="M1732" s="99" t="b">
        <v>0</v>
      </c>
      <c r="N1732" s="99"/>
      <c r="O1732" s="85"/>
      <c r="P1732" s="68"/>
    </row>
    <row r="1733">
      <c r="A1733" s="68"/>
      <c r="B1733" s="79"/>
      <c r="C1733" s="77"/>
      <c r="D1733" s="79"/>
      <c r="E1733" s="79"/>
      <c r="F1733" s="93"/>
      <c r="G1733" s="93"/>
      <c r="H1733" s="103"/>
      <c r="I1733" s="79"/>
      <c r="J1733" s="100"/>
      <c r="K1733" s="97"/>
      <c r="L1733" s="98"/>
      <c r="M1733" s="99" t="b">
        <v>0</v>
      </c>
      <c r="N1733" s="99"/>
      <c r="O1733" s="85"/>
      <c r="P1733" s="68"/>
    </row>
    <row r="1734">
      <c r="A1734" s="68"/>
      <c r="B1734" s="79"/>
      <c r="C1734" s="77"/>
      <c r="D1734" s="79"/>
      <c r="E1734" s="79"/>
      <c r="F1734" s="93"/>
      <c r="G1734" s="93"/>
      <c r="H1734" s="103"/>
      <c r="I1734" s="79"/>
      <c r="J1734" s="100"/>
      <c r="K1734" s="97"/>
      <c r="L1734" s="98"/>
      <c r="M1734" s="99" t="b">
        <v>0</v>
      </c>
      <c r="N1734" s="99"/>
      <c r="O1734" s="85"/>
      <c r="P1734" s="68"/>
    </row>
    <row r="1735">
      <c r="A1735" s="68"/>
      <c r="B1735" s="79"/>
      <c r="C1735" s="77"/>
      <c r="D1735" s="79"/>
      <c r="E1735" s="79"/>
      <c r="F1735" s="93"/>
      <c r="G1735" s="93"/>
      <c r="H1735" s="103"/>
      <c r="I1735" s="79"/>
      <c r="J1735" s="100"/>
      <c r="K1735" s="97"/>
      <c r="L1735" s="98"/>
      <c r="M1735" s="99" t="b">
        <v>0</v>
      </c>
      <c r="N1735" s="99"/>
      <c r="O1735" s="85"/>
      <c r="P1735" s="68"/>
    </row>
    <row r="1736">
      <c r="A1736" s="68"/>
      <c r="B1736" s="79"/>
      <c r="C1736" s="77"/>
      <c r="D1736" s="79"/>
      <c r="E1736" s="79"/>
      <c r="F1736" s="93"/>
      <c r="G1736" s="93"/>
      <c r="H1736" s="103"/>
      <c r="I1736" s="79"/>
      <c r="J1736" s="100"/>
      <c r="K1736" s="97"/>
      <c r="L1736" s="98"/>
      <c r="M1736" s="99" t="b">
        <v>0</v>
      </c>
      <c r="N1736" s="99"/>
      <c r="O1736" s="85"/>
      <c r="P1736" s="68"/>
    </row>
    <row r="1737">
      <c r="A1737" s="68"/>
      <c r="B1737" s="79"/>
      <c r="C1737" s="77"/>
      <c r="D1737" s="79"/>
      <c r="E1737" s="79"/>
      <c r="F1737" s="93"/>
      <c r="G1737" s="93"/>
      <c r="H1737" s="103"/>
      <c r="I1737" s="79"/>
      <c r="J1737" s="100"/>
      <c r="K1737" s="97"/>
      <c r="L1737" s="98"/>
      <c r="M1737" s="99" t="b">
        <v>0</v>
      </c>
      <c r="N1737" s="99"/>
      <c r="O1737" s="85"/>
      <c r="P1737" s="68"/>
    </row>
    <row r="1738">
      <c r="A1738" s="68"/>
      <c r="B1738" s="79"/>
      <c r="C1738" s="77"/>
      <c r="D1738" s="79"/>
      <c r="E1738" s="79"/>
      <c r="F1738" s="93"/>
      <c r="G1738" s="93"/>
      <c r="H1738" s="103"/>
      <c r="I1738" s="79"/>
      <c r="J1738" s="100"/>
      <c r="K1738" s="97"/>
      <c r="L1738" s="98"/>
      <c r="M1738" s="99" t="b">
        <v>0</v>
      </c>
      <c r="N1738" s="99"/>
      <c r="O1738" s="85"/>
      <c r="P1738" s="68"/>
    </row>
    <row r="1739">
      <c r="A1739" s="68"/>
      <c r="B1739" s="79"/>
      <c r="C1739" s="77"/>
      <c r="D1739" s="79"/>
      <c r="E1739" s="79"/>
      <c r="F1739" s="93"/>
      <c r="G1739" s="93"/>
      <c r="H1739" s="103"/>
      <c r="I1739" s="79"/>
      <c r="J1739" s="100"/>
      <c r="K1739" s="97"/>
      <c r="L1739" s="98"/>
      <c r="M1739" s="99" t="b">
        <v>0</v>
      </c>
      <c r="N1739" s="99"/>
      <c r="O1739" s="85"/>
      <c r="P1739" s="68"/>
    </row>
    <row r="1740">
      <c r="A1740" s="68"/>
      <c r="B1740" s="79"/>
      <c r="C1740" s="77"/>
      <c r="D1740" s="79"/>
      <c r="E1740" s="79"/>
      <c r="F1740" s="93"/>
      <c r="G1740" s="93"/>
      <c r="H1740" s="103"/>
      <c r="I1740" s="79"/>
      <c r="J1740" s="100"/>
      <c r="K1740" s="97"/>
      <c r="L1740" s="98"/>
      <c r="M1740" s="99" t="b">
        <v>0</v>
      </c>
      <c r="N1740" s="99"/>
      <c r="O1740" s="85"/>
      <c r="P1740" s="68"/>
    </row>
    <row r="1741">
      <c r="A1741" s="68"/>
      <c r="B1741" s="79"/>
      <c r="C1741" s="77"/>
      <c r="D1741" s="79"/>
      <c r="E1741" s="79"/>
      <c r="F1741" s="93"/>
      <c r="G1741" s="93"/>
      <c r="H1741" s="103"/>
      <c r="I1741" s="79"/>
      <c r="J1741" s="100"/>
      <c r="K1741" s="97"/>
      <c r="L1741" s="98"/>
      <c r="M1741" s="99" t="b">
        <v>0</v>
      </c>
      <c r="N1741" s="99"/>
      <c r="O1741" s="85"/>
      <c r="P1741" s="68"/>
    </row>
    <row r="1742">
      <c r="A1742" s="68"/>
      <c r="B1742" s="79"/>
      <c r="C1742" s="77"/>
      <c r="D1742" s="79"/>
      <c r="E1742" s="79"/>
      <c r="F1742" s="93"/>
      <c r="G1742" s="93"/>
      <c r="H1742" s="103"/>
      <c r="I1742" s="79"/>
      <c r="J1742" s="100"/>
      <c r="K1742" s="97"/>
      <c r="L1742" s="98"/>
      <c r="M1742" s="99" t="b">
        <v>0</v>
      </c>
      <c r="N1742" s="99"/>
      <c r="O1742" s="85"/>
      <c r="P1742" s="68"/>
    </row>
    <row r="1743">
      <c r="A1743" s="68"/>
      <c r="B1743" s="79"/>
      <c r="C1743" s="77"/>
      <c r="D1743" s="79"/>
      <c r="E1743" s="79"/>
      <c r="F1743" s="93"/>
      <c r="G1743" s="93"/>
      <c r="H1743" s="103"/>
      <c r="I1743" s="79"/>
      <c r="J1743" s="100"/>
      <c r="K1743" s="97"/>
      <c r="L1743" s="98"/>
      <c r="M1743" s="99" t="b">
        <v>0</v>
      </c>
      <c r="N1743" s="99"/>
      <c r="O1743" s="85"/>
      <c r="P1743" s="68"/>
    </row>
    <row r="1744">
      <c r="A1744" s="68"/>
      <c r="B1744" s="79"/>
      <c r="C1744" s="77"/>
      <c r="D1744" s="79"/>
      <c r="E1744" s="79"/>
      <c r="F1744" s="93"/>
      <c r="G1744" s="93"/>
      <c r="H1744" s="103"/>
      <c r="I1744" s="79"/>
      <c r="J1744" s="100"/>
      <c r="K1744" s="97"/>
      <c r="L1744" s="98"/>
      <c r="M1744" s="99" t="b">
        <v>0</v>
      </c>
      <c r="N1744" s="99"/>
      <c r="O1744" s="85"/>
      <c r="P1744" s="68"/>
    </row>
    <row r="1745">
      <c r="A1745" s="68"/>
      <c r="B1745" s="79"/>
      <c r="C1745" s="77"/>
      <c r="D1745" s="79"/>
      <c r="E1745" s="79"/>
      <c r="F1745" s="93"/>
      <c r="G1745" s="93"/>
      <c r="H1745" s="103"/>
      <c r="I1745" s="79"/>
      <c r="J1745" s="100"/>
      <c r="K1745" s="97"/>
      <c r="L1745" s="98"/>
      <c r="M1745" s="99" t="b">
        <v>0</v>
      </c>
      <c r="N1745" s="99"/>
      <c r="O1745" s="85"/>
      <c r="P1745" s="68"/>
    </row>
    <row r="1746">
      <c r="A1746" s="68"/>
      <c r="B1746" s="79"/>
      <c r="C1746" s="77"/>
      <c r="D1746" s="79"/>
      <c r="E1746" s="79"/>
      <c r="F1746" s="93"/>
      <c r="G1746" s="93"/>
      <c r="H1746" s="103"/>
      <c r="I1746" s="79"/>
      <c r="J1746" s="100"/>
      <c r="K1746" s="97"/>
      <c r="L1746" s="98"/>
      <c r="M1746" s="99" t="b">
        <v>0</v>
      </c>
      <c r="N1746" s="99"/>
      <c r="O1746" s="85"/>
      <c r="P1746" s="68"/>
    </row>
    <row r="1747">
      <c r="A1747" s="68"/>
      <c r="B1747" s="79"/>
      <c r="C1747" s="77"/>
      <c r="D1747" s="79"/>
      <c r="E1747" s="79"/>
      <c r="F1747" s="93"/>
      <c r="G1747" s="93"/>
      <c r="H1747" s="103"/>
      <c r="I1747" s="79"/>
      <c r="J1747" s="100"/>
      <c r="K1747" s="97"/>
      <c r="L1747" s="98"/>
      <c r="M1747" s="99" t="b">
        <v>0</v>
      </c>
      <c r="N1747" s="99"/>
      <c r="O1747" s="85"/>
      <c r="P1747" s="68"/>
    </row>
    <row r="1748">
      <c r="A1748" s="68"/>
      <c r="B1748" s="79"/>
      <c r="C1748" s="77"/>
      <c r="D1748" s="79"/>
      <c r="E1748" s="79"/>
      <c r="F1748" s="93"/>
      <c r="G1748" s="93"/>
      <c r="H1748" s="103"/>
      <c r="I1748" s="79"/>
      <c r="J1748" s="100"/>
      <c r="K1748" s="97"/>
      <c r="L1748" s="98"/>
      <c r="M1748" s="99" t="b">
        <v>0</v>
      </c>
      <c r="N1748" s="99"/>
      <c r="O1748" s="85"/>
      <c r="P1748" s="68"/>
    </row>
    <row r="1749">
      <c r="A1749" s="68"/>
      <c r="B1749" s="79"/>
      <c r="C1749" s="77"/>
      <c r="D1749" s="79"/>
      <c r="E1749" s="79"/>
      <c r="F1749" s="93"/>
      <c r="G1749" s="93"/>
      <c r="H1749" s="103"/>
      <c r="I1749" s="79"/>
      <c r="J1749" s="100"/>
      <c r="K1749" s="97"/>
      <c r="L1749" s="98"/>
      <c r="M1749" s="99" t="b">
        <v>0</v>
      </c>
      <c r="N1749" s="99"/>
      <c r="O1749" s="85"/>
      <c r="P1749" s="68"/>
    </row>
    <row r="1750">
      <c r="A1750" s="68"/>
      <c r="B1750" s="79"/>
      <c r="C1750" s="77"/>
      <c r="D1750" s="79"/>
      <c r="E1750" s="79"/>
      <c r="F1750" s="93"/>
      <c r="G1750" s="93"/>
      <c r="H1750" s="103"/>
      <c r="I1750" s="79"/>
      <c r="J1750" s="100"/>
      <c r="K1750" s="97"/>
      <c r="L1750" s="98"/>
      <c r="M1750" s="99" t="b">
        <v>0</v>
      </c>
      <c r="N1750" s="99"/>
      <c r="O1750" s="85"/>
      <c r="P1750" s="68"/>
    </row>
    <row r="1751">
      <c r="A1751" s="68"/>
      <c r="B1751" s="79"/>
      <c r="C1751" s="77"/>
      <c r="D1751" s="79"/>
      <c r="E1751" s="79"/>
      <c r="F1751" s="93"/>
      <c r="G1751" s="93"/>
      <c r="H1751" s="103"/>
      <c r="I1751" s="79"/>
      <c r="J1751" s="100"/>
      <c r="K1751" s="97"/>
      <c r="L1751" s="98"/>
      <c r="M1751" s="99" t="b">
        <v>0</v>
      </c>
      <c r="N1751" s="99"/>
      <c r="O1751" s="85"/>
      <c r="P1751" s="68"/>
    </row>
    <row r="1752">
      <c r="A1752" s="68"/>
      <c r="B1752" s="79"/>
      <c r="C1752" s="77"/>
      <c r="D1752" s="79"/>
      <c r="E1752" s="79"/>
      <c r="F1752" s="93"/>
      <c r="G1752" s="93"/>
      <c r="H1752" s="103"/>
      <c r="I1752" s="79"/>
      <c r="J1752" s="100"/>
      <c r="K1752" s="97"/>
      <c r="L1752" s="98"/>
      <c r="M1752" s="99" t="b">
        <v>0</v>
      </c>
      <c r="N1752" s="99"/>
      <c r="O1752" s="85"/>
      <c r="P1752" s="68"/>
    </row>
    <row r="1753">
      <c r="A1753" s="68"/>
      <c r="B1753" s="79"/>
      <c r="C1753" s="77"/>
      <c r="D1753" s="79"/>
      <c r="E1753" s="79"/>
      <c r="F1753" s="93"/>
      <c r="G1753" s="93"/>
      <c r="H1753" s="103"/>
      <c r="I1753" s="79"/>
      <c r="J1753" s="100"/>
      <c r="K1753" s="97"/>
      <c r="L1753" s="98"/>
      <c r="M1753" s="99" t="b">
        <v>0</v>
      </c>
      <c r="N1753" s="99"/>
      <c r="O1753" s="85"/>
      <c r="P1753" s="68"/>
    </row>
    <row r="1754">
      <c r="A1754" s="68"/>
      <c r="B1754" s="79"/>
      <c r="C1754" s="77"/>
      <c r="D1754" s="79"/>
      <c r="E1754" s="79"/>
      <c r="F1754" s="93"/>
      <c r="G1754" s="93"/>
      <c r="H1754" s="103"/>
      <c r="I1754" s="79"/>
      <c r="J1754" s="100"/>
      <c r="K1754" s="97"/>
      <c r="L1754" s="98"/>
      <c r="M1754" s="99" t="b">
        <v>0</v>
      </c>
      <c r="N1754" s="99"/>
      <c r="O1754" s="85"/>
      <c r="P1754" s="68"/>
    </row>
    <row r="1755">
      <c r="A1755" s="68"/>
      <c r="B1755" s="79"/>
      <c r="C1755" s="77"/>
      <c r="D1755" s="79"/>
      <c r="E1755" s="79"/>
      <c r="F1755" s="93"/>
      <c r="G1755" s="93"/>
      <c r="H1755" s="103"/>
      <c r="I1755" s="79"/>
      <c r="J1755" s="100"/>
      <c r="K1755" s="97"/>
      <c r="L1755" s="98"/>
      <c r="M1755" s="99" t="b">
        <v>0</v>
      </c>
      <c r="N1755" s="99"/>
      <c r="O1755" s="85"/>
      <c r="P1755" s="68"/>
    </row>
    <row r="1756">
      <c r="A1756" s="68"/>
      <c r="B1756" s="79"/>
      <c r="C1756" s="77"/>
      <c r="D1756" s="79"/>
      <c r="E1756" s="79"/>
      <c r="F1756" s="93"/>
      <c r="G1756" s="93"/>
      <c r="H1756" s="103"/>
      <c r="I1756" s="79"/>
      <c r="J1756" s="100"/>
      <c r="K1756" s="97"/>
      <c r="L1756" s="98"/>
      <c r="M1756" s="99" t="b">
        <v>0</v>
      </c>
      <c r="N1756" s="99"/>
      <c r="O1756" s="85"/>
      <c r="P1756" s="68"/>
    </row>
    <row r="1757">
      <c r="A1757" s="68"/>
      <c r="B1757" s="79"/>
      <c r="C1757" s="77"/>
      <c r="D1757" s="79"/>
      <c r="E1757" s="79"/>
      <c r="F1757" s="93"/>
      <c r="G1757" s="93"/>
      <c r="H1757" s="103"/>
      <c r="I1757" s="79"/>
      <c r="J1757" s="100"/>
      <c r="K1757" s="97"/>
      <c r="L1757" s="98"/>
      <c r="M1757" s="99" t="b">
        <v>0</v>
      </c>
      <c r="N1757" s="99"/>
      <c r="O1757" s="85"/>
      <c r="P1757" s="68"/>
    </row>
    <row r="1758">
      <c r="A1758" s="68"/>
      <c r="B1758" s="79"/>
      <c r="C1758" s="77"/>
      <c r="D1758" s="79"/>
      <c r="E1758" s="79"/>
      <c r="F1758" s="93"/>
      <c r="G1758" s="93"/>
      <c r="H1758" s="103"/>
      <c r="I1758" s="79"/>
      <c r="J1758" s="100"/>
      <c r="K1758" s="97"/>
      <c r="L1758" s="98"/>
      <c r="M1758" s="99" t="b">
        <v>0</v>
      </c>
      <c r="N1758" s="99"/>
      <c r="O1758" s="85"/>
      <c r="P1758" s="68"/>
    </row>
    <row r="1759">
      <c r="A1759" s="68"/>
      <c r="B1759" s="79"/>
      <c r="C1759" s="77"/>
      <c r="D1759" s="79"/>
      <c r="E1759" s="79"/>
      <c r="F1759" s="93"/>
      <c r="G1759" s="93"/>
      <c r="H1759" s="103"/>
      <c r="I1759" s="79"/>
      <c r="J1759" s="100"/>
      <c r="K1759" s="97"/>
      <c r="L1759" s="98"/>
      <c r="M1759" s="99" t="b">
        <v>0</v>
      </c>
      <c r="N1759" s="99"/>
      <c r="O1759" s="85"/>
      <c r="P1759" s="68"/>
    </row>
    <row r="1760">
      <c r="A1760" s="68"/>
      <c r="B1760" s="79"/>
      <c r="C1760" s="77"/>
      <c r="D1760" s="79"/>
      <c r="E1760" s="79"/>
      <c r="F1760" s="93"/>
      <c r="G1760" s="93"/>
      <c r="H1760" s="103"/>
      <c r="I1760" s="79"/>
      <c r="J1760" s="100"/>
      <c r="K1760" s="97"/>
      <c r="L1760" s="98"/>
      <c r="M1760" s="99" t="b">
        <v>0</v>
      </c>
      <c r="N1760" s="99"/>
      <c r="O1760" s="85"/>
      <c r="P1760" s="68"/>
    </row>
    <row r="1761">
      <c r="A1761" s="68"/>
      <c r="B1761" s="79"/>
      <c r="C1761" s="77"/>
      <c r="D1761" s="79"/>
      <c r="E1761" s="79"/>
      <c r="F1761" s="93"/>
      <c r="G1761" s="93"/>
      <c r="H1761" s="103"/>
      <c r="I1761" s="79"/>
      <c r="J1761" s="100"/>
      <c r="K1761" s="97"/>
      <c r="L1761" s="98"/>
      <c r="M1761" s="99" t="b">
        <v>0</v>
      </c>
      <c r="N1761" s="99"/>
      <c r="O1761" s="85"/>
      <c r="P1761" s="68"/>
    </row>
    <row r="1762">
      <c r="A1762" s="68"/>
      <c r="B1762" s="79"/>
      <c r="C1762" s="77"/>
      <c r="D1762" s="79"/>
      <c r="E1762" s="79"/>
      <c r="F1762" s="93"/>
      <c r="G1762" s="93"/>
      <c r="H1762" s="103"/>
      <c r="I1762" s="79"/>
      <c r="J1762" s="100"/>
      <c r="K1762" s="97"/>
      <c r="L1762" s="98"/>
      <c r="M1762" s="99" t="b">
        <v>0</v>
      </c>
      <c r="N1762" s="99"/>
      <c r="O1762" s="85"/>
      <c r="P1762" s="68"/>
    </row>
    <row r="1763">
      <c r="A1763" s="68"/>
      <c r="B1763" s="79"/>
      <c r="C1763" s="77"/>
      <c r="D1763" s="79"/>
      <c r="E1763" s="79"/>
      <c r="F1763" s="93"/>
      <c r="G1763" s="93"/>
      <c r="H1763" s="103"/>
      <c r="I1763" s="79"/>
      <c r="J1763" s="100"/>
      <c r="K1763" s="97"/>
      <c r="L1763" s="98"/>
      <c r="M1763" s="99" t="b">
        <v>0</v>
      </c>
      <c r="N1763" s="99"/>
      <c r="O1763" s="85"/>
      <c r="P1763" s="68"/>
    </row>
    <row r="1764">
      <c r="A1764" s="68"/>
      <c r="B1764" s="79"/>
      <c r="C1764" s="77"/>
      <c r="D1764" s="79"/>
      <c r="E1764" s="79"/>
      <c r="F1764" s="93"/>
      <c r="G1764" s="93"/>
      <c r="H1764" s="103"/>
      <c r="I1764" s="79"/>
      <c r="J1764" s="100"/>
      <c r="K1764" s="97"/>
      <c r="L1764" s="98"/>
      <c r="M1764" s="99" t="b">
        <v>0</v>
      </c>
      <c r="N1764" s="99"/>
      <c r="O1764" s="85"/>
      <c r="P1764" s="68"/>
    </row>
    <row r="1765">
      <c r="A1765" s="68"/>
      <c r="B1765" s="79"/>
      <c r="C1765" s="77"/>
      <c r="D1765" s="79"/>
      <c r="E1765" s="79"/>
      <c r="F1765" s="93"/>
      <c r="G1765" s="93"/>
      <c r="H1765" s="103"/>
      <c r="I1765" s="79"/>
      <c r="J1765" s="100"/>
      <c r="K1765" s="97"/>
      <c r="L1765" s="98"/>
      <c r="M1765" s="99" t="b">
        <v>0</v>
      </c>
      <c r="N1765" s="99"/>
      <c r="O1765" s="85"/>
      <c r="P1765" s="68"/>
    </row>
    <row r="1766">
      <c r="A1766" s="68"/>
      <c r="B1766" s="79"/>
      <c r="C1766" s="77"/>
      <c r="D1766" s="79"/>
      <c r="E1766" s="79"/>
      <c r="F1766" s="93"/>
      <c r="G1766" s="93"/>
      <c r="H1766" s="103"/>
      <c r="I1766" s="79"/>
      <c r="J1766" s="100"/>
      <c r="K1766" s="97"/>
      <c r="L1766" s="98"/>
      <c r="M1766" s="99" t="b">
        <v>0</v>
      </c>
      <c r="N1766" s="99"/>
      <c r="O1766" s="85"/>
      <c r="P1766" s="68"/>
    </row>
    <row r="1767">
      <c r="A1767" s="68"/>
      <c r="B1767" s="79"/>
      <c r="C1767" s="77"/>
      <c r="D1767" s="79"/>
      <c r="E1767" s="79"/>
      <c r="F1767" s="93"/>
      <c r="G1767" s="93"/>
      <c r="H1767" s="103"/>
      <c r="I1767" s="79"/>
      <c r="J1767" s="100"/>
      <c r="K1767" s="97"/>
      <c r="L1767" s="98"/>
      <c r="M1767" s="99" t="b">
        <v>0</v>
      </c>
      <c r="N1767" s="99"/>
      <c r="O1767" s="85"/>
      <c r="P1767" s="68"/>
    </row>
    <row r="1768">
      <c r="A1768" s="68"/>
      <c r="B1768" s="79"/>
      <c r="C1768" s="77"/>
      <c r="D1768" s="79"/>
      <c r="E1768" s="79"/>
      <c r="F1768" s="93"/>
      <c r="G1768" s="93"/>
      <c r="H1768" s="103"/>
      <c r="I1768" s="79"/>
      <c r="J1768" s="100"/>
      <c r="K1768" s="97"/>
      <c r="L1768" s="98"/>
      <c r="M1768" s="99" t="b">
        <v>0</v>
      </c>
      <c r="N1768" s="99"/>
      <c r="O1768" s="85"/>
      <c r="P1768" s="68"/>
    </row>
    <row r="1769">
      <c r="A1769" s="68"/>
      <c r="B1769" s="79"/>
      <c r="C1769" s="77"/>
      <c r="D1769" s="79"/>
      <c r="E1769" s="79"/>
      <c r="F1769" s="93"/>
      <c r="G1769" s="93"/>
      <c r="H1769" s="103"/>
      <c r="I1769" s="79"/>
      <c r="J1769" s="100"/>
      <c r="K1769" s="97"/>
      <c r="L1769" s="98"/>
      <c r="M1769" s="99" t="b">
        <v>0</v>
      </c>
      <c r="N1769" s="99"/>
      <c r="O1769" s="85"/>
      <c r="P1769" s="68"/>
    </row>
    <row r="1770">
      <c r="A1770" s="68"/>
      <c r="B1770" s="79"/>
      <c r="C1770" s="77"/>
      <c r="D1770" s="79"/>
      <c r="E1770" s="79"/>
      <c r="F1770" s="93"/>
      <c r="G1770" s="93"/>
      <c r="H1770" s="103"/>
      <c r="I1770" s="79"/>
      <c r="J1770" s="100"/>
      <c r="K1770" s="97"/>
      <c r="L1770" s="98"/>
      <c r="M1770" s="99" t="b">
        <v>0</v>
      </c>
      <c r="N1770" s="99"/>
      <c r="O1770" s="85"/>
      <c r="P1770" s="68"/>
    </row>
    <row r="1771">
      <c r="A1771" s="68"/>
      <c r="B1771" s="79"/>
      <c r="C1771" s="77"/>
      <c r="D1771" s="79"/>
      <c r="E1771" s="79"/>
      <c r="F1771" s="93"/>
      <c r="G1771" s="93"/>
      <c r="H1771" s="103"/>
      <c r="I1771" s="79"/>
      <c r="J1771" s="100"/>
      <c r="K1771" s="97"/>
      <c r="L1771" s="98"/>
      <c r="M1771" s="99" t="b">
        <v>0</v>
      </c>
      <c r="N1771" s="99"/>
      <c r="O1771" s="85"/>
      <c r="P1771" s="68"/>
    </row>
    <row r="1772">
      <c r="A1772" s="68"/>
      <c r="B1772" s="79"/>
      <c r="C1772" s="77"/>
      <c r="D1772" s="79"/>
      <c r="E1772" s="79"/>
      <c r="F1772" s="93"/>
      <c r="G1772" s="93"/>
      <c r="H1772" s="103"/>
      <c r="I1772" s="79"/>
      <c r="J1772" s="100"/>
      <c r="K1772" s="97"/>
      <c r="L1772" s="98"/>
      <c r="M1772" s="99" t="b">
        <v>0</v>
      </c>
      <c r="N1772" s="99"/>
      <c r="O1772" s="85"/>
      <c r="P1772" s="68"/>
    </row>
    <row r="1773">
      <c r="A1773" s="68"/>
      <c r="B1773" s="79"/>
      <c r="C1773" s="77"/>
      <c r="D1773" s="79"/>
      <c r="E1773" s="79"/>
      <c r="F1773" s="93"/>
      <c r="G1773" s="93"/>
      <c r="H1773" s="103"/>
      <c r="I1773" s="79"/>
      <c r="J1773" s="100"/>
      <c r="K1773" s="97"/>
      <c r="L1773" s="98"/>
      <c r="M1773" s="99" t="b">
        <v>0</v>
      </c>
      <c r="N1773" s="99"/>
      <c r="O1773" s="85"/>
      <c r="P1773" s="68"/>
    </row>
    <row r="1774">
      <c r="A1774" s="68"/>
      <c r="B1774" s="79"/>
      <c r="C1774" s="77"/>
      <c r="D1774" s="79"/>
      <c r="E1774" s="79"/>
      <c r="F1774" s="93"/>
      <c r="G1774" s="93"/>
      <c r="H1774" s="103"/>
      <c r="I1774" s="79"/>
      <c r="J1774" s="100"/>
      <c r="K1774" s="97"/>
      <c r="L1774" s="98"/>
      <c r="M1774" s="99" t="b">
        <v>0</v>
      </c>
      <c r="N1774" s="99"/>
      <c r="O1774" s="85"/>
      <c r="P1774" s="68"/>
    </row>
    <row r="1775">
      <c r="A1775" s="68"/>
      <c r="B1775" s="79"/>
      <c r="C1775" s="77"/>
      <c r="D1775" s="79"/>
      <c r="E1775" s="79"/>
      <c r="F1775" s="93"/>
      <c r="G1775" s="93"/>
      <c r="H1775" s="103"/>
      <c r="I1775" s="79"/>
      <c r="J1775" s="100"/>
      <c r="K1775" s="97"/>
      <c r="L1775" s="98"/>
      <c r="M1775" s="99" t="b">
        <v>0</v>
      </c>
      <c r="N1775" s="99"/>
      <c r="O1775" s="85"/>
      <c r="P1775" s="68"/>
    </row>
    <row r="1776">
      <c r="A1776" s="68"/>
      <c r="B1776" s="79"/>
      <c r="C1776" s="77"/>
      <c r="D1776" s="79"/>
      <c r="E1776" s="79"/>
      <c r="F1776" s="93"/>
      <c r="G1776" s="93"/>
      <c r="H1776" s="103"/>
      <c r="I1776" s="79"/>
      <c r="J1776" s="100"/>
      <c r="K1776" s="97"/>
      <c r="L1776" s="98"/>
      <c r="M1776" s="99" t="b">
        <v>0</v>
      </c>
      <c r="N1776" s="99"/>
      <c r="O1776" s="85"/>
      <c r="P1776" s="68"/>
    </row>
    <row r="1777">
      <c r="A1777" s="68"/>
      <c r="B1777" s="79"/>
      <c r="C1777" s="77"/>
      <c r="D1777" s="79"/>
      <c r="E1777" s="79"/>
      <c r="F1777" s="93"/>
      <c r="G1777" s="93"/>
      <c r="H1777" s="103"/>
      <c r="I1777" s="79"/>
      <c r="J1777" s="100"/>
      <c r="K1777" s="97"/>
      <c r="L1777" s="98"/>
      <c r="M1777" s="99" t="b">
        <v>0</v>
      </c>
      <c r="N1777" s="99"/>
      <c r="O1777" s="85"/>
      <c r="P1777" s="68"/>
    </row>
    <row r="1778">
      <c r="A1778" s="68"/>
      <c r="B1778" s="79"/>
      <c r="C1778" s="77"/>
      <c r="D1778" s="79"/>
      <c r="E1778" s="79"/>
      <c r="F1778" s="93"/>
      <c r="G1778" s="93"/>
      <c r="H1778" s="103"/>
      <c r="I1778" s="79"/>
      <c r="J1778" s="100"/>
      <c r="K1778" s="97"/>
      <c r="L1778" s="98"/>
      <c r="M1778" s="99" t="b">
        <v>0</v>
      </c>
      <c r="N1778" s="99"/>
      <c r="O1778" s="85"/>
      <c r="P1778" s="68"/>
    </row>
  </sheetData>
  <autoFilter ref="$A$11:$P$1012">
    <filterColumn colId="2">
      <filters>
        <filter val="IRIS"/>
        <filter val="P&amp;D_2"/>
      </filters>
    </filterColumn>
    <filterColumn colId="12">
      <filters>
        <filter val="TRUE"/>
      </filters>
    </filterColumn>
    <filterColumn colId="13">
      <filters>
        <filter val="TRUE"/>
      </filters>
    </filterColumn>
  </autoFilter>
  <mergeCells count="1">
    <mergeCell ref="B5:D6"/>
  </mergeCells>
  <dataValidations>
    <dataValidation type="list" allowBlank="1" sqref="E254 E256 E258">
      <formula1>'P&amp;D_2'!$E$28:$E$36</formula1>
    </dataValidation>
    <dataValidation type="list" allowBlank="1" sqref="E12:E37 E39:E79 E122:E170 E175:E253 E255 E257 E259:E262">
      <formula1>IRIS!$E$28:$E$76</formula1>
    </dataValidation>
    <dataValidation type="list" allowBlank="1" sqref="E263:E1778">
      <formula1>'P&amp;D_3'!$E$28:$E$30</formula1>
    </dataValidation>
    <dataValidation type="list" allowBlank="1" sqref="E80:E103">
      <formula1>NOTIFY!$E$28:$E$39</formula1>
    </dataValidation>
    <dataValidation type="list" allowBlank="1" sqref="E109:E121 E172 E174">
      <formula1>IRIS!$E$28:$E$63</formula1>
    </dataValidation>
    <dataValidation type="list" allowBlank="1" sqref="E104:E108 E171 E173">
      <formula1>'Resumo - TIMESHEETS'!$E$107</formula1>
    </dataValidation>
    <dataValidation type="list" allowBlank="1" sqref="I12:I1778">
      <formula1>$I$6:$I$9</formula1>
    </dataValidation>
    <dataValidation type="list" allowBlank="1" sqref="E38">
      <formula1>NOTIFY!$E$28:$E$41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2.63"/>
    <col customWidth="1" min="5" max="5" width="10.25"/>
  </cols>
  <sheetData>
    <row r="1">
      <c r="E1" s="109"/>
    </row>
    <row r="2">
      <c r="E2" s="112" t="s">
        <v>178</v>
      </c>
    </row>
    <row r="3">
      <c r="E3" s="112">
        <v>185.0</v>
      </c>
      <c r="F3" s="111">
        <f>E3-D3</f>
        <v>-1.75</v>
      </c>
    </row>
    <row r="4">
      <c r="E4" s="112" t="s">
        <v>178</v>
      </c>
    </row>
    <row r="5">
      <c r="E5" s="112" t="s">
        <v>178</v>
      </c>
    </row>
    <row r="6">
      <c r="E6" s="112">
        <v>408.0</v>
      </c>
      <c r="F6" s="111">
        <f t="shared" ref="F6:F9" si="1">E6-D6</f>
        <v>-0.95</v>
      </c>
    </row>
    <row r="7">
      <c r="E7" s="112">
        <v>422.0</v>
      </c>
      <c r="F7" s="111">
        <f t="shared" si="1"/>
        <v>-48.25</v>
      </c>
    </row>
    <row r="8">
      <c r="E8" s="112">
        <v>1027.0</v>
      </c>
      <c r="F8" s="111">
        <f t="shared" si="1"/>
        <v>-1.08</v>
      </c>
    </row>
    <row r="9">
      <c r="E9" s="112">
        <v>373.0</v>
      </c>
      <c r="F9" s="111">
        <f t="shared" si="1"/>
        <v>-30</v>
      </c>
    </row>
    <row r="10">
      <c r="E10" s="112" t="s">
        <v>178</v>
      </c>
    </row>
    <row r="11">
      <c r="E11" s="112">
        <v>613.0</v>
      </c>
      <c r="F11" s="111">
        <f t="shared" ref="F11:F12" si="2">E11-D11</f>
        <v>-0.7</v>
      </c>
    </row>
    <row r="12">
      <c r="E12" s="112">
        <v>381.0</v>
      </c>
      <c r="F12" s="111">
        <f t="shared" si="2"/>
        <v>-2.38</v>
      </c>
    </row>
    <row r="13">
      <c r="E13" s="109"/>
    </row>
    <row r="14">
      <c r="E14" s="112" t="s">
        <v>178</v>
      </c>
    </row>
    <row r="15">
      <c r="E15" s="112" t="s">
        <v>178</v>
      </c>
    </row>
    <row r="16">
      <c r="E16" s="112" t="s">
        <v>178</v>
      </c>
    </row>
    <row r="17">
      <c r="E17" s="112">
        <v>1176.0</v>
      </c>
      <c r="F17" s="111">
        <f t="shared" ref="F17:F18" si="3">E17-D17</f>
        <v>-600</v>
      </c>
    </row>
    <row r="18">
      <c r="E18" s="112">
        <v>100.0</v>
      </c>
      <c r="F18" s="111">
        <f t="shared" si="3"/>
        <v>-2</v>
      </c>
    </row>
    <row r="19">
      <c r="E19" s="112" t="s">
        <v>178</v>
      </c>
    </row>
    <row r="20">
      <c r="E20" s="112" t="s">
        <v>178</v>
      </c>
    </row>
    <row r="21">
      <c r="E21" s="112">
        <v>236.0</v>
      </c>
      <c r="F21" s="111">
        <f t="shared" ref="F21:F22" si="4">E21-D21</f>
        <v>-43</v>
      </c>
    </row>
    <row r="22">
      <c r="E22" s="112">
        <v>17.0</v>
      </c>
      <c r="F22" s="111">
        <f t="shared" si="4"/>
        <v>-4</v>
      </c>
    </row>
    <row r="23">
      <c r="E23" s="109"/>
    </row>
    <row r="24">
      <c r="E24" s="112">
        <v>8.0</v>
      </c>
      <c r="F24" s="111">
        <f t="shared" ref="F24:F25" si="5">E24-D24</f>
        <v>-16</v>
      </c>
    </row>
    <row r="25">
      <c r="E25" s="112">
        <v>8.0</v>
      </c>
      <c r="F25" s="111">
        <f t="shared" si="5"/>
        <v>-72</v>
      </c>
    </row>
    <row r="26">
      <c r="E26" s="109"/>
    </row>
    <row r="27">
      <c r="E27" s="109"/>
    </row>
    <row r="28">
      <c r="E28" s="109"/>
    </row>
    <row r="29">
      <c r="E29" s="109"/>
    </row>
    <row r="30">
      <c r="E30" s="109"/>
    </row>
    <row r="31">
      <c r="E31" s="109"/>
    </row>
    <row r="32">
      <c r="E32" s="109"/>
    </row>
    <row r="33">
      <c r="E33" s="109"/>
    </row>
    <row r="34">
      <c r="E34" s="109"/>
    </row>
    <row r="35">
      <c r="E35" s="109"/>
    </row>
    <row r="36">
      <c r="E36" s="109"/>
    </row>
    <row r="37">
      <c r="E37" s="109"/>
    </row>
    <row r="38">
      <c r="E38" s="109"/>
    </row>
    <row r="39">
      <c r="E39" s="109"/>
    </row>
    <row r="40">
      <c r="E40" s="109"/>
    </row>
    <row r="41">
      <c r="E41" s="109"/>
    </row>
    <row r="42">
      <c r="E42" s="109"/>
    </row>
    <row r="43">
      <c r="E43" s="109"/>
    </row>
    <row r="44">
      <c r="E44" s="109"/>
    </row>
    <row r="45">
      <c r="E45" s="109"/>
    </row>
    <row r="46">
      <c r="E46" s="109"/>
    </row>
    <row r="47">
      <c r="E47" s="109"/>
    </row>
    <row r="48">
      <c r="E48" s="109"/>
    </row>
    <row r="49">
      <c r="E49" s="109"/>
    </row>
    <row r="50">
      <c r="E50" s="109"/>
    </row>
    <row r="51">
      <c r="E51" s="109"/>
    </row>
    <row r="52">
      <c r="E52" s="109"/>
    </row>
    <row r="53">
      <c r="E53" s="109"/>
    </row>
    <row r="54">
      <c r="E54" s="109"/>
    </row>
    <row r="55">
      <c r="E55" s="109"/>
    </row>
    <row r="56">
      <c r="E56" s="109"/>
    </row>
    <row r="57">
      <c r="E57" s="109"/>
    </row>
    <row r="58">
      <c r="E58" s="109"/>
    </row>
    <row r="59">
      <c r="E59" s="109"/>
    </row>
    <row r="60">
      <c r="E60" s="109"/>
    </row>
    <row r="61">
      <c r="E61" s="109"/>
    </row>
    <row r="62">
      <c r="E62" s="109"/>
    </row>
    <row r="63">
      <c r="E63" s="109"/>
    </row>
    <row r="64">
      <c r="E64" s="109"/>
    </row>
    <row r="65">
      <c r="E65" s="109"/>
    </row>
    <row r="66">
      <c r="E66" s="109"/>
    </row>
    <row r="67">
      <c r="E67" s="109"/>
    </row>
    <row r="68">
      <c r="E68" s="109"/>
    </row>
    <row r="69">
      <c r="E69" s="109"/>
    </row>
    <row r="70">
      <c r="E70" s="109"/>
    </row>
    <row r="71">
      <c r="E71" s="109"/>
    </row>
    <row r="72">
      <c r="E72" s="109"/>
    </row>
    <row r="73">
      <c r="E73" s="109"/>
    </row>
    <row r="74">
      <c r="E74" s="109"/>
    </row>
    <row r="75">
      <c r="E75" s="109"/>
    </row>
    <row r="76">
      <c r="E76" s="109"/>
    </row>
    <row r="77">
      <c r="E77" s="109"/>
    </row>
    <row r="78">
      <c r="E78" s="109"/>
    </row>
    <row r="79">
      <c r="E79" s="109"/>
    </row>
    <row r="80">
      <c r="E80" s="109"/>
    </row>
    <row r="81">
      <c r="E81" s="109"/>
    </row>
    <row r="82">
      <c r="E82" s="109"/>
    </row>
    <row r="83">
      <c r="E83" s="109"/>
    </row>
    <row r="84">
      <c r="E84" s="109"/>
    </row>
    <row r="85">
      <c r="E85" s="109"/>
    </row>
    <row r="86">
      <c r="E86" s="109"/>
    </row>
    <row r="87">
      <c r="E87" s="109"/>
    </row>
    <row r="88">
      <c r="E88" s="109"/>
    </row>
    <row r="89">
      <c r="E89" s="109"/>
    </row>
    <row r="90">
      <c r="E90" s="109"/>
    </row>
    <row r="91">
      <c r="E91" s="109"/>
    </row>
    <row r="92">
      <c r="E92" s="109"/>
    </row>
    <row r="93">
      <c r="E93" s="109"/>
    </row>
    <row r="94">
      <c r="E94" s="109"/>
    </row>
    <row r="95">
      <c r="E95" s="109"/>
    </row>
    <row r="96">
      <c r="E96" s="109"/>
    </row>
    <row r="97">
      <c r="E97" s="109"/>
    </row>
    <row r="98">
      <c r="E98" s="109"/>
    </row>
    <row r="99">
      <c r="E99" s="109"/>
    </row>
    <row r="100">
      <c r="E100" s="109"/>
    </row>
    <row r="101">
      <c r="E101" s="109"/>
    </row>
    <row r="102">
      <c r="E102" s="109"/>
    </row>
    <row r="103">
      <c r="E103" s="109"/>
    </row>
    <row r="104">
      <c r="E104" s="109"/>
    </row>
    <row r="105">
      <c r="E105" s="109"/>
    </row>
    <row r="106">
      <c r="E106" s="109"/>
    </row>
    <row r="107">
      <c r="E107" s="109"/>
    </row>
    <row r="108">
      <c r="E108" s="109"/>
    </row>
    <row r="109">
      <c r="E109" s="109"/>
    </row>
    <row r="110">
      <c r="E110" s="109"/>
    </row>
    <row r="111">
      <c r="E111" s="109"/>
    </row>
    <row r="112">
      <c r="E112" s="109"/>
    </row>
    <row r="113">
      <c r="E113" s="109"/>
    </row>
    <row r="114">
      <c r="E114" s="109"/>
    </row>
    <row r="115">
      <c r="E115" s="109"/>
    </row>
    <row r="116">
      <c r="E116" s="109"/>
    </row>
    <row r="117">
      <c r="E117" s="109"/>
    </row>
    <row r="118">
      <c r="E118" s="109"/>
    </row>
    <row r="119">
      <c r="E119" s="109"/>
    </row>
    <row r="120">
      <c r="E120" s="109"/>
    </row>
    <row r="121">
      <c r="E121" s="109"/>
    </row>
    <row r="122">
      <c r="E122" s="109"/>
    </row>
    <row r="123">
      <c r="E123" s="109"/>
    </row>
    <row r="124">
      <c r="E124" s="109"/>
    </row>
    <row r="125">
      <c r="E125" s="109"/>
    </row>
    <row r="126">
      <c r="E126" s="109"/>
    </row>
    <row r="127">
      <c r="E127" s="109"/>
    </row>
    <row r="128">
      <c r="E128" s="109"/>
    </row>
    <row r="129">
      <c r="E129" s="109"/>
    </row>
    <row r="130">
      <c r="E130" s="109"/>
    </row>
    <row r="131">
      <c r="E131" s="109"/>
    </row>
    <row r="132">
      <c r="E132" s="109"/>
    </row>
    <row r="133">
      <c r="E133" s="109"/>
    </row>
    <row r="134">
      <c r="E134" s="109"/>
    </row>
    <row r="135">
      <c r="E135" s="109"/>
    </row>
    <row r="136">
      <c r="E136" s="109"/>
    </row>
    <row r="137">
      <c r="E137" s="109"/>
    </row>
    <row r="138">
      <c r="E138" s="109"/>
    </row>
    <row r="139">
      <c r="E139" s="109"/>
    </row>
    <row r="140">
      <c r="E140" s="109"/>
    </row>
    <row r="141">
      <c r="E141" s="109"/>
    </row>
    <row r="142">
      <c r="E142" s="109"/>
    </row>
    <row r="143">
      <c r="E143" s="109"/>
    </row>
    <row r="144">
      <c r="E144" s="109"/>
    </row>
    <row r="145">
      <c r="E145" s="109"/>
    </row>
    <row r="146">
      <c r="E146" s="109"/>
    </row>
    <row r="147">
      <c r="E147" s="109"/>
    </row>
    <row r="148">
      <c r="E148" s="109"/>
    </row>
    <row r="149">
      <c r="E149" s="109"/>
    </row>
    <row r="150">
      <c r="E150" s="109"/>
    </row>
    <row r="151">
      <c r="E151" s="109"/>
    </row>
    <row r="152">
      <c r="E152" s="109"/>
    </row>
    <row r="153">
      <c r="E153" s="109"/>
    </row>
    <row r="154">
      <c r="E154" s="109"/>
    </row>
    <row r="155">
      <c r="E155" s="109"/>
    </row>
    <row r="156">
      <c r="E156" s="109"/>
    </row>
    <row r="157">
      <c r="E157" s="109"/>
    </row>
    <row r="158">
      <c r="E158" s="109"/>
    </row>
    <row r="159">
      <c r="E159" s="109"/>
    </row>
    <row r="160">
      <c r="E160" s="109"/>
    </row>
    <row r="161">
      <c r="E161" s="109"/>
    </row>
    <row r="162">
      <c r="E162" s="109"/>
    </row>
    <row r="163">
      <c r="E163" s="109"/>
    </row>
    <row r="164">
      <c r="E164" s="109"/>
    </row>
    <row r="165">
      <c r="E165" s="109"/>
    </row>
    <row r="166">
      <c r="E166" s="109"/>
    </row>
    <row r="167">
      <c r="E167" s="109"/>
    </row>
    <row r="168">
      <c r="E168" s="109"/>
    </row>
    <row r="169">
      <c r="E169" s="109"/>
    </row>
    <row r="170">
      <c r="E170" s="109"/>
    </row>
    <row r="171">
      <c r="E171" s="109"/>
    </row>
    <row r="172">
      <c r="E172" s="109"/>
    </row>
    <row r="173">
      <c r="E173" s="109"/>
    </row>
    <row r="174">
      <c r="E174" s="109"/>
    </row>
    <row r="175">
      <c r="E175" s="109"/>
    </row>
    <row r="176">
      <c r="E176" s="109"/>
    </row>
    <row r="177">
      <c r="E177" s="109"/>
    </row>
    <row r="178">
      <c r="E178" s="109"/>
    </row>
    <row r="179">
      <c r="E179" s="109"/>
    </row>
    <row r="180">
      <c r="E180" s="109"/>
    </row>
    <row r="181">
      <c r="E181" s="109"/>
    </row>
    <row r="182">
      <c r="E182" s="109"/>
    </row>
    <row r="183">
      <c r="E183" s="109"/>
    </row>
    <row r="184">
      <c r="E184" s="109"/>
    </row>
    <row r="185">
      <c r="E185" s="109"/>
    </row>
    <row r="186">
      <c r="E186" s="109"/>
    </row>
    <row r="187">
      <c r="E187" s="109"/>
    </row>
    <row r="188">
      <c r="E188" s="109"/>
    </row>
    <row r="189">
      <c r="E189" s="109"/>
    </row>
    <row r="190">
      <c r="E190" s="109"/>
    </row>
    <row r="191">
      <c r="E191" s="109"/>
    </row>
    <row r="192">
      <c r="E192" s="109"/>
    </row>
    <row r="193">
      <c r="E193" s="109"/>
    </row>
    <row r="194">
      <c r="E194" s="109"/>
    </row>
    <row r="195">
      <c r="E195" s="109"/>
    </row>
    <row r="196">
      <c r="E196" s="109"/>
    </row>
    <row r="197">
      <c r="E197" s="109"/>
    </row>
    <row r="198">
      <c r="E198" s="109"/>
    </row>
    <row r="199">
      <c r="E199" s="109"/>
    </row>
    <row r="200">
      <c r="E200" s="109"/>
    </row>
    <row r="201">
      <c r="E201" s="109"/>
    </row>
    <row r="202">
      <c r="E202" s="109"/>
    </row>
    <row r="203">
      <c r="E203" s="109"/>
    </row>
    <row r="204">
      <c r="E204" s="109"/>
    </row>
    <row r="205">
      <c r="E205" s="109"/>
    </row>
    <row r="206">
      <c r="E206" s="109"/>
    </row>
    <row r="207">
      <c r="E207" s="109"/>
    </row>
    <row r="208">
      <c r="E208" s="109"/>
    </row>
    <row r="209">
      <c r="E209" s="109"/>
    </row>
    <row r="210">
      <c r="E210" s="109"/>
    </row>
    <row r="211">
      <c r="E211" s="109"/>
    </row>
    <row r="212">
      <c r="E212" s="109"/>
    </row>
    <row r="213">
      <c r="E213" s="109"/>
    </row>
    <row r="214">
      <c r="E214" s="109"/>
    </row>
    <row r="215">
      <c r="E215" s="109"/>
    </row>
    <row r="216">
      <c r="E216" s="109"/>
    </row>
    <row r="217">
      <c r="E217" s="109"/>
    </row>
    <row r="218">
      <c r="E218" s="109"/>
    </row>
    <row r="219">
      <c r="E219" s="109"/>
    </row>
    <row r="220">
      <c r="E220" s="109"/>
    </row>
    <row r="221">
      <c r="E221" s="109"/>
    </row>
    <row r="222">
      <c r="E222" s="109"/>
    </row>
    <row r="223">
      <c r="E223" s="109"/>
    </row>
    <row r="224">
      <c r="E224" s="109"/>
    </row>
    <row r="225">
      <c r="E225" s="109"/>
    </row>
    <row r="226">
      <c r="E226" s="109"/>
    </row>
    <row r="227">
      <c r="E227" s="109"/>
    </row>
    <row r="228">
      <c r="E228" s="109"/>
    </row>
    <row r="229">
      <c r="E229" s="109"/>
    </row>
    <row r="230">
      <c r="E230" s="109"/>
    </row>
    <row r="231">
      <c r="E231" s="109"/>
    </row>
    <row r="232">
      <c r="E232" s="109"/>
    </row>
    <row r="233">
      <c r="E233" s="109"/>
    </row>
    <row r="234">
      <c r="E234" s="109"/>
    </row>
    <row r="235">
      <c r="E235" s="109"/>
    </row>
    <row r="236">
      <c r="E236" s="109"/>
    </row>
    <row r="237">
      <c r="E237" s="109"/>
    </row>
    <row r="238">
      <c r="E238" s="109"/>
    </row>
    <row r="239">
      <c r="E239" s="109"/>
    </row>
    <row r="240">
      <c r="E240" s="109"/>
    </row>
    <row r="241">
      <c r="E241" s="109"/>
    </row>
    <row r="242">
      <c r="E242" s="109"/>
    </row>
    <row r="243">
      <c r="E243" s="109"/>
    </row>
    <row r="244">
      <c r="E244" s="109"/>
    </row>
    <row r="245">
      <c r="E245" s="109"/>
    </row>
    <row r="246">
      <c r="E246" s="109"/>
    </row>
    <row r="247">
      <c r="E247" s="109"/>
    </row>
    <row r="248">
      <c r="E248" s="109"/>
    </row>
    <row r="249">
      <c r="E249" s="109"/>
    </row>
    <row r="250">
      <c r="E250" s="109"/>
    </row>
    <row r="251">
      <c r="E251" s="109"/>
    </row>
    <row r="252">
      <c r="E252" s="109"/>
    </row>
    <row r="253">
      <c r="E253" s="109"/>
    </row>
    <row r="254">
      <c r="E254" s="109"/>
    </row>
    <row r="255">
      <c r="E255" s="109"/>
    </row>
    <row r="256">
      <c r="E256" s="109"/>
    </row>
    <row r="257">
      <c r="E257" s="109"/>
    </row>
    <row r="258">
      <c r="E258" s="109"/>
    </row>
    <row r="259">
      <c r="E259" s="109"/>
    </row>
    <row r="260">
      <c r="E260" s="109"/>
    </row>
    <row r="261">
      <c r="E261" s="109"/>
    </row>
    <row r="262">
      <c r="E262" s="109"/>
    </row>
    <row r="263">
      <c r="E263" s="109"/>
    </row>
    <row r="264">
      <c r="E264" s="109"/>
    </row>
    <row r="265">
      <c r="E265" s="109"/>
    </row>
    <row r="266">
      <c r="E266" s="109"/>
    </row>
    <row r="267">
      <c r="E267" s="109"/>
    </row>
    <row r="268">
      <c r="E268" s="109"/>
    </row>
    <row r="269">
      <c r="E269" s="109"/>
    </row>
    <row r="270">
      <c r="E270" s="109"/>
    </row>
    <row r="271">
      <c r="E271" s="109"/>
    </row>
    <row r="272">
      <c r="E272" s="109"/>
    </row>
    <row r="273">
      <c r="E273" s="109"/>
    </row>
    <row r="274">
      <c r="E274" s="109"/>
    </row>
    <row r="275">
      <c r="E275" s="109"/>
    </row>
    <row r="276">
      <c r="E276" s="109"/>
    </row>
    <row r="277">
      <c r="E277" s="109"/>
    </row>
    <row r="278">
      <c r="E278" s="109"/>
    </row>
    <row r="279">
      <c r="E279" s="109"/>
    </row>
    <row r="280">
      <c r="E280" s="109"/>
    </row>
    <row r="281">
      <c r="E281" s="109"/>
    </row>
    <row r="282">
      <c r="E282" s="109"/>
    </row>
    <row r="283">
      <c r="E283" s="109"/>
    </row>
    <row r="284">
      <c r="E284" s="109"/>
    </row>
    <row r="285">
      <c r="E285" s="109"/>
    </row>
    <row r="286">
      <c r="E286" s="109"/>
    </row>
    <row r="287">
      <c r="E287" s="109"/>
    </row>
    <row r="288">
      <c r="E288" s="109"/>
    </row>
    <row r="289">
      <c r="E289" s="109"/>
    </row>
    <row r="290">
      <c r="E290" s="109"/>
    </row>
    <row r="291">
      <c r="E291" s="109"/>
    </row>
    <row r="292">
      <c r="E292" s="109"/>
    </row>
    <row r="293">
      <c r="E293" s="109"/>
    </row>
    <row r="294">
      <c r="E294" s="109"/>
    </row>
    <row r="295">
      <c r="E295" s="109"/>
    </row>
    <row r="296">
      <c r="E296" s="109"/>
    </row>
    <row r="297">
      <c r="E297" s="109"/>
    </row>
    <row r="298">
      <c r="E298" s="109"/>
    </row>
    <row r="299">
      <c r="E299" s="109"/>
    </row>
    <row r="300">
      <c r="E300" s="109"/>
    </row>
    <row r="301">
      <c r="E301" s="109"/>
    </row>
    <row r="302">
      <c r="E302" s="109"/>
    </row>
    <row r="303">
      <c r="E303" s="109"/>
    </row>
    <row r="304">
      <c r="E304" s="109"/>
    </row>
    <row r="305">
      <c r="E305" s="109"/>
    </row>
    <row r="306">
      <c r="E306" s="109"/>
    </row>
    <row r="307">
      <c r="E307" s="109"/>
    </row>
    <row r="308">
      <c r="E308" s="109"/>
    </row>
    <row r="309">
      <c r="E309" s="109"/>
    </row>
    <row r="310">
      <c r="E310" s="109"/>
    </row>
    <row r="311">
      <c r="E311" s="109"/>
    </row>
    <row r="312">
      <c r="E312" s="109"/>
    </row>
    <row r="313">
      <c r="E313" s="109"/>
    </row>
    <row r="314">
      <c r="E314" s="109"/>
    </row>
    <row r="315">
      <c r="E315" s="109"/>
    </row>
    <row r="316">
      <c r="E316" s="109"/>
    </row>
    <row r="317">
      <c r="E317" s="109"/>
    </row>
    <row r="318">
      <c r="E318" s="109"/>
    </row>
    <row r="319">
      <c r="E319" s="109"/>
    </row>
    <row r="320">
      <c r="E320" s="109"/>
    </row>
    <row r="321">
      <c r="E321" s="109"/>
    </row>
    <row r="322">
      <c r="E322" s="109"/>
    </row>
    <row r="323">
      <c r="E323" s="109"/>
    </row>
    <row r="324">
      <c r="E324" s="109"/>
    </row>
    <row r="325">
      <c r="E325" s="109"/>
    </row>
    <row r="326">
      <c r="E326" s="109"/>
    </row>
    <row r="327">
      <c r="E327" s="109"/>
    </row>
    <row r="328">
      <c r="E328" s="109"/>
    </row>
    <row r="329">
      <c r="E329" s="109"/>
    </row>
    <row r="330">
      <c r="E330" s="109"/>
    </row>
    <row r="331">
      <c r="E331" s="109"/>
    </row>
    <row r="332">
      <c r="E332" s="109"/>
    </row>
    <row r="333">
      <c r="E333" s="109"/>
    </row>
    <row r="334">
      <c r="E334" s="109"/>
    </row>
    <row r="335">
      <c r="E335" s="109"/>
    </row>
    <row r="336">
      <c r="E336" s="109"/>
    </row>
    <row r="337">
      <c r="E337" s="109"/>
    </row>
    <row r="338">
      <c r="E338" s="109"/>
    </row>
    <row r="339">
      <c r="E339" s="109"/>
    </row>
    <row r="340">
      <c r="E340" s="109"/>
    </row>
    <row r="341">
      <c r="E341" s="109"/>
    </row>
    <row r="342">
      <c r="E342" s="109"/>
    </row>
    <row r="343">
      <c r="E343" s="109"/>
    </row>
    <row r="344">
      <c r="E344" s="109"/>
    </row>
    <row r="345">
      <c r="E345" s="109"/>
    </row>
    <row r="346">
      <c r="E346" s="109"/>
    </row>
    <row r="347">
      <c r="E347" s="109"/>
    </row>
    <row r="348">
      <c r="E348" s="109"/>
    </row>
    <row r="349">
      <c r="E349" s="109"/>
    </row>
    <row r="350">
      <c r="E350" s="109"/>
    </row>
    <row r="351">
      <c r="E351" s="109"/>
    </row>
    <row r="352">
      <c r="E352" s="109"/>
    </row>
    <row r="353">
      <c r="E353" s="109"/>
    </row>
    <row r="354">
      <c r="E354" s="109"/>
    </row>
    <row r="355">
      <c r="E355" s="109"/>
    </row>
    <row r="356">
      <c r="E356" s="109"/>
    </row>
    <row r="357">
      <c r="E357" s="109"/>
    </row>
    <row r="358">
      <c r="E358" s="109"/>
    </row>
    <row r="359">
      <c r="E359" s="109"/>
    </row>
    <row r="360">
      <c r="E360" s="109"/>
    </row>
    <row r="361">
      <c r="E361" s="109"/>
    </row>
    <row r="362">
      <c r="E362" s="109"/>
    </row>
    <row r="363">
      <c r="E363" s="109"/>
    </row>
    <row r="364">
      <c r="E364" s="109"/>
    </row>
    <row r="365">
      <c r="E365" s="109"/>
    </row>
    <row r="366">
      <c r="E366" s="109"/>
    </row>
    <row r="367">
      <c r="E367" s="109"/>
    </row>
    <row r="368">
      <c r="E368" s="109"/>
    </row>
    <row r="369">
      <c r="E369" s="109"/>
    </row>
    <row r="370">
      <c r="E370" s="109"/>
    </row>
    <row r="371">
      <c r="E371" s="109"/>
    </row>
    <row r="372">
      <c r="E372" s="109"/>
    </row>
    <row r="373">
      <c r="E373" s="109"/>
    </row>
    <row r="374">
      <c r="E374" s="109"/>
    </row>
    <row r="375">
      <c r="E375" s="109"/>
    </row>
    <row r="376">
      <c r="E376" s="109"/>
    </row>
    <row r="377">
      <c r="E377" s="109"/>
    </row>
    <row r="378">
      <c r="E378" s="109"/>
    </row>
    <row r="379">
      <c r="E379" s="109"/>
    </row>
    <row r="380">
      <c r="E380" s="109"/>
    </row>
    <row r="381">
      <c r="E381" s="109"/>
    </row>
    <row r="382">
      <c r="E382" s="109"/>
    </row>
    <row r="383">
      <c r="E383" s="109"/>
    </row>
    <row r="384">
      <c r="E384" s="109"/>
    </row>
    <row r="385">
      <c r="E385" s="109"/>
    </row>
    <row r="386">
      <c r="E386" s="109"/>
    </row>
    <row r="387">
      <c r="E387" s="109"/>
    </row>
    <row r="388">
      <c r="E388" s="109"/>
    </row>
    <row r="389">
      <c r="E389" s="109"/>
    </row>
    <row r="390">
      <c r="E390" s="109"/>
    </row>
    <row r="391">
      <c r="E391" s="109"/>
    </row>
    <row r="392">
      <c r="E392" s="109"/>
    </row>
    <row r="393">
      <c r="E393" s="109"/>
    </row>
    <row r="394">
      <c r="E394" s="109"/>
    </row>
    <row r="395">
      <c r="E395" s="109"/>
    </row>
    <row r="396">
      <c r="E396" s="109"/>
    </row>
    <row r="397">
      <c r="E397" s="109"/>
    </row>
    <row r="398">
      <c r="E398" s="109"/>
    </row>
    <row r="399">
      <c r="E399" s="109"/>
    </row>
    <row r="400">
      <c r="E400" s="109"/>
    </row>
    <row r="401">
      <c r="E401" s="109"/>
    </row>
    <row r="402">
      <c r="E402" s="109"/>
    </row>
    <row r="403">
      <c r="E403" s="109"/>
    </row>
    <row r="404">
      <c r="E404" s="109"/>
    </row>
    <row r="405">
      <c r="E405" s="109"/>
    </row>
    <row r="406">
      <c r="E406" s="109"/>
    </row>
    <row r="407">
      <c r="E407" s="109"/>
    </row>
    <row r="408">
      <c r="E408" s="109"/>
    </row>
    <row r="409">
      <c r="E409" s="109"/>
    </row>
    <row r="410">
      <c r="E410" s="109"/>
    </row>
    <row r="411">
      <c r="E411" s="109"/>
    </row>
    <row r="412">
      <c r="E412" s="109"/>
    </row>
    <row r="413">
      <c r="E413" s="109"/>
    </row>
    <row r="414">
      <c r="E414" s="109"/>
    </row>
    <row r="415">
      <c r="E415" s="109"/>
    </row>
    <row r="416">
      <c r="E416" s="109"/>
    </row>
    <row r="417">
      <c r="E417" s="109"/>
    </row>
    <row r="418">
      <c r="E418" s="109"/>
    </row>
    <row r="419">
      <c r="E419" s="109"/>
    </row>
    <row r="420">
      <c r="E420" s="109"/>
    </row>
    <row r="421">
      <c r="E421" s="109"/>
    </row>
    <row r="422">
      <c r="E422" s="109"/>
    </row>
    <row r="423">
      <c r="E423" s="109"/>
    </row>
    <row r="424">
      <c r="E424" s="109"/>
    </row>
    <row r="425">
      <c r="E425" s="109"/>
    </row>
    <row r="426">
      <c r="E426" s="109"/>
    </row>
    <row r="427">
      <c r="E427" s="109"/>
    </row>
    <row r="428">
      <c r="E428" s="109"/>
    </row>
    <row r="429">
      <c r="E429" s="109"/>
    </row>
    <row r="430">
      <c r="E430" s="109"/>
    </row>
    <row r="431">
      <c r="E431" s="109"/>
    </row>
    <row r="432">
      <c r="E432" s="109"/>
    </row>
    <row r="433">
      <c r="E433" s="109"/>
    </row>
    <row r="434">
      <c r="E434" s="109"/>
    </row>
    <row r="435">
      <c r="E435" s="109"/>
    </row>
    <row r="436">
      <c r="E436" s="109"/>
    </row>
    <row r="437">
      <c r="E437" s="109"/>
    </row>
    <row r="438">
      <c r="E438" s="109"/>
    </row>
    <row r="439">
      <c r="E439" s="109"/>
    </row>
    <row r="440">
      <c r="E440" s="109"/>
    </row>
    <row r="441">
      <c r="E441" s="109"/>
    </row>
    <row r="442">
      <c r="E442" s="109"/>
    </row>
    <row r="443">
      <c r="E443" s="109"/>
    </row>
    <row r="444">
      <c r="E444" s="109"/>
    </row>
    <row r="445">
      <c r="E445" s="109"/>
    </row>
    <row r="446">
      <c r="E446" s="109"/>
    </row>
    <row r="447">
      <c r="E447" s="109"/>
    </row>
    <row r="448">
      <c r="E448" s="109"/>
    </row>
    <row r="449">
      <c r="E449" s="109"/>
    </row>
    <row r="450">
      <c r="E450" s="109"/>
    </row>
    <row r="451">
      <c r="E451" s="109"/>
    </row>
    <row r="452">
      <c r="E452" s="109"/>
    </row>
    <row r="453">
      <c r="E453" s="109"/>
    </row>
    <row r="454">
      <c r="E454" s="109"/>
    </row>
    <row r="455">
      <c r="E455" s="109"/>
    </row>
    <row r="456">
      <c r="E456" s="109"/>
    </row>
    <row r="457">
      <c r="E457" s="109"/>
    </row>
    <row r="458">
      <c r="E458" s="109"/>
    </row>
    <row r="459">
      <c r="E459" s="109"/>
    </row>
    <row r="460">
      <c r="E460" s="109"/>
    </row>
    <row r="461">
      <c r="E461" s="109"/>
    </row>
    <row r="462">
      <c r="E462" s="109"/>
    </row>
    <row r="463">
      <c r="E463" s="109"/>
    </row>
    <row r="464">
      <c r="E464" s="109"/>
    </row>
    <row r="465">
      <c r="E465" s="109"/>
    </row>
    <row r="466">
      <c r="E466" s="109"/>
    </row>
    <row r="467">
      <c r="E467" s="109"/>
    </row>
    <row r="468">
      <c r="E468" s="109"/>
    </row>
    <row r="469">
      <c r="E469" s="109"/>
    </row>
    <row r="470">
      <c r="E470" s="109"/>
    </row>
    <row r="471">
      <c r="E471" s="109"/>
    </row>
    <row r="472">
      <c r="E472" s="109"/>
    </row>
    <row r="473">
      <c r="E473" s="109"/>
    </row>
    <row r="474">
      <c r="E474" s="109"/>
    </row>
    <row r="475">
      <c r="E475" s="109"/>
    </row>
    <row r="476">
      <c r="E476" s="109"/>
    </row>
    <row r="477">
      <c r="E477" s="109"/>
    </row>
    <row r="478">
      <c r="E478" s="109"/>
    </row>
    <row r="479">
      <c r="E479" s="109"/>
    </row>
    <row r="480">
      <c r="E480" s="109"/>
    </row>
    <row r="481">
      <c r="E481" s="109"/>
    </row>
    <row r="482">
      <c r="E482" s="109"/>
    </row>
    <row r="483">
      <c r="E483" s="109"/>
    </row>
    <row r="484">
      <c r="E484" s="109"/>
    </row>
    <row r="485">
      <c r="E485" s="109"/>
    </row>
    <row r="486">
      <c r="E486" s="109"/>
    </row>
    <row r="487">
      <c r="E487" s="109"/>
    </row>
    <row r="488">
      <c r="E488" s="109"/>
    </row>
    <row r="489">
      <c r="E489" s="109"/>
    </row>
    <row r="490">
      <c r="E490" s="109"/>
    </row>
    <row r="491">
      <c r="E491" s="109"/>
    </row>
    <row r="492">
      <c r="E492" s="109"/>
    </row>
    <row r="493">
      <c r="E493" s="109"/>
    </row>
    <row r="494">
      <c r="E494" s="109"/>
    </row>
    <row r="495">
      <c r="E495" s="109"/>
    </row>
    <row r="496">
      <c r="E496" s="109"/>
    </row>
    <row r="497">
      <c r="E497" s="109"/>
    </row>
    <row r="498">
      <c r="E498" s="109"/>
    </row>
    <row r="499">
      <c r="E499" s="109"/>
    </row>
    <row r="500">
      <c r="E500" s="109"/>
    </row>
    <row r="501">
      <c r="E501" s="109"/>
    </row>
    <row r="502">
      <c r="E502" s="109"/>
    </row>
    <row r="503">
      <c r="E503" s="109"/>
    </row>
    <row r="504">
      <c r="E504" s="109"/>
    </row>
    <row r="505">
      <c r="E505" s="109"/>
    </row>
    <row r="506">
      <c r="E506" s="109"/>
    </row>
    <row r="507">
      <c r="E507" s="109"/>
    </row>
    <row r="508">
      <c r="E508" s="109"/>
    </row>
    <row r="509">
      <c r="E509" s="109"/>
    </row>
    <row r="510">
      <c r="E510" s="109"/>
    </row>
    <row r="511">
      <c r="E511" s="109"/>
    </row>
    <row r="512">
      <c r="E512" s="109"/>
    </row>
    <row r="513">
      <c r="E513" s="109"/>
    </row>
    <row r="514">
      <c r="E514" s="109"/>
    </row>
    <row r="515">
      <c r="E515" s="109"/>
    </row>
    <row r="516">
      <c r="E516" s="109"/>
    </row>
    <row r="517">
      <c r="E517" s="109"/>
    </row>
    <row r="518">
      <c r="E518" s="109"/>
    </row>
    <row r="519">
      <c r="E519" s="109"/>
    </row>
    <row r="520">
      <c r="E520" s="109"/>
    </row>
    <row r="521">
      <c r="E521" s="109"/>
    </row>
    <row r="522">
      <c r="E522" s="109"/>
    </row>
    <row r="523">
      <c r="E523" s="109"/>
    </row>
    <row r="524">
      <c r="E524" s="109"/>
    </row>
    <row r="525">
      <c r="E525" s="109"/>
    </row>
    <row r="526">
      <c r="E526" s="109"/>
    </row>
    <row r="527">
      <c r="E527" s="109"/>
    </row>
    <row r="528">
      <c r="E528" s="109"/>
    </row>
    <row r="529">
      <c r="E529" s="109"/>
    </row>
    <row r="530">
      <c r="E530" s="109"/>
    </row>
    <row r="531">
      <c r="E531" s="109"/>
    </row>
    <row r="532">
      <c r="E532" s="109"/>
    </row>
    <row r="533">
      <c r="E533" s="109"/>
    </row>
    <row r="534">
      <c r="E534" s="109"/>
    </row>
    <row r="535">
      <c r="E535" s="109"/>
    </row>
    <row r="536">
      <c r="E536" s="109"/>
    </row>
    <row r="537">
      <c r="E537" s="109"/>
    </row>
    <row r="538">
      <c r="E538" s="109"/>
    </row>
    <row r="539">
      <c r="E539" s="109"/>
    </row>
    <row r="540">
      <c r="E540" s="109"/>
    </row>
    <row r="541">
      <c r="E541" s="109"/>
    </row>
    <row r="542">
      <c r="E542" s="109"/>
    </row>
    <row r="543">
      <c r="E543" s="109"/>
    </row>
    <row r="544">
      <c r="E544" s="109"/>
    </row>
    <row r="545">
      <c r="E545" s="109"/>
    </row>
    <row r="546">
      <c r="E546" s="109"/>
    </row>
    <row r="547">
      <c r="E547" s="109"/>
    </row>
    <row r="548">
      <c r="E548" s="109"/>
    </row>
    <row r="549">
      <c r="E549" s="109"/>
    </row>
    <row r="550">
      <c r="E550" s="109"/>
    </row>
    <row r="551">
      <c r="E551" s="109"/>
    </row>
    <row r="552">
      <c r="E552" s="109"/>
    </row>
    <row r="553">
      <c r="E553" s="109"/>
    </row>
    <row r="554">
      <c r="E554" s="109"/>
    </row>
    <row r="555">
      <c r="E555" s="109"/>
    </row>
    <row r="556">
      <c r="E556" s="109"/>
    </row>
    <row r="557">
      <c r="E557" s="109"/>
    </row>
    <row r="558">
      <c r="E558" s="109"/>
    </row>
    <row r="559">
      <c r="E559" s="109"/>
    </row>
    <row r="560">
      <c r="E560" s="109"/>
    </row>
    <row r="561">
      <c r="E561" s="109"/>
    </row>
    <row r="562">
      <c r="E562" s="109"/>
    </row>
    <row r="563">
      <c r="E563" s="109"/>
    </row>
    <row r="564">
      <c r="E564" s="109"/>
    </row>
    <row r="565">
      <c r="E565" s="109"/>
    </row>
    <row r="566">
      <c r="E566" s="109"/>
    </row>
    <row r="567">
      <c r="E567" s="109"/>
    </row>
    <row r="568">
      <c r="E568" s="109"/>
    </row>
    <row r="569">
      <c r="E569" s="109"/>
    </row>
    <row r="570">
      <c r="E570" s="109"/>
    </row>
    <row r="571">
      <c r="E571" s="109"/>
    </row>
    <row r="572">
      <c r="E572" s="109"/>
    </row>
    <row r="573">
      <c r="E573" s="109"/>
    </row>
    <row r="574">
      <c r="E574" s="109"/>
    </row>
    <row r="575">
      <c r="E575" s="109"/>
    </row>
    <row r="576">
      <c r="E576" s="109"/>
    </row>
    <row r="577">
      <c r="E577" s="109"/>
    </row>
    <row r="578">
      <c r="E578" s="109"/>
    </row>
    <row r="579">
      <c r="E579" s="109"/>
    </row>
    <row r="580">
      <c r="E580" s="109"/>
    </row>
    <row r="581">
      <c r="E581" s="109"/>
    </row>
    <row r="582">
      <c r="E582" s="109"/>
    </row>
    <row r="583">
      <c r="E583" s="109"/>
    </row>
    <row r="584">
      <c r="E584" s="109"/>
    </row>
    <row r="585">
      <c r="E585" s="109"/>
    </row>
    <row r="586">
      <c r="E586" s="109"/>
    </row>
    <row r="587">
      <c r="E587" s="109"/>
    </row>
    <row r="588">
      <c r="E588" s="109"/>
    </row>
    <row r="589">
      <c r="E589" s="109"/>
    </row>
    <row r="590">
      <c r="E590" s="109"/>
    </row>
    <row r="591">
      <c r="E591" s="109"/>
    </row>
    <row r="592">
      <c r="E592" s="109"/>
    </row>
    <row r="593">
      <c r="E593" s="109"/>
    </row>
    <row r="594">
      <c r="E594" s="109"/>
    </row>
    <row r="595">
      <c r="E595" s="109"/>
    </row>
    <row r="596">
      <c r="E596" s="109"/>
    </row>
    <row r="597">
      <c r="E597" s="109"/>
    </row>
    <row r="598">
      <c r="E598" s="109"/>
    </row>
    <row r="599">
      <c r="E599" s="109"/>
    </row>
    <row r="600">
      <c r="E600" s="109"/>
    </row>
    <row r="601">
      <c r="E601" s="109"/>
    </row>
    <row r="602">
      <c r="E602" s="109"/>
    </row>
    <row r="603">
      <c r="E603" s="109"/>
    </row>
    <row r="604">
      <c r="E604" s="109"/>
    </row>
    <row r="605">
      <c r="E605" s="109"/>
    </row>
    <row r="606">
      <c r="E606" s="109"/>
    </row>
    <row r="607">
      <c r="E607" s="109"/>
    </row>
    <row r="608">
      <c r="E608" s="109"/>
    </row>
    <row r="609">
      <c r="E609" s="109"/>
    </row>
    <row r="610">
      <c r="E610" s="109"/>
    </row>
    <row r="611">
      <c r="E611" s="109"/>
    </row>
    <row r="612">
      <c r="E612" s="109"/>
    </row>
    <row r="613">
      <c r="E613" s="109"/>
    </row>
    <row r="614">
      <c r="E614" s="109"/>
    </row>
    <row r="615">
      <c r="E615" s="109"/>
    </row>
    <row r="616">
      <c r="E616" s="109"/>
    </row>
    <row r="617">
      <c r="E617" s="109"/>
    </row>
    <row r="618">
      <c r="E618" s="109"/>
    </row>
    <row r="619">
      <c r="E619" s="109"/>
    </row>
    <row r="620">
      <c r="E620" s="109"/>
    </row>
    <row r="621">
      <c r="E621" s="109"/>
    </row>
    <row r="622">
      <c r="E622" s="109"/>
    </row>
    <row r="623">
      <c r="E623" s="109"/>
    </row>
    <row r="624">
      <c r="E624" s="109"/>
    </row>
    <row r="625">
      <c r="E625" s="109"/>
    </row>
    <row r="626">
      <c r="E626" s="109"/>
    </row>
    <row r="627">
      <c r="E627" s="109"/>
    </row>
    <row r="628">
      <c r="E628" s="109"/>
    </row>
    <row r="629">
      <c r="E629" s="109"/>
    </row>
    <row r="630">
      <c r="E630" s="109"/>
    </row>
    <row r="631">
      <c r="E631" s="109"/>
    </row>
    <row r="632">
      <c r="E632" s="109"/>
    </row>
    <row r="633">
      <c r="E633" s="109"/>
    </row>
    <row r="634">
      <c r="E634" s="109"/>
    </row>
    <row r="635">
      <c r="E635" s="109"/>
    </row>
    <row r="636">
      <c r="E636" s="109"/>
    </row>
    <row r="637">
      <c r="E637" s="109"/>
    </row>
    <row r="638">
      <c r="E638" s="109"/>
    </row>
    <row r="639">
      <c r="E639" s="109"/>
    </row>
    <row r="640">
      <c r="E640" s="109"/>
    </row>
    <row r="641">
      <c r="E641" s="109"/>
    </row>
    <row r="642">
      <c r="E642" s="109"/>
    </row>
    <row r="643">
      <c r="E643" s="109"/>
    </row>
    <row r="644">
      <c r="E644" s="109"/>
    </row>
    <row r="645">
      <c r="E645" s="109"/>
    </row>
    <row r="646">
      <c r="E646" s="109"/>
    </row>
    <row r="647">
      <c r="E647" s="109"/>
    </row>
    <row r="648">
      <c r="E648" s="109"/>
    </row>
    <row r="649">
      <c r="E649" s="109"/>
    </row>
    <row r="650">
      <c r="E650" s="109"/>
    </row>
    <row r="651">
      <c r="E651" s="109"/>
    </row>
    <row r="652">
      <c r="E652" s="109"/>
    </row>
    <row r="653">
      <c r="E653" s="109"/>
    </row>
    <row r="654">
      <c r="E654" s="109"/>
    </row>
    <row r="655">
      <c r="E655" s="109"/>
    </row>
    <row r="656">
      <c r="E656" s="109"/>
    </row>
    <row r="657">
      <c r="E657" s="109"/>
    </row>
    <row r="658">
      <c r="E658" s="109"/>
    </row>
    <row r="659">
      <c r="E659" s="109"/>
    </row>
    <row r="660">
      <c r="E660" s="109"/>
    </row>
    <row r="661">
      <c r="E661" s="109"/>
    </row>
    <row r="662">
      <c r="E662" s="109"/>
    </row>
    <row r="663">
      <c r="E663" s="109"/>
    </row>
    <row r="664">
      <c r="E664" s="109"/>
    </row>
    <row r="665">
      <c r="E665" s="109"/>
    </row>
    <row r="666">
      <c r="E666" s="109"/>
    </row>
    <row r="667">
      <c r="E667" s="109"/>
    </row>
    <row r="668">
      <c r="E668" s="109"/>
    </row>
    <row r="669">
      <c r="E669" s="109"/>
    </row>
    <row r="670">
      <c r="E670" s="109"/>
    </row>
    <row r="671">
      <c r="E671" s="109"/>
    </row>
    <row r="672">
      <c r="E672" s="109"/>
    </row>
    <row r="673">
      <c r="E673" s="109"/>
    </row>
    <row r="674">
      <c r="E674" s="109"/>
    </row>
    <row r="675">
      <c r="E675" s="109"/>
    </row>
    <row r="676">
      <c r="E676" s="109"/>
    </row>
    <row r="677">
      <c r="E677" s="109"/>
    </row>
    <row r="678">
      <c r="E678" s="109"/>
    </row>
    <row r="679">
      <c r="E679" s="109"/>
    </row>
    <row r="680">
      <c r="E680" s="109"/>
    </row>
    <row r="681">
      <c r="E681" s="109"/>
    </row>
    <row r="682">
      <c r="E682" s="109"/>
    </row>
    <row r="683">
      <c r="E683" s="109"/>
    </row>
    <row r="684">
      <c r="E684" s="109"/>
    </row>
    <row r="685">
      <c r="E685" s="109"/>
    </row>
    <row r="686">
      <c r="E686" s="109"/>
    </row>
    <row r="687">
      <c r="E687" s="109"/>
    </row>
    <row r="688">
      <c r="E688" s="109"/>
    </row>
    <row r="689">
      <c r="E689" s="109"/>
    </row>
    <row r="690">
      <c r="E690" s="109"/>
    </row>
    <row r="691">
      <c r="E691" s="109"/>
    </row>
    <row r="692">
      <c r="E692" s="109"/>
    </row>
    <row r="693">
      <c r="E693" s="109"/>
    </row>
    <row r="694">
      <c r="E694" s="109"/>
    </row>
    <row r="695">
      <c r="E695" s="109"/>
    </row>
    <row r="696">
      <c r="E696" s="109"/>
    </row>
    <row r="697">
      <c r="E697" s="109"/>
    </row>
    <row r="698">
      <c r="E698" s="109"/>
    </row>
    <row r="699">
      <c r="E699" s="109"/>
    </row>
    <row r="700">
      <c r="E700" s="109"/>
    </row>
    <row r="701">
      <c r="E701" s="109"/>
    </row>
    <row r="702">
      <c r="E702" s="109"/>
    </row>
    <row r="703">
      <c r="E703" s="109"/>
    </row>
    <row r="704">
      <c r="E704" s="109"/>
    </row>
    <row r="705">
      <c r="E705" s="109"/>
    </row>
    <row r="706">
      <c r="E706" s="109"/>
    </row>
    <row r="707">
      <c r="E707" s="109"/>
    </row>
    <row r="708">
      <c r="E708" s="109"/>
    </row>
    <row r="709">
      <c r="E709" s="109"/>
    </row>
    <row r="710">
      <c r="E710" s="109"/>
    </row>
    <row r="711">
      <c r="E711" s="109"/>
    </row>
    <row r="712">
      <c r="E712" s="109"/>
    </row>
    <row r="713">
      <c r="E713" s="109"/>
    </row>
    <row r="714">
      <c r="E714" s="109"/>
    </row>
    <row r="715">
      <c r="E715" s="109"/>
    </row>
    <row r="716">
      <c r="E716" s="109"/>
    </row>
    <row r="717">
      <c r="E717" s="109"/>
    </row>
    <row r="718">
      <c r="E718" s="109"/>
    </row>
    <row r="719">
      <c r="E719" s="109"/>
    </row>
    <row r="720">
      <c r="E720" s="109"/>
    </row>
    <row r="721">
      <c r="E721" s="109"/>
    </row>
    <row r="722">
      <c r="E722" s="109"/>
    </row>
    <row r="723">
      <c r="E723" s="109"/>
    </row>
    <row r="724">
      <c r="E724" s="109"/>
    </row>
    <row r="725">
      <c r="E725" s="109"/>
    </row>
    <row r="726">
      <c r="E726" s="109"/>
    </row>
    <row r="727">
      <c r="E727" s="109"/>
    </row>
    <row r="728">
      <c r="E728" s="109"/>
    </row>
    <row r="729">
      <c r="E729" s="109"/>
    </row>
    <row r="730">
      <c r="E730" s="109"/>
    </row>
    <row r="731">
      <c r="E731" s="109"/>
    </row>
    <row r="732">
      <c r="E732" s="109"/>
    </row>
    <row r="733">
      <c r="E733" s="109"/>
    </row>
    <row r="734">
      <c r="E734" s="109"/>
    </row>
    <row r="735">
      <c r="E735" s="109"/>
    </row>
    <row r="736">
      <c r="E736" s="109"/>
    </row>
    <row r="737">
      <c r="E737" s="109"/>
    </row>
    <row r="738">
      <c r="E738" s="109"/>
    </row>
    <row r="739">
      <c r="E739" s="109"/>
    </row>
    <row r="740">
      <c r="E740" s="109"/>
    </row>
    <row r="741">
      <c r="E741" s="109"/>
    </row>
    <row r="742">
      <c r="E742" s="109"/>
    </row>
    <row r="743">
      <c r="E743" s="109"/>
    </row>
    <row r="744">
      <c r="E744" s="109"/>
    </row>
    <row r="745">
      <c r="E745" s="109"/>
    </row>
    <row r="746">
      <c r="E746" s="109"/>
    </row>
    <row r="747">
      <c r="E747" s="109"/>
    </row>
    <row r="748">
      <c r="E748" s="109"/>
    </row>
    <row r="749">
      <c r="E749" s="109"/>
    </row>
    <row r="750">
      <c r="E750" s="109"/>
    </row>
    <row r="751">
      <c r="E751" s="109"/>
    </row>
    <row r="752">
      <c r="E752" s="109"/>
    </row>
    <row r="753">
      <c r="E753" s="109"/>
    </row>
    <row r="754">
      <c r="E754" s="109"/>
    </row>
    <row r="755">
      <c r="E755" s="109"/>
    </row>
    <row r="756">
      <c r="E756" s="109"/>
    </row>
    <row r="757">
      <c r="E757" s="109"/>
    </row>
    <row r="758">
      <c r="E758" s="109"/>
    </row>
    <row r="759">
      <c r="E759" s="109"/>
    </row>
    <row r="760">
      <c r="E760" s="109"/>
    </row>
    <row r="761">
      <c r="E761" s="109"/>
    </row>
    <row r="762">
      <c r="E762" s="109"/>
    </row>
    <row r="763">
      <c r="E763" s="109"/>
    </row>
    <row r="764">
      <c r="E764" s="109"/>
    </row>
    <row r="765">
      <c r="E765" s="109"/>
    </row>
    <row r="766">
      <c r="E766" s="109"/>
    </row>
    <row r="767">
      <c r="E767" s="109"/>
    </row>
    <row r="768">
      <c r="E768" s="109"/>
    </row>
    <row r="769">
      <c r="E769" s="109"/>
    </row>
    <row r="770">
      <c r="E770" s="109"/>
    </row>
    <row r="771">
      <c r="E771" s="109"/>
    </row>
    <row r="772">
      <c r="E772" s="109"/>
    </row>
    <row r="773">
      <c r="E773" s="109"/>
    </row>
    <row r="774">
      <c r="E774" s="109"/>
    </row>
    <row r="775">
      <c r="E775" s="109"/>
    </row>
    <row r="776">
      <c r="E776" s="109"/>
    </row>
    <row r="777">
      <c r="E777" s="109"/>
    </row>
    <row r="778">
      <c r="E778" s="109"/>
    </row>
    <row r="779">
      <c r="E779" s="109"/>
    </row>
    <row r="780">
      <c r="E780" s="109"/>
    </row>
    <row r="781">
      <c r="E781" s="109"/>
    </row>
    <row r="782">
      <c r="E782" s="109"/>
    </row>
    <row r="783">
      <c r="E783" s="109"/>
    </row>
    <row r="784">
      <c r="E784" s="109"/>
    </row>
    <row r="785">
      <c r="E785" s="109"/>
    </row>
    <row r="786">
      <c r="E786" s="109"/>
    </row>
    <row r="787">
      <c r="E787" s="109"/>
    </row>
    <row r="788">
      <c r="E788" s="109"/>
    </row>
    <row r="789">
      <c r="E789" s="109"/>
    </row>
    <row r="790">
      <c r="E790" s="109"/>
    </row>
    <row r="791">
      <c r="E791" s="109"/>
    </row>
    <row r="792">
      <c r="E792" s="109"/>
    </row>
    <row r="793">
      <c r="E793" s="109"/>
    </row>
    <row r="794">
      <c r="E794" s="109"/>
    </row>
    <row r="795">
      <c r="E795" s="109"/>
    </row>
    <row r="796">
      <c r="E796" s="109"/>
    </row>
    <row r="797">
      <c r="E797" s="109"/>
    </row>
    <row r="798">
      <c r="E798" s="109"/>
    </row>
    <row r="799">
      <c r="E799" s="109"/>
    </row>
    <row r="800">
      <c r="E800" s="109"/>
    </row>
    <row r="801">
      <c r="E801" s="109"/>
    </row>
    <row r="802">
      <c r="E802" s="109"/>
    </row>
    <row r="803">
      <c r="E803" s="109"/>
    </row>
    <row r="804">
      <c r="E804" s="109"/>
    </row>
    <row r="805">
      <c r="E805" s="109"/>
    </row>
    <row r="806">
      <c r="E806" s="109"/>
    </row>
    <row r="807">
      <c r="E807" s="109"/>
    </row>
    <row r="808">
      <c r="E808" s="109"/>
    </row>
    <row r="809">
      <c r="E809" s="109"/>
    </row>
    <row r="810">
      <c r="E810" s="109"/>
    </row>
    <row r="811">
      <c r="E811" s="109"/>
    </row>
    <row r="812">
      <c r="E812" s="109"/>
    </row>
    <row r="813">
      <c r="E813" s="109"/>
    </row>
    <row r="814">
      <c r="E814" s="109"/>
    </row>
    <row r="815">
      <c r="E815" s="109"/>
    </row>
    <row r="816">
      <c r="E816" s="109"/>
    </row>
    <row r="817">
      <c r="E817" s="109"/>
    </row>
    <row r="818">
      <c r="E818" s="109"/>
    </row>
    <row r="819">
      <c r="E819" s="109"/>
    </row>
    <row r="820">
      <c r="E820" s="109"/>
    </row>
    <row r="821">
      <c r="E821" s="109"/>
    </row>
    <row r="822">
      <c r="E822" s="109"/>
    </row>
    <row r="823">
      <c r="E823" s="109"/>
    </row>
    <row r="824">
      <c r="E824" s="109"/>
    </row>
    <row r="825">
      <c r="E825" s="109"/>
    </row>
    <row r="826">
      <c r="E826" s="109"/>
    </row>
    <row r="827">
      <c r="E827" s="109"/>
    </row>
    <row r="828">
      <c r="E828" s="109"/>
    </row>
    <row r="829">
      <c r="E829" s="109"/>
    </row>
    <row r="830">
      <c r="E830" s="109"/>
    </row>
    <row r="831">
      <c r="E831" s="109"/>
    </row>
    <row r="832">
      <c r="E832" s="109"/>
    </row>
    <row r="833">
      <c r="E833" s="109"/>
    </row>
    <row r="834">
      <c r="E834" s="109"/>
    </row>
    <row r="835">
      <c r="E835" s="109"/>
    </row>
    <row r="836">
      <c r="E836" s="109"/>
    </row>
    <row r="837">
      <c r="E837" s="109"/>
    </row>
    <row r="838">
      <c r="E838" s="109"/>
    </row>
    <row r="839">
      <c r="E839" s="109"/>
    </row>
    <row r="840">
      <c r="E840" s="109"/>
    </row>
    <row r="841">
      <c r="E841" s="109"/>
    </row>
    <row r="842">
      <c r="E842" s="109"/>
    </row>
    <row r="843">
      <c r="E843" s="109"/>
    </row>
    <row r="844">
      <c r="E844" s="109"/>
    </row>
    <row r="845">
      <c r="E845" s="109"/>
    </row>
    <row r="846">
      <c r="E846" s="109"/>
    </row>
    <row r="847">
      <c r="E847" s="109"/>
    </row>
    <row r="848">
      <c r="E848" s="109"/>
    </row>
    <row r="849">
      <c r="E849" s="109"/>
    </row>
    <row r="850">
      <c r="E850" s="109"/>
    </row>
    <row r="851">
      <c r="E851" s="109"/>
    </row>
    <row r="852">
      <c r="E852" s="109"/>
    </row>
    <row r="853">
      <c r="E853" s="109"/>
    </row>
    <row r="854">
      <c r="E854" s="109"/>
    </row>
    <row r="855">
      <c r="E855" s="109"/>
    </row>
    <row r="856">
      <c r="E856" s="109"/>
    </row>
    <row r="857">
      <c r="E857" s="109"/>
    </row>
    <row r="858">
      <c r="E858" s="109"/>
    </row>
    <row r="859">
      <c r="E859" s="109"/>
    </row>
    <row r="860">
      <c r="E860" s="109"/>
    </row>
    <row r="861">
      <c r="E861" s="109"/>
    </row>
    <row r="862">
      <c r="E862" s="109"/>
    </row>
    <row r="863">
      <c r="E863" s="109"/>
    </row>
    <row r="864">
      <c r="E864" s="109"/>
    </row>
    <row r="865">
      <c r="E865" s="109"/>
    </row>
    <row r="866">
      <c r="E866" s="109"/>
    </row>
    <row r="867">
      <c r="E867" s="109"/>
    </row>
    <row r="868">
      <c r="E868" s="109"/>
    </row>
    <row r="869">
      <c r="E869" s="109"/>
    </row>
    <row r="870">
      <c r="E870" s="109"/>
    </row>
    <row r="871">
      <c r="E871" s="109"/>
    </row>
    <row r="872">
      <c r="E872" s="109"/>
    </row>
    <row r="873">
      <c r="E873" s="109"/>
    </row>
    <row r="874">
      <c r="E874" s="109"/>
    </row>
    <row r="875">
      <c r="E875" s="109"/>
    </row>
    <row r="876">
      <c r="E876" s="109"/>
    </row>
    <row r="877">
      <c r="E877" s="109"/>
    </row>
    <row r="878">
      <c r="E878" s="109"/>
    </row>
    <row r="879">
      <c r="E879" s="109"/>
    </row>
    <row r="880">
      <c r="E880" s="109"/>
    </row>
    <row r="881">
      <c r="E881" s="109"/>
    </row>
    <row r="882">
      <c r="E882" s="109"/>
    </row>
    <row r="883">
      <c r="E883" s="109"/>
    </row>
    <row r="884">
      <c r="E884" s="109"/>
    </row>
    <row r="885">
      <c r="E885" s="109"/>
    </row>
    <row r="886">
      <c r="E886" s="109"/>
    </row>
    <row r="887">
      <c r="E887" s="109"/>
    </row>
    <row r="888">
      <c r="E888" s="109"/>
    </row>
    <row r="889">
      <c r="E889" s="109"/>
    </row>
    <row r="890">
      <c r="E890" s="109"/>
    </row>
    <row r="891">
      <c r="E891" s="109"/>
    </row>
    <row r="892">
      <c r="E892" s="109"/>
    </row>
    <row r="893">
      <c r="E893" s="109"/>
    </row>
    <row r="894">
      <c r="E894" s="109"/>
    </row>
    <row r="895">
      <c r="E895" s="109"/>
    </row>
    <row r="896">
      <c r="E896" s="109"/>
    </row>
    <row r="897">
      <c r="E897" s="109"/>
    </row>
    <row r="898">
      <c r="E898" s="109"/>
    </row>
    <row r="899">
      <c r="E899" s="109"/>
    </row>
    <row r="900">
      <c r="E900" s="109"/>
    </row>
    <row r="901">
      <c r="E901" s="109"/>
    </row>
    <row r="902">
      <c r="E902" s="109"/>
    </row>
    <row r="903">
      <c r="E903" s="109"/>
    </row>
    <row r="904">
      <c r="E904" s="109"/>
    </row>
    <row r="905">
      <c r="E905" s="109"/>
    </row>
    <row r="906">
      <c r="E906" s="109"/>
    </row>
    <row r="907">
      <c r="E907" s="109"/>
    </row>
    <row r="908">
      <c r="E908" s="109"/>
    </row>
    <row r="909">
      <c r="E909" s="109"/>
    </row>
    <row r="910">
      <c r="E910" s="109"/>
    </row>
    <row r="911">
      <c r="E911" s="109"/>
    </row>
    <row r="912">
      <c r="E912" s="109"/>
    </row>
    <row r="913">
      <c r="E913" s="109"/>
    </row>
    <row r="914">
      <c r="E914" s="109"/>
    </row>
    <row r="915">
      <c r="E915" s="109"/>
    </row>
    <row r="916">
      <c r="E916" s="109"/>
    </row>
    <row r="917">
      <c r="E917" s="109"/>
    </row>
    <row r="918">
      <c r="E918" s="109"/>
    </row>
    <row r="919">
      <c r="E919" s="109"/>
    </row>
    <row r="920">
      <c r="E920" s="109"/>
    </row>
    <row r="921">
      <c r="E921" s="109"/>
    </row>
    <row r="922">
      <c r="E922" s="109"/>
    </row>
    <row r="923">
      <c r="E923" s="109"/>
    </row>
    <row r="924">
      <c r="E924" s="109"/>
    </row>
    <row r="925">
      <c r="E925" s="109"/>
    </row>
    <row r="926">
      <c r="E926" s="109"/>
    </row>
    <row r="927">
      <c r="E927" s="109"/>
    </row>
    <row r="928">
      <c r="E928" s="109"/>
    </row>
    <row r="929">
      <c r="E929" s="109"/>
    </row>
    <row r="930">
      <c r="E930" s="109"/>
    </row>
    <row r="931">
      <c r="E931" s="109"/>
    </row>
    <row r="932">
      <c r="E932" s="109"/>
    </row>
    <row r="933">
      <c r="E933" s="109"/>
    </row>
    <row r="934">
      <c r="E934" s="109"/>
    </row>
    <row r="935">
      <c r="E935" s="109"/>
    </row>
    <row r="936">
      <c r="E936" s="109"/>
    </row>
    <row r="937">
      <c r="E937" s="109"/>
    </row>
    <row r="938">
      <c r="E938" s="109"/>
    </row>
    <row r="939">
      <c r="E939" s="109"/>
    </row>
    <row r="940">
      <c r="E940" s="109"/>
    </row>
    <row r="941">
      <c r="E941" s="109"/>
    </row>
    <row r="942">
      <c r="E942" s="109"/>
    </row>
    <row r="943">
      <c r="E943" s="109"/>
    </row>
    <row r="944">
      <c r="E944" s="109"/>
    </row>
    <row r="945">
      <c r="E945" s="109"/>
    </row>
    <row r="946">
      <c r="E946" s="109"/>
    </row>
    <row r="947">
      <c r="E947" s="109"/>
    </row>
    <row r="948">
      <c r="E948" s="109"/>
    </row>
    <row r="949">
      <c r="E949" s="109"/>
    </row>
    <row r="950">
      <c r="E950" s="109"/>
    </row>
    <row r="951">
      <c r="E951" s="109"/>
    </row>
    <row r="952">
      <c r="E952" s="109"/>
    </row>
    <row r="953">
      <c r="E953" s="109"/>
    </row>
    <row r="954">
      <c r="E954" s="109"/>
    </row>
    <row r="955">
      <c r="E955" s="109"/>
    </row>
    <row r="956">
      <c r="E956" s="109"/>
    </row>
    <row r="957">
      <c r="E957" s="109"/>
    </row>
    <row r="958">
      <c r="E958" s="109"/>
    </row>
    <row r="959">
      <c r="E959" s="109"/>
    </row>
    <row r="960">
      <c r="E960" s="109"/>
    </row>
    <row r="961">
      <c r="E961" s="109"/>
    </row>
    <row r="962">
      <c r="E962" s="109"/>
    </row>
    <row r="963">
      <c r="E963" s="109"/>
    </row>
    <row r="964">
      <c r="E964" s="109"/>
    </row>
    <row r="965">
      <c r="E965" s="109"/>
    </row>
    <row r="966">
      <c r="E966" s="109"/>
    </row>
    <row r="967">
      <c r="E967" s="109"/>
    </row>
    <row r="968">
      <c r="E968" s="109"/>
    </row>
    <row r="969">
      <c r="E969" s="109"/>
    </row>
    <row r="970">
      <c r="E970" s="109"/>
    </row>
    <row r="971">
      <c r="E971" s="109"/>
    </row>
    <row r="972">
      <c r="E972" s="109"/>
    </row>
    <row r="973">
      <c r="E973" s="109"/>
    </row>
    <row r="974">
      <c r="E974" s="109"/>
    </row>
    <row r="975">
      <c r="E975" s="109"/>
    </row>
    <row r="976">
      <c r="E976" s="109"/>
    </row>
    <row r="977">
      <c r="E977" s="109"/>
    </row>
    <row r="978">
      <c r="E978" s="109"/>
    </row>
    <row r="979">
      <c r="E979" s="109"/>
    </row>
    <row r="980">
      <c r="E980" s="109"/>
    </row>
    <row r="981">
      <c r="E981" s="109"/>
    </row>
    <row r="982">
      <c r="E982" s="109"/>
    </row>
    <row r="983">
      <c r="E983" s="109"/>
    </row>
    <row r="984">
      <c r="E984" s="109"/>
    </row>
    <row r="985">
      <c r="E985" s="109"/>
    </row>
    <row r="986">
      <c r="E986" s="109"/>
    </row>
    <row r="987">
      <c r="E987" s="109"/>
    </row>
    <row r="988">
      <c r="E988" s="109"/>
    </row>
    <row r="989">
      <c r="E989" s="109"/>
    </row>
    <row r="990">
      <c r="E990" s="109"/>
    </row>
    <row r="991">
      <c r="E991" s="109"/>
    </row>
    <row r="992">
      <c r="E992" s="109"/>
    </row>
    <row r="993">
      <c r="E993" s="109"/>
    </row>
    <row r="994">
      <c r="E994" s="109"/>
    </row>
    <row r="995">
      <c r="E995" s="109"/>
    </row>
    <row r="996">
      <c r="E996" s="109"/>
    </row>
    <row r="997">
      <c r="E997" s="109"/>
    </row>
    <row r="998">
      <c r="E998" s="109"/>
    </row>
    <row r="999">
      <c r="E999" s="109"/>
    </row>
    <row r="1000">
      <c r="E1000" s="109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96C6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7.0"/>
    <col customWidth="1" min="3" max="3" width="12.63"/>
    <col customWidth="1" min="4" max="4" width="8.13"/>
    <col customWidth="1" min="5" max="5" width="18.88"/>
    <col customWidth="1" min="6" max="6" width="17.38"/>
    <col customWidth="1" min="7" max="7" width="10.38"/>
    <col customWidth="1" min="8" max="19" width="9.13"/>
    <col customWidth="1" min="20" max="25" width="11.38"/>
  </cols>
  <sheetData>
    <row r="1" ht="11.25" customHeight="1">
      <c r="A1" s="68"/>
      <c r="B1" s="68"/>
      <c r="C1" s="68"/>
      <c r="D1" s="68"/>
      <c r="E1" s="113"/>
      <c r="F1" s="113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>
      <c r="A2" s="68"/>
      <c r="B2" s="69" t="s">
        <v>56</v>
      </c>
      <c r="C2" s="73"/>
      <c r="D2" s="73"/>
      <c r="E2" s="114"/>
      <c r="F2" s="115"/>
      <c r="G2" s="73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>
      <c r="A3" s="68"/>
      <c r="B3" s="70" t="s">
        <v>183</v>
      </c>
      <c r="C3" s="73"/>
      <c r="D3" s="73"/>
      <c r="E3" s="114"/>
      <c r="F3" s="115"/>
      <c r="G3" s="73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>
      <c r="A4" s="68"/>
      <c r="B4" s="71" t="s">
        <v>184</v>
      </c>
      <c r="C4" s="73"/>
      <c r="D4" s="73"/>
      <c r="E4" s="114"/>
      <c r="F4" s="114"/>
      <c r="G4" s="73"/>
      <c r="H4" s="68"/>
      <c r="I4" s="68"/>
      <c r="J4" s="116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>
      <c r="A5" s="68"/>
      <c r="B5" s="117" t="s">
        <v>185</v>
      </c>
      <c r="E5" s="118"/>
      <c r="F5" s="118"/>
      <c r="G5" s="117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>
      <c r="A6" s="68"/>
      <c r="E6" s="118"/>
      <c r="F6" s="118"/>
      <c r="G6" s="117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</row>
    <row r="7">
      <c r="A7" s="68"/>
      <c r="B7" s="73"/>
      <c r="C7" s="73"/>
      <c r="D7" s="73"/>
      <c r="E7" s="114"/>
      <c r="F7" s="114"/>
      <c r="G7" s="73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</row>
    <row r="8">
      <c r="A8" s="68"/>
      <c r="B8" s="69" t="s">
        <v>60</v>
      </c>
      <c r="C8" s="73"/>
      <c r="D8" s="73"/>
      <c r="E8" s="114"/>
      <c r="F8" s="114"/>
      <c r="G8" s="73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</row>
    <row r="9">
      <c r="A9" s="68"/>
      <c r="B9" s="70" t="s">
        <v>186</v>
      </c>
      <c r="C9" s="73"/>
      <c r="D9" s="73"/>
      <c r="E9" s="114"/>
      <c r="F9" s="114"/>
      <c r="G9" s="73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</row>
    <row r="10">
      <c r="A10" s="68"/>
      <c r="B10" s="68"/>
      <c r="C10" s="68"/>
      <c r="D10" s="68"/>
      <c r="E10" s="113"/>
      <c r="F10" s="113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119"/>
      <c r="U10" s="120"/>
      <c r="V10" s="68"/>
      <c r="W10" s="68"/>
      <c r="X10" s="68"/>
      <c r="Y10" s="68"/>
    </row>
    <row r="11">
      <c r="A11" s="68"/>
      <c r="B11" s="116" t="s">
        <v>187</v>
      </c>
      <c r="C11" s="68"/>
      <c r="D11" s="68"/>
      <c r="E11" s="113"/>
      <c r="F11" s="113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119">
        <f>(U11/12)*24</f>
        <v>185.5333333</v>
      </c>
      <c r="U11" s="120">
        <f>(SUM(H45:S45)*8.8)/24</f>
        <v>92.76666667</v>
      </c>
      <c r="V11" s="68"/>
      <c r="W11" s="68"/>
      <c r="X11" s="68"/>
      <c r="Y11" s="68"/>
    </row>
    <row r="12">
      <c r="A12" s="68"/>
      <c r="B12" s="74" t="s">
        <v>188</v>
      </c>
      <c r="C12" s="74" t="s">
        <v>76</v>
      </c>
      <c r="D12" s="74" t="s">
        <v>189</v>
      </c>
      <c r="E12" s="121" t="s">
        <v>190</v>
      </c>
      <c r="F12" s="121" t="s">
        <v>191</v>
      </c>
      <c r="G12" s="74" t="s">
        <v>192</v>
      </c>
      <c r="H12" s="122" t="s">
        <v>193</v>
      </c>
      <c r="I12" s="122" t="s">
        <v>194</v>
      </c>
      <c r="J12" s="122" t="s">
        <v>195</v>
      </c>
      <c r="K12" s="122" t="s">
        <v>196</v>
      </c>
      <c r="L12" s="122" t="s">
        <v>197</v>
      </c>
      <c r="M12" s="122" t="s">
        <v>198</v>
      </c>
      <c r="N12" s="122" t="s">
        <v>199</v>
      </c>
      <c r="O12" s="122" t="s">
        <v>200</v>
      </c>
      <c r="P12" s="122" t="s">
        <v>201</v>
      </c>
      <c r="Q12" s="122" t="s">
        <v>202</v>
      </c>
      <c r="R12" s="122" t="s">
        <v>203</v>
      </c>
      <c r="S12" s="122" t="s">
        <v>204</v>
      </c>
      <c r="T12" s="122" t="s">
        <v>205</v>
      </c>
      <c r="U12" s="122" t="s">
        <v>206</v>
      </c>
      <c r="V12" s="122" t="s">
        <v>79</v>
      </c>
      <c r="W12" s="122" t="s">
        <v>207</v>
      </c>
      <c r="X12" s="123"/>
      <c r="Y12" s="123"/>
    </row>
    <row r="13" ht="11.25" customHeight="1">
      <c r="A13" s="124"/>
      <c r="B13" s="102" t="s">
        <v>148</v>
      </c>
      <c r="C13" s="125" t="s">
        <v>149</v>
      </c>
      <c r="D13" s="126"/>
      <c r="E13" s="127" t="s">
        <v>208</v>
      </c>
      <c r="F13" s="128" t="s">
        <v>43</v>
      </c>
      <c r="G13" s="96"/>
      <c r="H13" s="129">
        <v>26213.95</v>
      </c>
      <c r="I13" s="129">
        <v>26213.95</v>
      </c>
      <c r="J13" s="129">
        <v>26213.95</v>
      </c>
      <c r="K13" s="129">
        <v>26213.95</v>
      </c>
      <c r="L13" s="129">
        <v>26213.95</v>
      </c>
      <c r="M13" s="129">
        <v>26213.95</v>
      </c>
      <c r="N13" s="129">
        <v>26213.95</v>
      </c>
      <c r="O13" s="129">
        <v>26213.95</v>
      </c>
      <c r="P13" s="129">
        <v>26213.95</v>
      </c>
      <c r="Q13" s="129">
        <v>26213.95</v>
      </c>
      <c r="R13" s="129">
        <v>27629.51</v>
      </c>
      <c r="S13" s="129">
        <v>27629.51</v>
      </c>
      <c r="T13" s="120">
        <f>IFERROR(__xludf.DUMMYFUNCTION("IFERROR(IF(W13=TRUE, SUM(FILTER('Resumo - TIMESHEETS'!$H:$H,'Resumo - TIMESHEETS'!M:M = TRUE,'Resumo - TIMESHEETS'!N:N = TRUE,'Resumo - TIMESHEETS'!E:E = B13))/24,0),0)"),0.0)</f>
        <v>0</v>
      </c>
      <c r="U13" s="130">
        <f t="shared" ref="U13:U33" si="1">T13/$U$11</f>
        <v>0</v>
      </c>
      <c r="V13" s="98" t="str">
        <f t="shared" ref="V13:V33" si="2">IF(U13&lt;80%,"Parcial","Exclusivo")</f>
        <v>Parcial</v>
      </c>
      <c r="W13" s="131" t="b">
        <v>1</v>
      </c>
      <c r="X13" s="132"/>
      <c r="Y13" s="131"/>
    </row>
    <row r="14" ht="11.25" customHeight="1">
      <c r="A14" s="124"/>
      <c r="B14" s="102" t="s">
        <v>101</v>
      </c>
      <c r="C14" s="125" t="s">
        <v>209</v>
      </c>
      <c r="D14" s="126"/>
      <c r="E14" s="127" t="s">
        <v>210</v>
      </c>
      <c r="F14" s="128" t="s">
        <v>42</v>
      </c>
      <c r="G14" s="96"/>
      <c r="H14" s="129">
        <v>7278.93</v>
      </c>
      <c r="I14" s="129">
        <v>7278.93</v>
      </c>
      <c r="J14" s="129">
        <v>7278.93</v>
      </c>
      <c r="K14" s="129">
        <v>7278.93</v>
      </c>
      <c r="L14" s="129">
        <v>7278.93</v>
      </c>
      <c r="M14" s="129">
        <v>7278.93</v>
      </c>
      <c r="N14" s="129">
        <v>7278.93</v>
      </c>
      <c r="O14" s="129">
        <v>7278.93</v>
      </c>
      <c r="P14" s="129">
        <v>7278.93</v>
      </c>
      <c r="Q14" s="129">
        <v>7278.93</v>
      </c>
      <c r="R14" s="129">
        <v>7672.0</v>
      </c>
      <c r="S14" s="129">
        <v>7672.0</v>
      </c>
      <c r="T14" s="120">
        <f>IFERROR(__xludf.DUMMYFUNCTION("IFERROR(IF(W14=TRUE, SUM(FILTER('Resumo - TIMESHEETS'!$H:$H,'Resumo - TIMESHEETS'!M:M = TRUE,'Resumo - TIMESHEETS'!N:N = TRUE,'Resumo - TIMESHEETS'!E:E = B14))/24,0),0)"),14.091666666666667)</f>
        <v>14.09166667</v>
      </c>
      <c r="U14" s="130">
        <f t="shared" si="1"/>
        <v>0.1519044197</v>
      </c>
      <c r="V14" s="98" t="str">
        <f t="shared" si="2"/>
        <v>Parcial</v>
      </c>
      <c r="W14" s="131" t="b">
        <v>1</v>
      </c>
      <c r="X14" s="132"/>
      <c r="Y14" s="131"/>
    </row>
    <row r="15" ht="11.25" customHeight="1">
      <c r="A15" s="124"/>
      <c r="B15" s="102" t="s">
        <v>124</v>
      </c>
      <c r="C15" s="126" t="s">
        <v>125</v>
      </c>
      <c r="D15" s="126"/>
      <c r="E15" s="127" t="s">
        <v>210</v>
      </c>
      <c r="F15" s="128" t="s">
        <v>41</v>
      </c>
      <c r="G15" s="96"/>
      <c r="H15" s="129">
        <v>12478.26</v>
      </c>
      <c r="I15" s="129">
        <v>12478.26</v>
      </c>
      <c r="J15" s="129">
        <v>12478.26</v>
      </c>
      <c r="K15" s="129">
        <v>12478.26</v>
      </c>
      <c r="L15" s="129">
        <v>12478.26</v>
      </c>
      <c r="M15" s="129">
        <v>12478.26</v>
      </c>
      <c r="N15" s="129">
        <v>13278.14</v>
      </c>
      <c r="O15" s="129">
        <v>13278.14</v>
      </c>
      <c r="P15" s="129">
        <v>13278.14</v>
      </c>
      <c r="Q15" s="129">
        <v>13278.14</v>
      </c>
      <c r="R15" s="129">
        <v>13995.16</v>
      </c>
      <c r="S15" s="129">
        <v>13995.16</v>
      </c>
      <c r="T15" s="120">
        <f>IFERROR(__xludf.DUMMYFUNCTION("IFERROR(IF(W15=TRUE, SUM(FILTER('Resumo - TIMESHEETS'!$H:$H,'Resumo - TIMESHEETS'!M:M = TRUE,'Resumo - TIMESHEETS'!N:N = TRUE,'Resumo - TIMESHEETS'!E:E = B15))/24,0),0)"),94.375)</f>
        <v>94.375</v>
      </c>
      <c r="U15" s="130">
        <f t="shared" si="1"/>
        <v>1.017337406</v>
      </c>
      <c r="V15" s="98" t="str">
        <f t="shared" si="2"/>
        <v>Exclusivo</v>
      </c>
      <c r="W15" s="131" t="b">
        <v>1</v>
      </c>
      <c r="X15" s="132"/>
      <c r="Y15" s="131"/>
    </row>
    <row r="16" ht="11.25" customHeight="1">
      <c r="A16" s="124"/>
      <c r="B16" s="102" t="s">
        <v>132</v>
      </c>
      <c r="C16" s="126" t="s">
        <v>133</v>
      </c>
      <c r="D16" s="126"/>
      <c r="E16" s="127" t="s">
        <v>210</v>
      </c>
      <c r="F16" s="128" t="s">
        <v>41</v>
      </c>
      <c r="G16" s="96"/>
      <c r="H16" s="129">
        <v>15035.02</v>
      </c>
      <c r="I16" s="129">
        <v>15035.02</v>
      </c>
      <c r="J16" s="129">
        <v>15035.02</v>
      </c>
      <c r="K16" s="129">
        <v>15035.02</v>
      </c>
      <c r="L16" s="129">
        <v>15035.02</v>
      </c>
      <c r="M16" s="129">
        <v>15035.02</v>
      </c>
      <c r="N16" s="129">
        <v>15035.02</v>
      </c>
      <c r="O16" s="129">
        <v>15035.02</v>
      </c>
      <c r="P16" s="129">
        <v>15035.02</v>
      </c>
      <c r="Q16" s="129">
        <v>15035.02</v>
      </c>
      <c r="R16" s="129">
        <v>15846.92</v>
      </c>
      <c r="S16" s="129">
        <v>15846.92</v>
      </c>
      <c r="T16" s="120">
        <f>IFERROR(__xludf.DUMMYFUNCTION("IFERROR(IF(W16=TRUE, SUM(FILTER('Resumo - TIMESHEETS'!$H:$H,'Resumo - TIMESHEETS'!M:M = TRUE,'Resumo - TIMESHEETS'!N:N = TRUE,'Resumo - TIMESHEETS'!E:E = B16))/24,0),0)"),83.75)</f>
        <v>83.75</v>
      </c>
      <c r="U16" s="130">
        <f t="shared" si="1"/>
        <v>0.9028027309</v>
      </c>
      <c r="V16" s="98" t="str">
        <f t="shared" si="2"/>
        <v>Exclusivo</v>
      </c>
      <c r="W16" s="131" t="b">
        <v>1</v>
      </c>
      <c r="X16" s="132"/>
      <c r="Y16" s="131"/>
    </row>
    <row r="17" ht="11.25" customHeight="1">
      <c r="A17" s="124"/>
      <c r="B17" s="102" t="s">
        <v>135</v>
      </c>
      <c r="C17" s="126" t="s">
        <v>136</v>
      </c>
      <c r="D17" s="126"/>
      <c r="E17" s="127" t="s">
        <v>210</v>
      </c>
      <c r="F17" s="128" t="s">
        <v>41</v>
      </c>
      <c r="G17" s="96"/>
      <c r="H17" s="129">
        <v>13278.15</v>
      </c>
      <c r="I17" s="129">
        <v>14129.3</v>
      </c>
      <c r="J17" s="129">
        <v>14129.3</v>
      </c>
      <c r="K17" s="129">
        <v>14129.3</v>
      </c>
      <c r="L17" s="129">
        <v>14129.3</v>
      </c>
      <c r="M17" s="129">
        <v>14129.3</v>
      </c>
      <c r="N17" s="129">
        <v>14129.3</v>
      </c>
      <c r="O17" s="129">
        <v>14129.3</v>
      </c>
      <c r="P17" s="129">
        <v>14129.3</v>
      </c>
      <c r="Q17" s="129">
        <v>14129.3</v>
      </c>
      <c r="R17" s="129">
        <v>14892.29</v>
      </c>
      <c r="S17" s="129">
        <v>14892.29</v>
      </c>
      <c r="T17" s="120">
        <f>IFERROR(__xludf.DUMMYFUNCTION("IFERROR(IF(W17=TRUE, SUM(FILTER('Resumo - TIMESHEETS'!$H:$H,'Resumo - TIMESHEETS'!M:M = TRUE,'Resumo - TIMESHEETS'!N:N = TRUE,'Resumo - TIMESHEETS'!E:E = B17))/24,0),0)"),79.66666666666667)</f>
        <v>79.66666667</v>
      </c>
      <c r="U17" s="130">
        <f t="shared" si="1"/>
        <v>0.8587854833</v>
      </c>
      <c r="V17" s="98" t="str">
        <f t="shared" si="2"/>
        <v>Exclusivo</v>
      </c>
      <c r="W17" s="131" t="b">
        <v>1</v>
      </c>
      <c r="X17" s="132"/>
      <c r="Y17" s="131"/>
    </row>
    <row r="18" ht="11.25" customHeight="1">
      <c r="A18" s="124"/>
      <c r="B18" s="102" t="s">
        <v>143</v>
      </c>
      <c r="C18" s="126" t="s">
        <v>144</v>
      </c>
      <c r="D18" s="126"/>
      <c r="E18" s="127" t="s">
        <v>210</v>
      </c>
      <c r="F18" s="128" t="s">
        <v>41</v>
      </c>
      <c r="G18" s="96"/>
      <c r="H18" s="129">
        <v>7800.0</v>
      </c>
      <c r="I18" s="129">
        <v>7800.0</v>
      </c>
      <c r="J18" s="129">
        <v>7800.0</v>
      </c>
      <c r="K18" s="129">
        <v>7800.0</v>
      </c>
      <c r="L18" s="129">
        <v>7800.0</v>
      </c>
      <c r="M18" s="129">
        <v>7800.0</v>
      </c>
      <c r="N18" s="129">
        <v>7800.0</v>
      </c>
      <c r="O18" s="129">
        <v>7800.0</v>
      </c>
      <c r="P18" s="129">
        <v>7800.0</v>
      </c>
      <c r="Q18" s="129">
        <v>7800.0</v>
      </c>
      <c r="R18" s="129">
        <v>8221.2</v>
      </c>
      <c r="S18" s="129">
        <v>8221.2</v>
      </c>
      <c r="T18" s="120">
        <f>IFERROR(__xludf.DUMMYFUNCTION("IFERROR(IF(W18=TRUE, SUM(FILTER('Resumo - TIMESHEETS'!$H:$H,'Resumo - TIMESHEETS'!M:M = TRUE,'Resumo - TIMESHEETS'!N:N = TRUE,'Resumo - TIMESHEETS'!E:E = B18))/24,0),0)"),74.0)</f>
        <v>74</v>
      </c>
      <c r="U18" s="130">
        <f t="shared" si="1"/>
        <v>0.7977003234</v>
      </c>
      <c r="V18" s="98" t="str">
        <f t="shared" si="2"/>
        <v>Parcial</v>
      </c>
      <c r="W18" s="131" t="b">
        <v>1</v>
      </c>
      <c r="X18" s="132"/>
      <c r="Y18" s="131"/>
    </row>
    <row r="19" ht="11.25" customHeight="1">
      <c r="A19" s="124"/>
      <c r="B19" s="102" t="s">
        <v>211</v>
      </c>
      <c r="C19" s="125" t="s">
        <v>212</v>
      </c>
      <c r="D19" s="126"/>
      <c r="E19" s="127" t="s">
        <v>213</v>
      </c>
      <c r="F19" s="128" t="s">
        <v>42</v>
      </c>
      <c r="G19" s="96"/>
      <c r="H19" s="129">
        <v>18939.88</v>
      </c>
      <c r="I19" s="129">
        <v>18939.88</v>
      </c>
      <c r="J19" s="129">
        <v>18939.88</v>
      </c>
      <c r="K19" s="129">
        <v>18939.88</v>
      </c>
      <c r="L19" s="129">
        <v>18939.88</v>
      </c>
      <c r="M19" s="129">
        <v>18939.88</v>
      </c>
      <c r="N19" s="129">
        <v>18939.88</v>
      </c>
      <c r="O19" s="129">
        <v>18939.88</v>
      </c>
      <c r="P19" s="129">
        <v>18939.88</v>
      </c>
      <c r="Q19" s="129">
        <v>18939.88</v>
      </c>
      <c r="R19" s="129">
        <v>19962.64</v>
      </c>
      <c r="S19" s="129">
        <v>19962.64</v>
      </c>
      <c r="T19" s="120">
        <f>IFERROR(__xludf.DUMMYFUNCTION("IFERROR(IF(W19=TRUE, SUM(FILTER('Resumo - TIMESHEETS'!$H:$H,'Resumo - TIMESHEETS'!M:M = TRUE,'Resumo - TIMESHEETS'!N:N = TRUE,'Resumo - TIMESHEETS'!E:E = B19))/24,0),0)"),0.0)</f>
        <v>0</v>
      </c>
      <c r="U19" s="130">
        <f t="shared" si="1"/>
        <v>0</v>
      </c>
      <c r="V19" s="98" t="str">
        <f t="shared" si="2"/>
        <v>Parcial</v>
      </c>
      <c r="W19" s="131" t="b">
        <v>1</v>
      </c>
      <c r="X19" s="132"/>
      <c r="Y19" s="131"/>
    </row>
    <row r="20" ht="11.25" customHeight="1">
      <c r="A20" s="124"/>
      <c r="B20" s="102" t="s">
        <v>94</v>
      </c>
      <c r="C20" s="125" t="s">
        <v>214</v>
      </c>
      <c r="D20" s="126"/>
      <c r="E20" s="127" t="s">
        <v>210</v>
      </c>
      <c r="F20" s="128" t="s">
        <v>39</v>
      </c>
      <c r="G20" s="96"/>
      <c r="H20" s="129">
        <v>6213.38</v>
      </c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0">
        <f>IFERROR(__xludf.DUMMYFUNCTION("IFERROR(IF(W20=TRUE, SUM(FILTER('Resumo - TIMESHEETS'!$H:$H,'Resumo - TIMESHEETS'!M:M = TRUE,'Resumo - TIMESHEETS'!N:N = TRUE,'Resumo - TIMESHEETS'!E:E = B20))/24,0),0)"),7.78125)</f>
        <v>7.78125</v>
      </c>
      <c r="U20" s="130">
        <f t="shared" si="1"/>
        <v>0.08387980596</v>
      </c>
      <c r="V20" s="98" t="str">
        <f t="shared" si="2"/>
        <v>Parcial</v>
      </c>
      <c r="W20" s="131" t="b">
        <v>1</v>
      </c>
      <c r="X20" s="132"/>
      <c r="Y20" s="131"/>
    </row>
    <row r="21" ht="11.25" customHeight="1">
      <c r="A21" s="124"/>
      <c r="B21" s="102" t="s">
        <v>87</v>
      </c>
      <c r="C21" s="125" t="s">
        <v>215</v>
      </c>
      <c r="D21" s="126"/>
      <c r="E21" s="127" t="s">
        <v>210</v>
      </c>
      <c r="F21" s="128" t="s">
        <v>41</v>
      </c>
      <c r="G21" s="96"/>
      <c r="H21" s="129">
        <v>3115.63</v>
      </c>
      <c r="I21" s="129">
        <v>3115.63</v>
      </c>
      <c r="J21" s="129">
        <v>3115.63</v>
      </c>
      <c r="K21" s="129">
        <v>3115.63</v>
      </c>
      <c r="L21" s="129">
        <v>3115.63</v>
      </c>
      <c r="M21" s="129">
        <v>3115.63</v>
      </c>
      <c r="N21" s="129">
        <v>3338.07</v>
      </c>
      <c r="O21" s="129">
        <v>3338.07</v>
      </c>
      <c r="P21" s="129">
        <v>3338.07</v>
      </c>
      <c r="Q21" s="129">
        <v>3338.07</v>
      </c>
      <c r="R21" s="129">
        <v>3518.33</v>
      </c>
      <c r="S21" s="129">
        <v>3518.33</v>
      </c>
      <c r="T21" s="120">
        <f>IFERROR(__xludf.DUMMYFUNCTION("IFERROR(IF(W21=TRUE, SUM(FILTER('Resumo - TIMESHEETS'!$H:$H,'Resumo - TIMESHEETS'!M:M = TRUE,'Resumo - TIMESHEETS'!N:N = TRUE,'Resumo - TIMESHEETS'!E:E = B21))/24,0),0)"),29.767083333333332)</f>
        <v>29.76708333</v>
      </c>
      <c r="U21" s="130">
        <f t="shared" si="1"/>
        <v>0.3208812433</v>
      </c>
      <c r="V21" s="98" t="str">
        <f t="shared" si="2"/>
        <v>Parcial</v>
      </c>
      <c r="W21" s="131" t="b">
        <v>1</v>
      </c>
      <c r="X21" s="132"/>
      <c r="Y21" s="131"/>
    </row>
    <row r="22" ht="11.25" customHeight="1">
      <c r="A22" s="124"/>
      <c r="B22" s="102" t="s">
        <v>89</v>
      </c>
      <c r="C22" s="125" t="s">
        <v>121</v>
      </c>
      <c r="D22" s="126"/>
      <c r="E22" s="127" t="s">
        <v>216</v>
      </c>
      <c r="F22" s="128" t="s">
        <v>41</v>
      </c>
      <c r="G22" s="96"/>
      <c r="H22" s="129">
        <v>10514.0</v>
      </c>
      <c r="I22" s="129">
        <v>10514.0</v>
      </c>
      <c r="J22" s="129">
        <v>10514.0</v>
      </c>
      <c r="K22" s="129">
        <v>10514.0</v>
      </c>
      <c r="L22" s="129">
        <v>10514.0</v>
      </c>
      <c r="M22" s="129">
        <v>10514.0</v>
      </c>
      <c r="N22" s="129">
        <v>10514.0</v>
      </c>
      <c r="O22" s="129">
        <v>10514.0</v>
      </c>
      <c r="P22" s="129">
        <v>10514.0</v>
      </c>
      <c r="Q22" s="129">
        <v>10514.0</v>
      </c>
      <c r="R22" s="129">
        <v>11081.76</v>
      </c>
      <c r="S22" s="129">
        <v>11081.76</v>
      </c>
      <c r="T22" s="120">
        <f>IFERROR(__xludf.DUMMYFUNCTION("IFERROR(IF(W22=TRUE, SUM(FILTER('Resumo - TIMESHEETS'!$H:$H,'Resumo - TIMESHEETS'!M:M = TRUE,'Resumo - TIMESHEETS'!N:N = TRUE,'Resumo - TIMESHEETS'!E:E = B22))/24,0),0)"),58.298750000000005)</f>
        <v>58.29875</v>
      </c>
      <c r="U22" s="130">
        <f t="shared" si="1"/>
        <v>0.6284450234</v>
      </c>
      <c r="V22" s="98" t="str">
        <f t="shared" si="2"/>
        <v>Parcial</v>
      </c>
      <c r="W22" s="131" t="b">
        <v>1</v>
      </c>
      <c r="X22" s="132"/>
      <c r="Y22" s="131"/>
    </row>
    <row r="23" ht="11.25" customHeight="1">
      <c r="A23" s="124"/>
      <c r="B23" s="102" t="s">
        <v>138</v>
      </c>
      <c r="C23" s="126" t="s">
        <v>139</v>
      </c>
      <c r="D23" s="126"/>
      <c r="E23" s="127" t="s">
        <v>210</v>
      </c>
      <c r="F23" s="128" t="s">
        <v>41</v>
      </c>
      <c r="G23" s="96"/>
      <c r="H23" s="129">
        <v>15998.8</v>
      </c>
      <c r="I23" s="129">
        <v>15998.8</v>
      </c>
      <c r="J23" s="129">
        <v>15998.8</v>
      </c>
      <c r="K23" s="129">
        <v>15998.8</v>
      </c>
      <c r="L23" s="129">
        <v>15998.8</v>
      </c>
      <c r="M23" s="129">
        <v>15998.8</v>
      </c>
      <c r="N23" s="129">
        <v>15998.8</v>
      </c>
      <c r="O23" s="129">
        <v>15998.8</v>
      </c>
      <c r="P23" s="129">
        <v>15998.8</v>
      </c>
      <c r="Q23" s="129">
        <v>15998.8</v>
      </c>
      <c r="R23" s="129">
        <v>16862.74</v>
      </c>
      <c r="S23" s="129">
        <v>16862.74</v>
      </c>
      <c r="T23" s="120">
        <f>IFERROR(__xludf.DUMMYFUNCTION("IFERROR(IF(W23=TRUE, SUM(FILTER('Resumo - TIMESHEETS'!$H:$H,'Resumo - TIMESHEETS'!M:M = TRUE,'Resumo - TIMESHEETS'!N:N = TRUE,'Resumo - TIMESHEETS'!E:E = B23))/24,0),0)"),78.54166666666667)</f>
        <v>78.54166667</v>
      </c>
      <c r="U23" s="130">
        <f t="shared" si="1"/>
        <v>0.8466582824</v>
      </c>
      <c r="V23" s="98" t="str">
        <f t="shared" si="2"/>
        <v>Exclusivo</v>
      </c>
      <c r="W23" s="131" t="b">
        <v>1</v>
      </c>
      <c r="X23" s="132"/>
      <c r="Y23" s="131"/>
    </row>
    <row r="24" ht="11.25" customHeight="1">
      <c r="A24" s="124"/>
      <c r="B24" s="102" t="s">
        <v>92</v>
      </c>
      <c r="C24" s="125" t="s">
        <v>217</v>
      </c>
      <c r="D24" s="126"/>
      <c r="E24" s="127" t="s">
        <v>210</v>
      </c>
      <c r="F24" s="128" t="s">
        <v>41</v>
      </c>
      <c r="G24" s="96"/>
      <c r="H24" s="129">
        <v>5505.64</v>
      </c>
      <c r="I24" s="129">
        <v>5505.64</v>
      </c>
      <c r="J24" s="129">
        <v>5505.64</v>
      </c>
      <c r="K24" s="129">
        <v>5505.64</v>
      </c>
      <c r="L24" s="129">
        <v>5505.64</v>
      </c>
      <c r="M24" s="129">
        <v>5505.64</v>
      </c>
      <c r="N24" s="129">
        <v>6213.37</v>
      </c>
      <c r="O24" s="129">
        <v>6213.37</v>
      </c>
      <c r="P24" s="129">
        <v>6213.37</v>
      </c>
      <c r="Q24" s="129">
        <v>6213.37</v>
      </c>
      <c r="R24" s="129">
        <v>6548.9</v>
      </c>
      <c r="S24" s="129">
        <v>6548.9</v>
      </c>
      <c r="T24" s="120">
        <f>IFERROR(__xludf.DUMMYFUNCTION("IFERROR(IF(W24=TRUE, SUM(FILTER('Resumo - TIMESHEETS'!$H:$H,'Resumo - TIMESHEETS'!M:M = TRUE,'Resumo - TIMESHEETS'!N:N = TRUE,'Resumo - TIMESHEETS'!E:E = B24))/24,0),0)"),17.039583333333333)</f>
        <v>17.03958333</v>
      </c>
      <c r="U24" s="130">
        <f t="shared" si="1"/>
        <v>0.1836821775</v>
      </c>
      <c r="V24" s="98" t="str">
        <f t="shared" si="2"/>
        <v>Parcial</v>
      </c>
      <c r="W24" s="131" t="b">
        <v>1</v>
      </c>
      <c r="X24" s="132"/>
      <c r="Y24" s="131"/>
    </row>
    <row r="25" ht="11.25" customHeight="1">
      <c r="A25" s="124"/>
      <c r="B25" s="102" t="s">
        <v>95</v>
      </c>
      <c r="C25" s="125" t="s">
        <v>129</v>
      </c>
      <c r="D25" s="126"/>
      <c r="E25" s="127" t="s">
        <v>210</v>
      </c>
      <c r="F25" s="128" t="s">
        <v>41</v>
      </c>
      <c r="G25" s="96"/>
      <c r="H25" s="129">
        <v>1641.0</v>
      </c>
      <c r="I25" s="129">
        <v>1641.0</v>
      </c>
      <c r="J25" s="129">
        <v>1641.0</v>
      </c>
      <c r="K25" s="129">
        <v>1641.0</v>
      </c>
      <c r="L25" s="129">
        <v>1641.0</v>
      </c>
      <c r="M25" s="129">
        <v>1641.0</v>
      </c>
      <c r="N25" s="129">
        <v>1641.0</v>
      </c>
      <c r="O25" s="129">
        <v>1809.0</v>
      </c>
      <c r="P25" s="129">
        <v>1809.0</v>
      </c>
      <c r="Q25" s="129">
        <v>1809.0</v>
      </c>
      <c r="R25" s="129">
        <v>1907.0</v>
      </c>
      <c r="S25" s="129">
        <v>1907.0</v>
      </c>
      <c r="T25" s="120">
        <f>IFERROR(__xludf.DUMMYFUNCTION("IFERROR(IF(W25=TRUE, SUM(FILTER('Resumo - TIMESHEETS'!$H:$H,'Resumo - TIMESHEETS'!M:M = TRUE,'Resumo - TIMESHEETS'!N:N = TRUE,'Resumo - TIMESHEETS'!E:E = B25))/24,0),0)"),43.510416666666664)</f>
        <v>43.51041667</v>
      </c>
      <c r="U25" s="130">
        <f t="shared" si="1"/>
        <v>0.4690307222</v>
      </c>
      <c r="V25" s="98" t="str">
        <f t="shared" si="2"/>
        <v>Parcial</v>
      </c>
      <c r="W25" s="131" t="b">
        <v>1</v>
      </c>
      <c r="X25" s="132"/>
      <c r="Y25" s="131"/>
    </row>
    <row r="26" ht="11.25" customHeight="1">
      <c r="A26" s="124"/>
      <c r="B26" s="102" t="s">
        <v>97</v>
      </c>
      <c r="C26" s="125" t="s">
        <v>218</v>
      </c>
      <c r="D26" s="126"/>
      <c r="E26" s="127" t="s">
        <v>210</v>
      </c>
      <c r="F26" s="128" t="s">
        <v>41</v>
      </c>
      <c r="G26" s="96"/>
      <c r="H26" s="129">
        <v>8530.44</v>
      </c>
      <c r="I26" s="129">
        <v>8530.44</v>
      </c>
      <c r="J26" s="129">
        <v>8530.44</v>
      </c>
      <c r="K26" s="129">
        <v>8530.44</v>
      </c>
      <c r="L26" s="129">
        <v>8530.44</v>
      </c>
      <c r="M26" s="129">
        <v>8530.44</v>
      </c>
      <c r="N26" s="129">
        <v>9020.43</v>
      </c>
      <c r="O26" s="129">
        <v>9020.43</v>
      </c>
      <c r="P26" s="129">
        <v>9020.43</v>
      </c>
      <c r="Q26" s="129">
        <v>9020.43</v>
      </c>
      <c r="R26" s="129">
        <v>9507.54</v>
      </c>
      <c r="S26" s="129">
        <v>9507.54</v>
      </c>
      <c r="T26" s="120">
        <f>IFERROR(__xludf.DUMMYFUNCTION("IFERROR(IF(W26=TRUE, SUM(FILTER('Resumo - TIMESHEETS'!$H:$H,'Resumo - TIMESHEETS'!M:M = TRUE,'Resumo - TIMESHEETS'!N:N = TRUE,'Resumo - TIMESHEETS'!E:E = B26))/24,0),0)"),42.836666666666666)</f>
        <v>42.83666667</v>
      </c>
      <c r="U26" s="130">
        <f t="shared" si="1"/>
        <v>0.4617678764</v>
      </c>
      <c r="V26" s="98" t="str">
        <f t="shared" si="2"/>
        <v>Parcial</v>
      </c>
      <c r="W26" s="131" t="b">
        <v>1</v>
      </c>
      <c r="X26" s="132"/>
      <c r="Y26" s="131"/>
    </row>
    <row r="27" ht="11.25" customHeight="1">
      <c r="A27" s="124"/>
      <c r="B27" s="102" t="s">
        <v>98</v>
      </c>
      <c r="C27" s="125" t="s">
        <v>146</v>
      </c>
      <c r="D27" s="126"/>
      <c r="E27" s="127" t="s">
        <v>210</v>
      </c>
      <c r="F27" s="128" t="s">
        <v>39</v>
      </c>
      <c r="G27" s="96"/>
      <c r="H27" s="129">
        <v>1809.0</v>
      </c>
      <c r="I27" s="129">
        <v>1809.0</v>
      </c>
      <c r="J27" s="129">
        <v>1809.0</v>
      </c>
      <c r="K27" s="129">
        <v>1809.0</v>
      </c>
      <c r="L27" s="129">
        <v>1809.0</v>
      </c>
      <c r="M27" s="129">
        <v>1809.0</v>
      </c>
      <c r="N27" s="129">
        <v>1809.0</v>
      </c>
      <c r="O27" s="129">
        <v>1809.0</v>
      </c>
      <c r="P27" s="129">
        <v>1809.0</v>
      </c>
      <c r="Q27" s="129">
        <v>1809.0</v>
      </c>
      <c r="R27" s="129">
        <v>1907.0</v>
      </c>
      <c r="S27" s="129">
        <v>1907.0</v>
      </c>
      <c r="T27" s="120">
        <f>IFERROR(__xludf.DUMMYFUNCTION("IFERROR(IF(W27=TRUE, SUM(FILTER('Resumo - TIMESHEETS'!$H:$H,'Resumo - TIMESHEETS'!M:M = TRUE,'Resumo - TIMESHEETS'!N:N = TRUE,'Resumo - TIMESHEETS'!E:E = B27))/24,0),0)"),28.416666666666668)</f>
        <v>28.41666667</v>
      </c>
      <c r="U27" s="130">
        <f t="shared" si="1"/>
        <v>0.3063241107</v>
      </c>
      <c r="V27" s="98" t="str">
        <f t="shared" si="2"/>
        <v>Parcial</v>
      </c>
      <c r="W27" s="131" t="b">
        <v>1</v>
      </c>
      <c r="X27" s="132"/>
      <c r="Y27" s="131"/>
    </row>
    <row r="28" ht="11.25" customHeight="1">
      <c r="A28" s="124"/>
      <c r="B28" s="102" t="s">
        <v>103</v>
      </c>
      <c r="C28" s="125" t="s">
        <v>219</v>
      </c>
      <c r="D28" s="126"/>
      <c r="E28" s="127" t="s">
        <v>210</v>
      </c>
      <c r="F28" s="128" t="s">
        <v>41</v>
      </c>
      <c r="G28" s="96"/>
      <c r="H28" s="129">
        <v>7486.49</v>
      </c>
      <c r="I28" s="129">
        <v>7486.49</v>
      </c>
      <c r="J28" s="129">
        <v>7486.49</v>
      </c>
      <c r="K28" s="129">
        <v>7486.49</v>
      </c>
      <c r="L28" s="129">
        <v>7486.49</v>
      </c>
      <c r="M28" s="129">
        <v>7486.49</v>
      </c>
      <c r="N28" s="129">
        <v>7486.49</v>
      </c>
      <c r="O28" s="129">
        <v>7486.49</v>
      </c>
      <c r="P28" s="129">
        <v>7486.49</v>
      </c>
      <c r="Q28" s="129">
        <v>7486.79</v>
      </c>
      <c r="R28" s="129">
        <v>7890.76</v>
      </c>
      <c r="S28" s="129">
        <v>7890.76</v>
      </c>
      <c r="T28" s="120">
        <f>IFERROR(__xludf.DUMMYFUNCTION("IFERROR(IF(W28=TRUE, SUM(FILTER('Resumo - TIMESHEETS'!$H:$H,'Resumo - TIMESHEETS'!M:M = TRUE,'Resumo - TIMESHEETS'!N:N = TRUE,'Resumo - TIMESHEETS'!E:E = B28))/24,0),0)"),1.9333333333333333)</f>
        <v>1.933333333</v>
      </c>
      <c r="U28" s="130">
        <f t="shared" si="1"/>
        <v>0.02084081926</v>
      </c>
      <c r="V28" s="98" t="str">
        <f t="shared" si="2"/>
        <v>Parcial</v>
      </c>
      <c r="W28" s="131" t="b">
        <v>1</v>
      </c>
      <c r="X28" s="132"/>
      <c r="Y28" s="131"/>
    </row>
    <row r="29" ht="11.25" customHeight="1">
      <c r="A29" s="124"/>
      <c r="B29" s="102" t="s">
        <v>141</v>
      </c>
      <c r="C29" s="126" t="s">
        <v>142</v>
      </c>
      <c r="D29" s="126"/>
      <c r="E29" s="127" t="s">
        <v>220</v>
      </c>
      <c r="F29" s="128" t="s">
        <v>41</v>
      </c>
      <c r="G29" s="96"/>
      <c r="H29" s="129">
        <v>18249.5</v>
      </c>
      <c r="I29" s="129">
        <v>18249.5</v>
      </c>
      <c r="J29" s="129">
        <v>18249.5</v>
      </c>
      <c r="K29" s="129">
        <v>18249.5</v>
      </c>
      <c r="L29" s="129">
        <v>18249.5</v>
      </c>
      <c r="M29" s="129">
        <v>18249.5</v>
      </c>
      <c r="N29" s="129">
        <v>18249.5</v>
      </c>
      <c r="O29" s="129">
        <v>18249.5</v>
      </c>
      <c r="P29" s="129">
        <v>18249.5</v>
      </c>
      <c r="Q29" s="129">
        <v>18249.5</v>
      </c>
      <c r="R29" s="129">
        <v>19234.98</v>
      </c>
      <c r="S29" s="129">
        <v>19234.98</v>
      </c>
      <c r="T29" s="120">
        <f>IFERROR(__xludf.DUMMYFUNCTION("IFERROR(IF(W29=TRUE, SUM(FILTER('Resumo - TIMESHEETS'!$H:$H,'Resumo - TIMESHEETS'!M:M = TRUE,'Resumo - TIMESHEETS'!N:N = TRUE,'Resumo - TIMESHEETS'!E:E = B29))/24,0),0)"),0.875)</f>
        <v>0.875</v>
      </c>
      <c r="U29" s="130">
        <f t="shared" si="1"/>
        <v>0.009432267337</v>
      </c>
      <c r="V29" s="98" t="str">
        <f t="shared" si="2"/>
        <v>Parcial</v>
      </c>
      <c r="W29" s="131" t="b">
        <v>1</v>
      </c>
      <c r="X29" s="132"/>
      <c r="Y29" s="131"/>
    </row>
    <row r="30" ht="11.25" customHeight="1">
      <c r="A30" s="124"/>
      <c r="B30" s="102" t="s">
        <v>99</v>
      </c>
      <c r="C30" s="125" t="s">
        <v>221</v>
      </c>
      <c r="D30" s="126"/>
      <c r="E30" s="127" t="s">
        <v>210</v>
      </c>
      <c r="F30" s="128" t="s">
        <v>41</v>
      </c>
      <c r="G30" s="96"/>
      <c r="H30" s="129">
        <v>2911.8</v>
      </c>
      <c r="I30" s="129">
        <v>2911.8</v>
      </c>
      <c r="J30" s="129">
        <v>2911.8</v>
      </c>
      <c r="K30" s="129">
        <v>2911.8</v>
      </c>
      <c r="L30" s="129">
        <v>2911.8</v>
      </c>
      <c r="M30" s="129">
        <v>2911.8</v>
      </c>
      <c r="N30" s="129">
        <v>3338.07</v>
      </c>
      <c r="O30" s="129">
        <v>3338.07</v>
      </c>
      <c r="P30" s="129">
        <v>3338.07</v>
      </c>
      <c r="Q30" s="129">
        <v>3338.07</v>
      </c>
      <c r="R30" s="129">
        <v>3518.33</v>
      </c>
      <c r="S30" s="129">
        <v>3518.33</v>
      </c>
      <c r="T30" s="120">
        <f>IFERROR(__xludf.DUMMYFUNCTION("IFERROR(IF(W30=TRUE, SUM(FILTER('Resumo - TIMESHEETS'!$H:$H,'Resumo - TIMESHEETS'!M:M = TRUE,'Resumo - TIMESHEETS'!N:N = TRUE,'Resumo - TIMESHEETS'!E:E = B30))/24,0),0)"),25.57083333333333)</f>
        <v>25.57083333</v>
      </c>
      <c r="U30" s="130">
        <f t="shared" si="1"/>
        <v>0.275646784</v>
      </c>
      <c r="V30" s="98" t="str">
        <f t="shared" si="2"/>
        <v>Parcial</v>
      </c>
      <c r="W30" s="131" t="b">
        <v>1</v>
      </c>
      <c r="X30" s="132"/>
      <c r="Y30" s="131"/>
    </row>
    <row r="31" ht="11.25" customHeight="1">
      <c r="A31" s="124"/>
      <c r="B31" s="102" t="s">
        <v>153</v>
      </c>
      <c r="C31" s="125" t="s">
        <v>222</v>
      </c>
      <c r="D31" s="126"/>
      <c r="E31" s="133" t="s">
        <v>223</v>
      </c>
      <c r="F31" s="128" t="s">
        <v>41</v>
      </c>
      <c r="G31" s="96"/>
      <c r="H31" s="129">
        <v>7389.57</v>
      </c>
      <c r="I31" s="129">
        <v>7389.57</v>
      </c>
      <c r="J31" s="129">
        <v>7389.57</v>
      </c>
      <c r="K31" s="129">
        <v>7389.57</v>
      </c>
      <c r="L31" s="129">
        <v>7389.57</v>
      </c>
      <c r="M31" s="129">
        <v>7389.57</v>
      </c>
      <c r="N31" s="129">
        <v>7389.57</v>
      </c>
      <c r="O31" s="129">
        <v>7389.57</v>
      </c>
      <c r="P31" s="129">
        <v>7389.57</v>
      </c>
      <c r="Q31" s="129">
        <v>7389.57</v>
      </c>
      <c r="R31" s="129">
        <v>7788.61</v>
      </c>
      <c r="S31" s="129">
        <v>7788.61</v>
      </c>
      <c r="T31" s="120">
        <f>IFERROR(__xludf.DUMMYFUNCTION("IFERROR(IF(W31=TRUE, SUM(FILTER('Resumo - TIMESHEETS'!$H:$H,'Resumo - TIMESHEETS'!M:M = TRUE,'Resumo - TIMESHEETS'!N:N = TRUE,'Resumo - TIMESHEETS'!E:E = B31))/24,0),0)"),3.3333333333333335)</f>
        <v>3.333333333</v>
      </c>
      <c r="U31" s="130">
        <f t="shared" si="1"/>
        <v>0.035932447</v>
      </c>
      <c r="V31" s="98" t="str">
        <f t="shared" si="2"/>
        <v>Parcial</v>
      </c>
      <c r="W31" s="131" t="b">
        <v>1</v>
      </c>
      <c r="X31" s="132"/>
      <c r="Y31" s="131"/>
    </row>
    <row r="32" ht="11.25" customHeight="1">
      <c r="A32" s="124"/>
      <c r="B32" s="77" t="s">
        <v>112</v>
      </c>
      <c r="C32" s="125" t="s">
        <v>222</v>
      </c>
      <c r="D32" s="126"/>
      <c r="E32" s="128" t="s">
        <v>224</v>
      </c>
      <c r="F32" s="125" t="s">
        <v>39</v>
      </c>
      <c r="G32" s="96"/>
      <c r="H32" s="129"/>
      <c r="I32" s="129"/>
      <c r="J32" s="129"/>
      <c r="K32" s="129"/>
      <c r="L32" s="129"/>
      <c r="M32" s="129"/>
      <c r="N32" s="129"/>
      <c r="O32" s="129"/>
      <c r="P32" s="129"/>
      <c r="Q32" s="129">
        <v>6611.67</v>
      </c>
      <c r="R32" s="129">
        <v>6968.7</v>
      </c>
      <c r="S32" s="129">
        <v>6968.7</v>
      </c>
      <c r="T32" s="120">
        <f>IFERROR(__xludf.DUMMYFUNCTION("IFERROR(IF(W32=TRUE, SUM(FILTER('Resumo - TIMESHEETS'!$H:$H,'Resumo - TIMESHEETS'!M:M = TRUE,'Resumo - TIMESHEETS'!N:N = TRUE,'Resumo - TIMESHEETS'!E:E = B32))/24,0),0)"),15.974166666666667)</f>
        <v>15.97416667</v>
      </c>
      <c r="U32" s="130">
        <f t="shared" si="1"/>
        <v>0.1721972691</v>
      </c>
      <c r="V32" s="98" t="str">
        <f t="shared" si="2"/>
        <v>Parcial</v>
      </c>
      <c r="W32" s="132" t="b">
        <v>1</v>
      </c>
      <c r="X32" s="132"/>
      <c r="Y32" s="131"/>
    </row>
    <row r="33" ht="11.25" customHeight="1">
      <c r="A33" s="124"/>
      <c r="B33" s="102" t="s">
        <v>167</v>
      </c>
      <c r="C33" s="125" t="s">
        <v>225</v>
      </c>
      <c r="D33" s="126"/>
      <c r="E33" s="125" t="s">
        <v>226</v>
      </c>
      <c r="F33" s="128" t="s">
        <v>42</v>
      </c>
      <c r="G33" s="96"/>
      <c r="H33" s="129">
        <v>4500.0</v>
      </c>
      <c r="I33" s="129">
        <v>4500.0</v>
      </c>
      <c r="J33" s="129">
        <v>4500.0</v>
      </c>
      <c r="K33" s="129">
        <v>4500.0</v>
      </c>
      <c r="L33" s="129">
        <v>4500.0</v>
      </c>
      <c r="M33" s="129">
        <v>4500.0</v>
      </c>
      <c r="N33" s="129">
        <v>4500.0</v>
      </c>
      <c r="O33" s="129">
        <v>4500.0</v>
      </c>
      <c r="P33" s="129">
        <v>4500.0</v>
      </c>
      <c r="Q33" s="129">
        <v>4500.0</v>
      </c>
      <c r="R33" s="129">
        <v>4500.0</v>
      </c>
      <c r="S33" s="129">
        <v>7000.0</v>
      </c>
      <c r="T33" s="120">
        <f>IFERROR(__xludf.DUMMYFUNCTION("IFERROR(IF(W33=TRUE, SUM(FILTER('Resumo - TIMESHEETS'!$H:$H,'Resumo - TIMESHEETS'!M:M = TRUE,'Resumo - TIMESHEETS'!N:N = TRUE,'Resumo - TIMESHEETS'!E:E = B33))/24,0),0)"),1.0)</f>
        <v>1</v>
      </c>
      <c r="U33" s="130">
        <f t="shared" si="1"/>
        <v>0.0107797341</v>
      </c>
      <c r="V33" s="98" t="str">
        <f t="shared" si="2"/>
        <v>Parcial</v>
      </c>
      <c r="W33" s="131" t="b">
        <v>1</v>
      </c>
      <c r="X33" s="132"/>
      <c r="Y33" s="131"/>
    </row>
    <row r="34" ht="11.25" customHeight="1">
      <c r="A34" s="85"/>
      <c r="C34" s="134"/>
      <c r="D34" s="134"/>
      <c r="E34" s="124"/>
      <c r="F34" s="134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1"/>
      <c r="Y34" s="131"/>
    </row>
    <row r="35" ht="11.25" customHeight="1">
      <c r="A35" s="85"/>
      <c r="B35" s="136"/>
      <c r="C35" s="137"/>
      <c r="D35" s="138"/>
      <c r="E35" s="135"/>
      <c r="F35" s="139"/>
      <c r="G35" s="134"/>
      <c r="H35" s="135"/>
      <c r="I35" s="135"/>
      <c r="J35" s="135"/>
      <c r="K35" s="135"/>
      <c r="L35" s="97"/>
      <c r="M35" s="97"/>
      <c r="N35" s="97"/>
      <c r="O35" s="97"/>
      <c r="P35" s="97"/>
      <c r="Q35" s="97"/>
      <c r="R35" s="97"/>
      <c r="S35" s="97"/>
      <c r="T35" s="98"/>
      <c r="U35" s="130"/>
      <c r="V35" s="98"/>
      <c r="W35" s="131"/>
      <c r="X35" s="131"/>
      <c r="Y35" s="132"/>
    </row>
    <row r="36" ht="11.25" customHeight="1">
      <c r="A36" s="85"/>
      <c r="C36" s="140"/>
      <c r="D36" s="141"/>
      <c r="E36" s="135"/>
      <c r="F36" s="142" t="s">
        <v>227</v>
      </c>
      <c r="G36" s="143" t="s">
        <v>228</v>
      </c>
      <c r="H36" s="144">
        <v>0.0043</v>
      </c>
      <c r="I36" s="144">
        <v>0.0017</v>
      </c>
      <c r="J36" s="144">
        <v>7.0E-4</v>
      </c>
      <c r="K36" s="144">
        <v>0.0083</v>
      </c>
      <c r="L36" s="144">
        <v>0.0076</v>
      </c>
      <c r="M36" s="144">
        <v>0.0043</v>
      </c>
      <c r="N36" s="144">
        <v>0.0118</v>
      </c>
      <c r="O36" s="144">
        <v>0.0125</v>
      </c>
      <c r="P36" s="144">
        <v>0.0076</v>
      </c>
      <c r="Q36" s="144">
        <v>0.0043</v>
      </c>
      <c r="R36" s="144">
        <v>0.0063</v>
      </c>
      <c r="S36" s="144">
        <v>0.0031</v>
      </c>
      <c r="T36" s="145" t="s">
        <v>229</v>
      </c>
      <c r="U36" s="130"/>
      <c r="V36" s="98"/>
      <c r="W36" s="131"/>
      <c r="X36" s="131"/>
      <c r="Y36" s="132"/>
    </row>
    <row r="37" ht="11.25" customHeight="1">
      <c r="A37" s="85"/>
      <c r="B37" s="135"/>
      <c r="C37" s="135"/>
      <c r="D37" s="135"/>
      <c r="E37" s="135"/>
      <c r="F37" s="135"/>
      <c r="G37" s="143" t="s">
        <v>14</v>
      </c>
      <c r="H37" s="146">
        <v>0.058</v>
      </c>
      <c r="I37" s="146">
        <v>0.058</v>
      </c>
      <c r="J37" s="146">
        <v>0.058</v>
      </c>
      <c r="K37" s="146">
        <v>0.058</v>
      </c>
      <c r="L37" s="146">
        <v>0.058</v>
      </c>
      <c r="M37" s="146">
        <v>0.058</v>
      </c>
      <c r="N37" s="146">
        <v>0.058</v>
      </c>
      <c r="O37" s="146">
        <v>0.058</v>
      </c>
      <c r="P37" s="146">
        <v>0.058</v>
      </c>
      <c r="Q37" s="146">
        <v>0.058</v>
      </c>
      <c r="R37" s="146">
        <v>0.058</v>
      </c>
      <c r="S37" s="146">
        <v>0.058</v>
      </c>
      <c r="T37" s="147"/>
      <c r="U37" s="130"/>
      <c r="V37" s="98"/>
      <c r="W37" s="131"/>
      <c r="X37" s="131"/>
      <c r="Y37" s="132"/>
    </row>
    <row r="38" ht="11.25" customHeight="1">
      <c r="A38" s="85"/>
      <c r="B38" s="135"/>
      <c r="C38" s="135"/>
      <c r="D38" s="135"/>
      <c r="E38" s="135"/>
      <c r="F38" s="135"/>
      <c r="G38" s="148" t="s">
        <v>230</v>
      </c>
      <c r="H38" s="149">
        <v>0.015</v>
      </c>
      <c r="I38" s="149">
        <v>0.015</v>
      </c>
      <c r="J38" s="149">
        <v>0.015</v>
      </c>
      <c r="K38" s="149">
        <v>0.015</v>
      </c>
      <c r="L38" s="149">
        <v>0.015</v>
      </c>
      <c r="M38" s="149">
        <v>0.015</v>
      </c>
      <c r="N38" s="149">
        <v>0.015</v>
      </c>
      <c r="O38" s="149">
        <v>0.015</v>
      </c>
      <c r="P38" s="149">
        <v>0.015</v>
      </c>
      <c r="Q38" s="149">
        <v>0.015</v>
      </c>
      <c r="R38" s="149">
        <v>0.015</v>
      </c>
      <c r="S38" s="149">
        <v>0.015</v>
      </c>
      <c r="T38" s="147"/>
      <c r="U38" s="130"/>
      <c r="V38" s="98"/>
      <c r="W38" s="131"/>
      <c r="X38" s="131"/>
      <c r="Y38" s="132"/>
    </row>
    <row r="39">
      <c r="A39" s="85"/>
      <c r="B39" s="135"/>
      <c r="C39" s="135"/>
      <c r="D39" s="135"/>
      <c r="E39" s="135"/>
      <c r="F39" s="135"/>
      <c r="G39" s="150" t="s">
        <v>231</v>
      </c>
      <c r="H39" s="151">
        <f t="shared" ref="H39:S39" si="3">SUM(H36:H38)</f>
        <v>0.0773</v>
      </c>
      <c r="I39" s="151">
        <f t="shared" si="3"/>
        <v>0.0747</v>
      </c>
      <c r="J39" s="151">
        <f t="shared" si="3"/>
        <v>0.0737</v>
      </c>
      <c r="K39" s="151">
        <f t="shared" si="3"/>
        <v>0.0813</v>
      </c>
      <c r="L39" s="151">
        <f t="shared" si="3"/>
        <v>0.0806</v>
      </c>
      <c r="M39" s="151">
        <f t="shared" si="3"/>
        <v>0.0773</v>
      </c>
      <c r="N39" s="151">
        <f t="shared" si="3"/>
        <v>0.0848</v>
      </c>
      <c r="O39" s="151">
        <f t="shared" si="3"/>
        <v>0.0855</v>
      </c>
      <c r="P39" s="151">
        <f t="shared" si="3"/>
        <v>0.0806</v>
      </c>
      <c r="Q39" s="151">
        <f t="shared" si="3"/>
        <v>0.0773</v>
      </c>
      <c r="R39" s="151">
        <f t="shared" si="3"/>
        <v>0.0793</v>
      </c>
      <c r="S39" s="151">
        <f t="shared" si="3"/>
        <v>0.0761</v>
      </c>
      <c r="T39" s="135"/>
      <c r="U39" s="130"/>
      <c r="V39" s="98"/>
      <c r="W39" s="131"/>
      <c r="X39" s="131"/>
      <c r="Y39" s="132"/>
    </row>
    <row r="40">
      <c r="A40" s="85"/>
      <c r="B40" s="135"/>
      <c r="C40" s="135"/>
      <c r="D40" s="135"/>
      <c r="E40" s="135"/>
      <c r="F40" s="135"/>
      <c r="G40" s="150" t="s">
        <v>232</v>
      </c>
      <c r="H40" s="152">
        <v>0.08</v>
      </c>
      <c r="I40" s="152">
        <v>0.08</v>
      </c>
      <c r="J40" s="152">
        <v>0.08</v>
      </c>
      <c r="K40" s="152">
        <v>0.08</v>
      </c>
      <c r="L40" s="152">
        <v>0.08</v>
      </c>
      <c r="M40" s="152">
        <v>0.08</v>
      </c>
      <c r="N40" s="152">
        <v>0.08</v>
      </c>
      <c r="O40" s="152">
        <v>0.08</v>
      </c>
      <c r="P40" s="152">
        <v>0.08</v>
      </c>
      <c r="Q40" s="152">
        <v>0.08</v>
      </c>
      <c r="R40" s="152">
        <v>0.08</v>
      </c>
      <c r="S40" s="152">
        <v>0.08</v>
      </c>
      <c r="T40" s="135"/>
      <c r="U40" s="130"/>
      <c r="V40" s="98"/>
      <c r="W40" s="131"/>
      <c r="X40" s="131"/>
      <c r="Y40" s="132"/>
    </row>
    <row r="41">
      <c r="A41" s="85"/>
      <c r="B41" s="135"/>
      <c r="C41" s="135"/>
      <c r="D41" s="135"/>
      <c r="E41" s="135"/>
      <c r="F41" s="135"/>
      <c r="G41" s="150" t="s">
        <v>233</v>
      </c>
      <c r="H41" s="153">
        <f t="shared" ref="H41:S41" si="4">((1+(1/3))*(1+H39+H40)/12)</f>
        <v>0.1285888889</v>
      </c>
      <c r="I41" s="153">
        <f t="shared" si="4"/>
        <v>0.1283</v>
      </c>
      <c r="J41" s="153">
        <f t="shared" si="4"/>
        <v>0.1281888889</v>
      </c>
      <c r="K41" s="153">
        <f t="shared" si="4"/>
        <v>0.1290333333</v>
      </c>
      <c r="L41" s="153">
        <f t="shared" si="4"/>
        <v>0.1289555556</v>
      </c>
      <c r="M41" s="153">
        <f t="shared" si="4"/>
        <v>0.1285888889</v>
      </c>
      <c r="N41" s="153">
        <f t="shared" si="4"/>
        <v>0.1294222222</v>
      </c>
      <c r="O41" s="153">
        <f t="shared" si="4"/>
        <v>0.1295</v>
      </c>
      <c r="P41" s="153">
        <f t="shared" si="4"/>
        <v>0.1289555556</v>
      </c>
      <c r="Q41" s="153">
        <f t="shared" si="4"/>
        <v>0.1285888889</v>
      </c>
      <c r="R41" s="153">
        <f t="shared" si="4"/>
        <v>0.1288111111</v>
      </c>
      <c r="S41" s="153">
        <f t="shared" si="4"/>
        <v>0.1284555556</v>
      </c>
      <c r="T41" s="135"/>
      <c r="U41" s="130"/>
      <c r="V41" s="98"/>
      <c r="W41" s="131"/>
      <c r="X41" s="131"/>
      <c r="Y41" s="132"/>
    </row>
    <row r="42">
      <c r="A42" s="85"/>
      <c r="B42" s="135"/>
      <c r="C42" s="135"/>
      <c r="D42" s="135"/>
      <c r="E42" s="135"/>
      <c r="F42" s="135"/>
      <c r="G42" s="154" t="s">
        <v>234</v>
      </c>
      <c r="H42" s="155">
        <f t="shared" ref="H42:S42" si="5">(1/12)*(1+H39+H40)</f>
        <v>0.09644166667</v>
      </c>
      <c r="I42" s="155">
        <f t="shared" si="5"/>
        <v>0.096225</v>
      </c>
      <c r="J42" s="155">
        <f t="shared" si="5"/>
        <v>0.09614166667</v>
      </c>
      <c r="K42" s="155">
        <f t="shared" si="5"/>
        <v>0.096775</v>
      </c>
      <c r="L42" s="155">
        <f t="shared" si="5"/>
        <v>0.09671666667</v>
      </c>
      <c r="M42" s="155">
        <f t="shared" si="5"/>
        <v>0.09644166667</v>
      </c>
      <c r="N42" s="155">
        <f t="shared" si="5"/>
        <v>0.09706666667</v>
      </c>
      <c r="O42" s="155">
        <f t="shared" si="5"/>
        <v>0.097125</v>
      </c>
      <c r="P42" s="155">
        <f t="shared" si="5"/>
        <v>0.09671666667</v>
      </c>
      <c r="Q42" s="155">
        <f t="shared" si="5"/>
        <v>0.09644166667</v>
      </c>
      <c r="R42" s="155">
        <f t="shared" si="5"/>
        <v>0.09660833333</v>
      </c>
      <c r="S42" s="155">
        <f t="shared" si="5"/>
        <v>0.09634166667</v>
      </c>
      <c r="T42" s="135"/>
      <c r="U42" s="130"/>
      <c r="V42" s="98"/>
      <c r="W42" s="131"/>
      <c r="X42" s="131"/>
      <c r="Y42" s="132"/>
    </row>
    <row r="43">
      <c r="A43" s="85"/>
      <c r="B43" s="156"/>
      <c r="C43" s="156"/>
      <c r="D43" s="157"/>
      <c r="E43" s="157"/>
      <c r="F43" s="139"/>
      <c r="G43" s="158" t="s">
        <v>11</v>
      </c>
      <c r="H43" s="159">
        <f t="shared" ref="H43:S43" si="6">sum(H39:H42)</f>
        <v>0.3823305556</v>
      </c>
      <c r="I43" s="159">
        <f t="shared" si="6"/>
        <v>0.379225</v>
      </c>
      <c r="J43" s="159">
        <f t="shared" si="6"/>
        <v>0.3780305556</v>
      </c>
      <c r="K43" s="159">
        <f t="shared" si="6"/>
        <v>0.3871083333</v>
      </c>
      <c r="L43" s="159">
        <f t="shared" si="6"/>
        <v>0.3862722222</v>
      </c>
      <c r="M43" s="159">
        <f t="shared" si="6"/>
        <v>0.3823305556</v>
      </c>
      <c r="N43" s="159">
        <f t="shared" si="6"/>
        <v>0.3912888889</v>
      </c>
      <c r="O43" s="159">
        <f t="shared" si="6"/>
        <v>0.392125</v>
      </c>
      <c r="P43" s="159">
        <f t="shared" si="6"/>
        <v>0.3862722222</v>
      </c>
      <c r="Q43" s="159">
        <f t="shared" si="6"/>
        <v>0.3823305556</v>
      </c>
      <c r="R43" s="159">
        <f t="shared" si="6"/>
        <v>0.3847194444</v>
      </c>
      <c r="S43" s="159">
        <f t="shared" si="6"/>
        <v>0.3808972222</v>
      </c>
      <c r="T43" s="135"/>
      <c r="U43" s="130"/>
      <c r="V43" s="98"/>
      <c r="W43" s="131"/>
      <c r="X43" s="131"/>
      <c r="Y43" s="132"/>
    </row>
    <row r="44" ht="11.25" customHeight="1">
      <c r="A44" s="85"/>
      <c r="B44" s="156"/>
      <c r="C44" s="156"/>
      <c r="D44" s="157"/>
      <c r="E44" s="157"/>
      <c r="F44" s="139"/>
      <c r="G44" s="160"/>
      <c r="H44" s="131"/>
      <c r="I44" s="161"/>
      <c r="J44" s="162"/>
      <c r="K44" s="163"/>
      <c r="L44" s="97"/>
      <c r="M44" s="97"/>
      <c r="N44" s="97"/>
      <c r="O44" s="97"/>
      <c r="P44" s="97"/>
      <c r="Q44" s="97"/>
      <c r="R44" s="97"/>
      <c r="S44" s="97"/>
      <c r="T44" s="98"/>
      <c r="U44" s="130"/>
      <c r="V44" s="98"/>
      <c r="W44" s="131"/>
      <c r="X44" s="131"/>
      <c r="Y44" s="132"/>
    </row>
    <row r="45" ht="11.25" customHeight="1">
      <c r="A45" s="85"/>
      <c r="B45" s="116"/>
      <c r="C45" s="68"/>
      <c r="D45" s="68"/>
      <c r="E45" s="113"/>
      <c r="F45" s="113"/>
      <c r="G45" s="68"/>
      <c r="H45" s="97">
        <f t="shared" ref="H45:S45" si="7">NETWORKDAYS(DATE(year(H46),month(H46),1),DATE(year(H46),month(H46)+1,0),$B$70:$B$82)</f>
        <v>22</v>
      </c>
      <c r="I45" s="97">
        <f t="shared" si="7"/>
        <v>21</v>
      </c>
      <c r="J45" s="97">
        <f t="shared" si="7"/>
        <v>20</v>
      </c>
      <c r="K45" s="97">
        <f t="shared" si="7"/>
        <v>21</v>
      </c>
      <c r="L45" s="97">
        <f t="shared" si="7"/>
        <v>21</v>
      </c>
      <c r="M45" s="97">
        <f t="shared" si="7"/>
        <v>20</v>
      </c>
      <c r="N45" s="97">
        <f t="shared" si="7"/>
        <v>23</v>
      </c>
      <c r="O45" s="97">
        <f t="shared" si="7"/>
        <v>22</v>
      </c>
      <c r="P45" s="97">
        <f t="shared" si="7"/>
        <v>21</v>
      </c>
      <c r="Q45" s="97">
        <f t="shared" si="7"/>
        <v>22</v>
      </c>
      <c r="R45" s="97">
        <f t="shared" si="7"/>
        <v>19</v>
      </c>
      <c r="S45" s="97">
        <f t="shared" si="7"/>
        <v>21</v>
      </c>
      <c r="T45" s="91">
        <f t="shared" ref="T45:U45" si="8">sum(T47:T66)</f>
        <v>1286274.205</v>
      </c>
      <c r="U45" s="91">
        <f t="shared" si="8"/>
        <v>1286274.205</v>
      </c>
      <c r="V45" s="91">
        <f>U45-T45</f>
        <v>0</v>
      </c>
      <c r="W45" s="68"/>
      <c r="X45" s="131"/>
      <c r="Y45" s="132"/>
    </row>
    <row r="46">
      <c r="A46" s="85"/>
      <c r="B46" s="74" t="s">
        <v>188</v>
      </c>
      <c r="C46" s="74"/>
      <c r="D46" s="74"/>
      <c r="E46" s="121" t="s">
        <v>79</v>
      </c>
      <c r="F46" s="121" t="s">
        <v>191</v>
      </c>
      <c r="G46" s="74"/>
      <c r="H46" s="164">
        <v>45322.0</v>
      </c>
      <c r="I46" s="164">
        <v>45350.0</v>
      </c>
      <c r="J46" s="164">
        <v>45382.0</v>
      </c>
      <c r="K46" s="164">
        <v>45412.0</v>
      </c>
      <c r="L46" s="164">
        <v>45443.0</v>
      </c>
      <c r="M46" s="164">
        <v>45473.0</v>
      </c>
      <c r="N46" s="164">
        <v>45504.0</v>
      </c>
      <c r="O46" s="164">
        <v>45535.0</v>
      </c>
      <c r="P46" s="164">
        <v>45565.0</v>
      </c>
      <c r="Q46" s="165">
        <v>45596.0</v>
      </c>
      <c r="R46" s="165">
        <v>45626.0</v>
      </c>
      <c r="S46" s="165">
        <v>45657.0</v>
      </c>
      <c r="T46" s="122" t="s">
        <v>235</v>
      </c>
      <c r="U46" s="122" t="s">
        <v>236</v>
      </c>
      <c r="V46" s="122" t="s">
        <v>207</v>
      </c>
      <c r="W46" s="122"/>
      <c r="X46" s="131"/>
      <c r="Y46" s="132"/>
    </row>
    <row r="47" ht="11.25" customHeight="1">
      <c r="A47" s="85"/>
      <c r="B47" s="124" t="str">
        <f t="array" ref="B47:B67">unique(B13:B33)</f>
        <v>Alberto Reuters</v>
      </c>
      <c r="C47" s="117"/>
      <c r="D47" s="117"/>
      <c r="E47" s="166" t="str">
        <f t="array" ref="E47:E67">V13:V33</f>
        <v>Parcial</v>
      </c>
      <c r="F47" s="166" t="str">
        <f t="array" ref="F47:F67">F13:F33</f>
        <v>Mestrado</v>
      </c>
      <c r="G47" s="117"/>
      <c r="H47" s="167">
        <f t="shared" ref="H47:S47" si="9">iferror((xlookup($B47,$B$13:$B$33,H$13:H$33)*(1+H$43))/(H$45*8.8),"")</f>
        <v>187.1711987</v>
      </c>
      <c r="I47" s="167">
        <f t="shared" si="9"/>
        <v>195.6435887</v>
      </c>
      <c r="J47" s="167">
        <f t="shared" si="9"/>
        <v>205.2478641</v>
      </c>
      <c r="K47" s="167">
        <f t="shared" si="9"/>
        <v>196.7618425</v>
      </c>
      <c r="L47" s="167">
        <f t="shared" si="9"/>
        <v>196.6432398</v>
      </c>
      <c r="M47" s="167">
        <f t="shared" si="9"/>
        <v>205.8883186</v>
      </c>
      <c r="N47" s="167">
        <f t="shared" si="9"/>
        <v>180.1935641</v>
      </c>
      <c r="O47" s="167">
        <f t="shared" si="9"/>
        <v>188.4973923</v>
      </c>
      <c r="P47" s="167">
        <f t="shared" si="9"/>
        <v>196.6432398</v>
      </c>
      <c r="Q47" s="167">
        <f t="shared" si="9"/>
        <v>187.1711987</v>
      </c>
      <c r="R47" s="167">
        <f t="shared" si="9"/>
        <v>228.8224865</v>
      </c>
      <c r="S47" s="167">
        <f t="shared" si="9"/>
        <v>206.458407</v>
      </c>
      <c r="T47" s="98">
        <f>SUMIF('Resumo - TIMESHEETS'!E:E,B47,'Resumo - TIMESHEETS'!L:L)</f>
        <v>0</v>
      </c>
      <c r="U47" s="98">
        <f t="shared" ref="U47:U67" si="11">SUMIF(V47,TRUE,T47)</f>
        <v>0</v>
      </c>
      <c r="V47" s="131" t="b">
        <v>1</v>
      </c>
      <c r="W47" s="131"/>
      <c r="X47" s="131"/>
      <c r="Y47" s="132"/>
    </row>
    <row r="48" ht="11.25" customHeight="1">
      <c r="A48" s="85"/>
      <c r="B48" s="124" t="s">
        <v>101</v>
      </c>
      <c r="C48" s="117"/>
      <c r="D48" s="117"/>
      <c r="E48" s="168" t="s">
        <v>91</v>
      </c>
      <c r="F48" s="169" t="s">
        <v>42</v>
      </c>
      <c r="G48" s="117"/>
      <c r="H48" s="167">
        <f t="shared" ref="H48:S48" si="10">iferror((xlookup($B48,$B$13:$B$33,H$13:H$33)*(1+H$43))/(H$45*8.8),"")</f>
        <v>51.97255863</v>
      </c>
      <c r="I48" s="167">
        <f t="shared" si="10"/>
        <v>54.32512029</v>
      </c>
      <c r="J48" s="167">
        <f t="shared" si="10"/>
        <v>56.991977</v>
      </c>
      <c r="K48" s="167">
        <f t="shared" si="10"/>
        <v>54.6356302</v>
      </c>
      <c r="L48" s="167">
        <f t="shared" si="10"/>
        <v>54.60269733</v>
      </c>
      <c r="M48" s="167">
        <f t="shared" si="10"/>
        <v>57.16981449</v>
      </c>
      <c r="N48" s="167">
        <f t="shared" si="10"/>
        <v>50.03505154</v>
      </c>
      <c r="O48" s="167">
        <f t="shared" si="10"/>
        <v>52.34080799</v>
      </c>
      <c r="P48" s="167">
        <f t="shared" si="10"/>
        <v>54.60269733</v>
      </c>
      <c r="Q48" s="167">
        <f t="shared" si="10"/>
        <v>51.97255863</v>
      </c>
      <c r="R48" s="167">
        <f t="shared" si="10"/>
        <v>63.5380836</v>
      </c>
      <c r="S48" s="167">
        <f t="shared" si="10"/>
        <v>57.32815741</v>
      </c>
      <c r="T48" s="98">
        <f>SUMIF('Resumo - TIMESHEETS'!E:E,B48,'Resumo - TIMESHEETS'!L:L)</f>
        <v>18521.51631</v>
      </c>
      <c r="U48" s="98">
        <f t="shared" si="11"/>
        <v>18521.51631</v>
      </c>
      <c r="V48" s="131" t="b">
        <v>1</v>
      </c>
      <c r="W48" s="131"/>
      <c r="X48" s="131"/>
      <c r="Y48" s="131"/>
    </row>
    <row r="49" ht="11.25" customHeight="1">
      <c r="A49" s="85"/>
      <c r="B49" s="124" t="s">
        <v>124</v>
      </c>
      <c r="C49" s="117"/>
      <c r="D49" s="117"/>
      <c r="E49" s="168" t="s">
        <v>127</v>
      </c>
      <c r="F49" s="169" t="s">
        <v>41</v>
      </c>
      <c r="G49" s="117"/>
      <c r="H49" s="167">
        <f t="shared" ref="H49:S49" si="12">iferror((xlookup($B49,$B$13:$B$33,H$13:H$33)*(1+H$43))/(H$45*8.8),"")</f>
        <v>89.09648801</v>
      </c>
      <c r="I49" s="167">
        <f t="shared" si="12"/>
        <v>93.12948132</v>
      </c>
      <c r="J49" s="167">
        <f t="shared" si="12"/>
        <v>97.70127023</v>
      </c>
      <c r="K49" s="167">
        <f t="shared" si="12"/>
        <v>93.66178805</v>
      </c>
      <c r="L49" s="167">
        <f t="shared" si="12"/>
        <v>93.60533128</v>
      </c>
      <c r="M49" s="167">
        <f t="shared" si="12"/>
        <v>98.00613681</v>
      </c>
      <c r="N49" s="167">
        <f t="shared" si="12"/>
        <v>91.27336288</v>
      </c>
      <c r="O49" s="167">
        <f t="shared" si="12"/>
        <v>95.47949715</v>
      </c>
      <c r="P49" s="167">
        <f t="shared" si="12"/>
        <v>99.60560955</v>
      </c>
      <c r="Q49" s="167">
        <f t="shared" si="12"/>
        <v>94.80774092</v>
      </c>
      <c r="R49" s="167">
        <f t="shared" si="12"/>
        <v>115.905324</v>
      </c>
      <c r="S49" s="167">
        <f t="shared" si="12"/>
        <v>104.5772596</v>
      </c>
      <c r="T49" s="98">
        <f>SUMIF('Resumo - TIMESHEETS'!E:E,B49,'Resumo - TIMESHEETS'!L:L)</f>
        <v>220682.4035</v>
      </c>
      <c r="U49" s="98">
        <f t="shared" si="11"/>
        <v>220682.4035</v>
      </c>
      <c r="V49" s="131" t="b">
        <v>1</v>
      </c>
      <c r="W49" s="131"/>
      <c r="X49" s="131"/>
      <c r="Y49" s="131"/>
    </row>
    <row r="50" ht="11.25" customHeight="1">
      <c r="A50" s="85"/>
      <c r="B50" s="124" t="s">
        <v>132</v>
      </c>
      <c r="C50" s="117"/>
      <c r="D50" s="117"/>
      <c r="E50" s="168" t="s">
        <v>127</v>
      </c>
      <c r="F50" s="169" t="s">
        <v>41</v>
      </c>
      <c r="G50" s="117"/>
      <c r="H50" s="167">
        <f t="shared" ref="H50:S50" si="13">iferror((xlookup($B50,$B$13:$B$33,H$13:H$33)*(1+H$43))/(H$45*8.8),"")</f>
        <v>107.3521051</v>
      </c>
      <c r="I50" s="167">
        <f t="shared" si="13"/>
        <v>112.2114473</v>
      </c>
      <c r="J50" s="167">
        <f t="shared" si="13"/>
        <v>117.7199827</v>
      </c>
      <c r="K50" s="167">
        <f t="shared" si="13"/>
        <v>112.8528222</v>
      </c>
      <c r="L50" s="167">
        <f t="shared" si="13"/>
        <v>112.7847975</v>
      </c>
      <c r="M50" s="167">
        <f t="shared" si="13"/>
        <v>118.0873156</v>
      </c>
      <c r="N50" s="167">
        <f t="shared" si="13"/>
        <v>103.3500804</v>
      </c>
      <c r="O50" s="167">
        <f t="shared" si="13"/>
        <v>108.1127439</v>
      </c>
      <c r="P50" s="167">
        <f t="shared" si="13"/>
        <v>112.7847975</v>
      </c>
      <c r="Q50" s="167">
        <f t="shared" si="13"/>
        <v>107.3521051</v>
      </c>
      <c r="R50" s="167">
        <f t="shared" si="13"/>
        <v>131.2412575</v>
      </c>
      <c r="S50" s="167">
        <f t="shared" si="13"/>
        <v>118.414328</v>
      </c>
      <c r="T50" s="98">
        <f>SUMIF('Resumo - TIMESHEETS'!E:E,B50,'Resumo - TIMESHEETS'!L:L)</f>
        <v>228482.1227</v>
      </c>
      <c r="U50" s="98">
        <f t="shared" si="11"/>
        <v>228482.1227</v>
      </c>
      <c r="V50" s="131" t="b">
        <v>1</v>
      </c>
      <c r="W50" s="131"/>
      <c r="X50" s="131"/>
      <c r="Y50" s="131"/>
    </row>
    <row r="51" ht="11.25" customHeight="1">
      <c r="A51" s="85"/>
      <c r="B51" s="124" t="s">
        <v>135</v>
      </c>
      <c r="C51" s="117"/>
      <c r="D51" s="117"/>
      <c r="E51" s="168" t="s">
        <v>127</v>
      </c>
      <c r="F51" s="169" t="s">
        <v>41</v>
      </c>
      <c r="G51" s="117"/>
      <c r="H51" s="167">
        <f t="shared" ref="H51:S51" si="14">iferror((xlookup($B51,$B$13:$B$33,H$13:H$33)*(1+H$43))/(H$45*8.8),"")</f>
        <v>94.80781233</v>
      </c>
      <c r="I51" s="167">
        <f t="shared" si="14"/>
        <v>105.4517521</v>
      </c>
      <c r="J51" s="167">
        <f t="shared" si="14"/>
        <v>110.6284496</v>
      </c>
      <c r="K51" s="167">
        <f t="shared" si="14"/>
        <v>106.0544901</v>
      </c>
      <c r="L51" s="167">
        <f t="shared" si="14"/>
        <v>105.9905634</v>
      </c>
      <c r="M51" s="167">
        <f t="shared" si="14"/>
        <v>110.9736541</v>
      </c>
      <c r="N51" s="167">
        <f t="shared" si="14"/>
        <v>97.12420009</v>
      </c>
      <c r="O51" s="167">
        <f t="shared" si="14"/>
        <v>101.5999575</v>
      </c>
      <c r="P51" s="167">
        <f t="shared" si="14"/>
        <v>105.9905634</v>
      </c>
      <c r="Q51" s="167">
        <f t="shared" si="14"/>
        <v>100.8851401</v>
      </c>
      <c r="R51" s="167">
        <f t="shared" si="14"/>
        <v>123.3351886</v>
      </c>
      <c r="S51" s="167">
        <f t="shared" si="14"/>
        <v>111.2809626</v>
      </c>
      <c r="T51" s="98">
        <f>SUMIF('Resumo - TIMESHEETS'!E:E,B51,'Resumo - TIMESHEETS'!L:L)</f>
        <v>202256.1955</v>
      </c>
      <c r="U51" s="98">
        <f t="shared" si="11"/>
        <v>202256.1955</v>
      </c>
      <c r="V51" s="131" t="b">
        <v>1</v>
      </c>
      <c r="W51" s="131"/>
      <c r="X51" s="131"/>
      <c r="Y51" s="131"/>
    </row>
    <row r="52" ht="11.25" customHeight="1">
      <c r="A52" s="85"/>
      <c r="B52" s="124" t="s">
        <v>143</v>
      </c>
      <c r="C52" s="117"/>
      <c r="D52" s="117"/>
      <c r="E52" s="168" t="s">
        <v>91</v>
      </c>
      <c r="F52" s="169" t="s">
        <v>41</v>
      </c>
      <c r="G52" s="117"/>
      <c r="H52" s="167">
        <f t="shared" ref="H52:S52" si="15">iferror((xlookup($B52,$B$13:$B$33,H$13:H$33)*(1+H$43))/(H$45*8.8),"")</f>
        <v>55.6930699</v>
      </c>
      <c r="I52" s="167">
        <f t="shared" si="15"/>
        <v>58.21404221</v>
      </c>
      <c r="J52" s="167">
        <f t="shared" si="15"/>
        <v>61.07180871</v>
      </c>
      <c r="K52" s="167">
        <f t="shared" si="15"/>
        <v>58.5467803</v>
      </c>
      <c r="L52" s="167">
        <f t="shared" si="15"/>
        <v>58.5114899</v>
      </c>
      <c r="M52" s="167">
        <f t="shared" si="15"/>
        <v>61.26237689</v>
      </c>
      <c r="N52" s="167">
        <f t="shared" si="15"/>
        <v>53.6168643</v>
      </c>
      <c r="O52" s="167">
        <f t="shared" si="15"/>
        <v>56.08768079</v>
      </c>
      <c r="P52" s="167">
        <f t="shared" si="15"/>
        <v>58.5114899</v>
      </c>
      <c r="Q52" s="167">
        <f t="shared" si="15"/>
        <v>55.6930699</v>
      </c>
      <c r="R52" s="167">
        <f t="shared" si="15"/>
        <v>68.08645632</v>
      </c>
      <c r="S52" s="167">
        <f t="shared" si="15"/>
        <v>61.43199266</v>
      </c>
      <c r="T52" s="98">
        <f>SUMIF('Resumo - TIMESHEETS'!E:E,B52,'Resumo - TIMESHEETS'!L:L)</f>
        <v>102458.9888</v>
      </c>
      <c r="U52" s="98">
        <f t="shared" si="11"/>
        <v>102458.9888</v>
      </c>
      <c r="V52" s="131" t="b">
        <v>1</v>
      </c>
      <c r="W52" s="131"/>
      <c r="X52" s="131"/>
      <c r="Y52" s="131"/>
    </row>
    <row r="53" ht="11.25" customHeight="1">
      <c r="A53" s="85"/>
      <c r="B53" s="124" t="s">
        <v>211</v>
      </c>
      <c r="C53" s="117"/>
      <c r="D53" s="117"/>
      <c r="E53" s="168" t="s">
        <v>91</v>
      </c>
      <c r="F53" s="169" t="s">
        <v>42</v>
      </c>
      <c r="G53" s="117"/>
      <c r="H53" s="167">
        <f t="shared" ref="H53:S53" si="16">iferror((xlookup($B53,$B$13:$B$33,H$13:H$33)*(1+H$43))/(H$45*8.8),"")</f>
        <v>135.2333411</v>
      </c>
      <c r="I53" s="167">
        <f t="shared" si="16"/>
        <v>141.3547402</v>
      </c>
      <c r="J53" s="167">
        <f t="shared" si="16"/>
        <v>148.2939395</v>
      </c>
      <c r="K53" s="167">
        <f t="shared" si="16"/>
        <v>142.1626915</v>
      </c>
      <c r="L53" s="167">
        <f t="shared" si="16"/>
        <v>142.0769997</v>
      </c>
      <c r="M53" s="167">
        <f t="shared" si="16"/>
        <v>148.7566752</v>
      </c>
      <c r="N53" s="167">
        <f t="shared" si="16"/>
        <v>130.19192</v>
      </c>
      <c r="O53" s="167">
        <f t="shared" si="16"/>
        <v>136.1915312</v>
      </c>
      <c r="P53" s="167">
        <f t="shared" si="16"/>
        <v>142.0769997</v>
      </c>
      <c r="Q53" s="167">
        <f t="shared" si="16"/>
        <v>135.2333411</v>
      </c>
      <c r="R53" s="167">
        <f t="shared" si="16"/>
        <v>165.3268886</v>
      </c>
      <c r="S53" s="167">
        <f t="shared" si="16"/>
        <v>149.1685829</v>
      </c>
      <c r="T53" s="98">
        <f>SUMIF('Resumo - TIMESHEETS'!E:E,B53,'Resumo - TIMESHEETS'!L:L)</f>
        <v>0</v>
      </c>
      <c r="U53" s="98">
        <f t="shared" si="11"/>
        <v>0</v>
      </c>
      <c r="V53" s="131" t="b">
        <v>1</v>
      </c>
      <c r="W53" s="131"/>
      <c r="X53" s="131"/>
      <c r="Y53" s="131"/>
    </row>
    <row r="54" ht="11.25" customHeight="1">
      <c r="A54" s="85"/>
      <c r="B54" s="124" t="s">
        <v>94</v>
      </c>
      <c r="C54" s="117"/>
      <c r="D54" s="117"/>
      <c r="E54" s="168" t="s">
        <v>91</v>
      </c>
      <c r="F54" s="169" t="s">
        <v>39</v>
      </c>
      <c r="G54" s="117"/>
      <c r="H54" s="167">
        <f t="shared" ref="H54:S54" si="17">iferror((xlookup($B54,$B$13:$B$33,H$13:H$33)*(1+H$43))/(H$45*8.8),"")</f>
        <v>44.36438547</v>
      </c>
      <c r="I54" s="167">
        <f t="shared" si="17"/>
        <v>0</v>
      </c>
      <c r="J54" s="167">
        <f t="shared" si="17"/>
        <v>0</v>
      </c>
      <c r="K54" s="167">
        <f t="shared" si="17"/>
        <v>0</v>
      </c>
      <c r="L54" s="167">
        <f t="shared" si="17"/>
        <v>0</v>
      </c>
      <c r="M54" s="167">
        <f t="shared" si="17"/>
        <v>0</v>
      </c>
      <c r="N54" s="167">
        <f t="shared" si="17"/>
        <v>0</v>
      </c>
      <c r="O54" s="167">
        <f t="shared" si="17"/>
        <v>0</v>
      </c>
      <c r="P54" s="167">
        <f t="shared" si="17"/>
        <v>0</v>
      </c>
      <c r="Q54" s="167">
        <f t="shared" si="17"/>
        <v>0</v>
      </c>
      <c r="R54" s="167">
        <f t="shared" si="17"/>
        <v>0</v>
      </c>
      <c r="S54" s="167">
        <f t="shared" si="17"/>
        <v>0</v>
      </c>
      <c r="T54" s="98">
        <f>SUMIF('Resumo - TIMESHEETS'!E:E,B54,'Resumo - TIMESHEETS'!L:L)</f>
        <v>8285.048987</v>
      </c>
      <c r="U54" s="98">
        <f t="shared" si="11"/>
        <v>8285.048987</v>
      </c>
      <c r="V54" s="131" t="b">
        <v>1</v>
      </c>
      <c r="W54" s="131"/>
      <c r="X54" s="131"/>
      <c r="Y54" s="131"/>
    </row>
    <row r="55" ht="11.25" customHeight="1">
      <c r="A55" s="85"/>
      <c r="B55" s="124" t="s">
        <v>87</v>
      </c>
      <c r="C55" s="117"/>
      <c r="D55" s="117"/>
      <c r="E55" s="168" t="s">
        <v>91</v>
      </c>
      <c r="F55" s="169" t="s">
        <v>41</v>
      </c>
      <c r="G55" s="117"/>
      <c r="H55" s="167">
        <f t="shared" ref="H55:S55" si="18">iferror((xlookup($B55,$B$13:$B$33,H$13:H$33)*(1+H$43))/(H$45*8.8),"")</f>
        <v>22.24602556</v>
      </c>
      <c r="I55" s="167">
        <f t="shared" si="18"/>
        <v>23.25300209</v>
      </c>
      <c r="J55" s="167">
        <f t="shared" si="18"/>
        <v>24.39450761</v>
      </c>
      <c r="K55" s="167">
        <f t="shared" si="18"/>
        <v>23.38591091</v>
      </c>
      <c r="L55" s="167">
        <f t="shared" si="18"/>
        <v>23.37181452</v>
      </c>
      <c r="M55" s="167">
        <f t="shared" si="18"/>
        <v>24.47062812</v>
      </c>
      <c r="N55" s="167">
        <f t="shared" si="18"/>
        <v>22.94574951</v>
      </c>
      <c r="O55" s="167">
        <f t="shared" si="18"/>
        <v>24.00315444</v>
      </c>
      <c r="P55" s="167">
        <f t="shared" si="18"/>
        <v>25.04044219</v>
      </c>
      <c r="Q55" s="167">
        <f t="shared" si="18"/>
        <v>23.83427767</v>
      </c>
      <c r="R55" s="167">
        <f t="shared" si="18"/>
        <v>29.13815767</v>
      </c>
      <c r="S55" s="167">
        <f t="shared" si="18"/>
        <v>26.29032535</v>
      </c>
      <c r="T55" s="98">
        <f>SUMIF('Resumo - TIMESHEETS'!E:E,B55,'Resumo - TIMESHEETS'!L:L)</f>
        <v>17176.40496</v>
      </c>
      <c r="U55" s="98">
        <f t="shared" si="11"/>
        <v>17176.40496</v>
      </c>
      <c r="V55" s="131" t="b">
        <v>1</v>
      </c>
      <c r="W55" s="131"/>
      <c r="X55" s="131"/>
      <c r="Y55" s="131"/>
    </row>
    <row r="56" ht="11.25" customHeight="1">
      <c r="A56" s="85"/>
      <c r="B56" s="124" t="s">
        <v>89</v>
      </c>
      <c r="C56" s="117"/>
      <c r="D56" s="117"/>
      <c r="E56" s="168" t="s">
        <v>91</v>
      </c>
      <c r="F56" s="169" t="s">
        <v>41</v>
      </c>
      <c r="G56" s="117"/>
      <c r="H56" s="167">
        <f t="shared" ref="H56:S56" si="19">iferror((xlookup($B56,$B$13:$B$33,H$13:H$33)*(1+H$43))/(H$45*8.8),"")</f>
        <v>75.07140218</v>
      </c>
      <c r="I56" s="167">
        <f t="shared" si="19"/>
        <v>78.46954356</v>
      </c>
      <c r="J56" s="167">
        <f t="shared" si="19"/>
        <v>82.32166626</v>
      </c>
      <c r="K56" s="167">
        <f t="shared" si="19"/>
        <v>78.91805745</v>
      </c>
      <c r="L56" s="167">
        <f t="shared" si="19"/>
        <v>78.87048779</v>
      </c>
      <c r="M56" s="167">
        <f t="shared" si="19"/>
        <v>82.57854239</v>
      </c>
      <c r="N56" s="167">
        <f t="shared" si="19"/>
        <v>72.27278349</v>
      </c>
      <c r="O56" s="167">
        <f t="shared" si="19"/>
        <v>75.60331741</v>
      </c>
      <c r="P56" s="167">
        <f t="shared" si="19"/>
        <v>78.87048779</v>
      </c>
      <c r="Q56" s="167">
        <f t="shared" si="19"/>
        <v>75.07140218</v>
      </c>
      <c r="R56" s="167">
        <f t="shared" si="19"/>
        <v>91.77708463</v>
      </c>
      <c r="S56" s="167">
        <f t="shared" si="19"/>
        <v>82.80720563</v>
      </c>
      <c r="T56" s="98">
        <f>SUMIF('Resumo - TIMESHEETS'!E:E,B56,'Resumo - TIMESHEETS'!L:L)</f>
        <v>111216.5685</v>
      </c>
      <c r="U56" s="98">
        <f t="shared" si="11"/>
        <v>111216.5685</v>
      </c>
      <c r="V56" s="131" t="b">
        <v>1</v>
      </c>
      <c r="W56" s="131"/>
      <c r="X56" s="131"/>
      <c r="Y56" s="131"/>
    </row>
    <row r="57" ht="11.25" customHeight="1">
      <c r="A57" s="85"/>
      <c r="B57" s="124" t="s">
        <v>138</v>
      </c>
      <c r="C57" s="117"/>
      <c r="D57" s="117"/>
      <c r="E57" s="168" t="s">
        <v>127</v>
      </c>
      <c r="F57" s="169" t="s">
        <v>41</v>
      </c>
      <c r="G57" s="117"/>
      <c r="H57" s="167">
        <f t="shared" ref="H57:S57" si="20">iferror((xlookup($B57,$B$13:$B$33,H$13:H$33)*(1+H$43))/(H$45*8.8),"")</f>
        <v>114.2336265</v>
      </c>
      <c r="I57" s="167">
        <f t="shared" si="20"/>
        <v>119.4044639</v>
      </c>
      <c r="J57" s="167">
        <f t="shared" si="20"/>
        <v>125.2661094</v>
      </c>
      <c r="K57" s="167">
        <f t="shared" si="20"/>
        <v>120.0869524</v>
      </c>
      <c r="L57" s="167">
        <f t="shared" si="20"/>
        <v>120.0145673</v>
      </c>
      <c r="M57" s="167">
        <f t="shared" si="20"/>
        <v>125.6569892</v>
      </c>
      <c r="N57" s="167">
        <f t="shared" si="20"/>
        <v>109.9750626</v>
      </c>
      <c r="O57" s="167">
        <f t="shared" si="20"/>
        <v>115.043024</v>
      </c>
      <c r="P57" s="167">
        <f t="shared" si="20"/>
        <v>120.0145673</v>
      </c>
      <c r="Q57" s="167">
        <f t="shared" si="20"/>
        <v>114.2336265</v>
      </c>
      <c r="R57" s="167">
        <f t="shared" si="20"/>
        <v>139.6540907</v>
      </c>
      <c r="S57" s="167">
        <f t="shared" si="20"/>
        <v>126.0049287</v>
      </c>
      <c r="T57" s="98">
        <f>SUMIF('Resumo - TIMESHEETS'!E:E,B57,'Resumo - TIMESHEETS'!L:L)</f>
        <v>222738.4894</v>
      </c>
      <c r="U57" s="98">
        <f t="shared" si="11"/>
        <v>222738.4894</v>
      </c>
      <c r="V57" s="132" t="b">
        <v>1</v>
      </c>
      <c r="W57" s="131"/>
      <c r="X57" s="131"/>
      <c r="Y57" s="131"/>
    </row>
    <row r="58" ht="11.25" customHeight="1">
      <c r="A58" s="85"/>
      <c r="B58" s="124" t="s">
        <v>92</v>
      </c>
      <c r="C58" s="117"/>
      <c r="D58" s="117"/>
      <c r="E58" s="168" t="s">
        <v>91</v>
      </c>
      <c r="F58" s="169" t="s">
        <v>41</v>
      </c>
      <c r="G58" s="117"/>
      <c r="H58" s="167">
        <f t="shared" ref="H58:S58" si="21">iferror((xlookup($B58,$B$13:$B$33,H$13:H$33)*(1+H$43))/(H$45*8.8),"")</f>
        <v>39.31102479</v>
      </c>
      <c r="I58" s="167">
        <f t="shared" si="21"/>
        <v>41.09045633</v>
      </c>
      <c r="J58" s="167">
        <f t="shared" si="21"/>
        <v>43.10761448</v>
      </c>
      <c r="K58" s="167">
        <f t="shared" si="21"/>
        <v>41.32531994</v>
      </c>
      <c r="L58" s="167">
        <f t="shared" si="21"/>
        <v>41.30041016</v>
      </c>
      <c r="M58" s="167">
        <f t="shared" si="21"/>
        <v>43.24212727</v>
      </c>
      <c r="N58" s="167">
        <f t="shared" si="21"/>
        <v>42.71043796</v>
      </c>
      <c r="O58" s="167">
        <f t="shared" si="21"/>
        <v>44.67865553</v>
      </c>
      <c r="P58" s="167">
        <f t="shared" si="21"/>
        <v>46.60942769</v>
      </c>
      <c r="Q58" s="167">
        <f t="shared" si="21"/>
        <v>44.36431407</v>
      </c>
      <c r="R58" s="167">
        <f t="shared" si="21"/>
        <v>54.23677733</v>
      </c>
      <c r="S58" s="167">
        <f t="shared" si="21"/>
        <v>48.93591893</v>
      </c>
      <c r="T58" s="98">
        <f>SUMIF('Resumo - TIMESHEETS'!E:E,B58,'Resumo - TIMESHEETS'!L:L)</f>
        <v>18270.62139</v>
      </c>
      <c r="U58" s="98">
        <f t="shared" si="11"/>
        <v>18270.62139</v>
      </c>
      <c r="V58" s="132" t="b">
        <v>1</v>
      </c>
      <c r="W58" s="131"/>
      <c r="X58" s="131"/>
      <c r="Y58" s="131"/>
    </row>
    <row r="59" ht="11.25" customHeight="1">
      <c r="A59" s="85"/>
      <c r="B59" s="124" t="s">
        <v>95</v>
      </c>
      <c r="C59" s="117"/>
      <c r="D59" s="117"/>
      <c r="E59" s="168" t="s">
        <v>91</v>
      </c>
      <c r="F59" s="169" t="s">
        <v>41</v>
      </c>
      <c r="G59" s="117"/>
      <c r="H59" s="167">
        <f t="shared" ref="H59:S59" si="22">iferror((xlookup($B59,$B$13:$B$33,H$13:H$33)*(1+H$43))/(H$45*8.8),"")</f>
        <v>11.71696509</v>
      </c>
      <c r="I59" s="167">
        <f t="shared" si="22"/>
        <v>12.24733888</v>
      </c>
      <c r="J59" s="167">
        <f t="shared" si="22"/>
        <v>12.84856899</v>
      </c>
      <c r="K59" s="167">
        <f t="shared" si="22"/>
        <v>12.31734186</v>
      </c>
      <c r="L59" s="167">
        <f t="shared" si="22"/>
        <v>12.3099173</v>
      </c>
      <c r="M59" s="167">
        <f t="shared" si="22"/>
        <v>12.8886616</v>
      </c>
      <c r="N59" s="167">
        <f t="shared" si="22"/>
        <v>11.28016337</v>
      </c>
      <c r="O59" s="167">
        <f t="shared" si="22"/>
        <v>13.00802751</v>
      </c>
      <c r="P59" s="167">
        <f t="shared" si="22"/>
        <v>13.57016477</v>
      </c>
      <c r="Q59" s="167">
        <f t="shared" si="22"/>
        <v>12.91650814</v>
      </c>
      <c r="R59" s="167">
        <f t="shared" si="22"/>
        <v>15.79342094</v>
      </c>
      <c r="S59" s="167">
        <f t="shared" si="22"/>
        <v>14.24984309</v>
      </c>
      <c r="T59" s="98">
        <f>SUMIF('Resumo - TIMESHEETS'!E:E,B59,'Resumo - TIMESHEETS'!L:L)</f>
        <v>14205.74155</v>
      </c>
      <c r="U59" s="98">
        <f t="shared" si="11"/>
        <v>14205.74155</v>
      </c>
      <c r="V59" s="132" t="b">
        <v>1</v>
      </c>
      <c r="W59" s="131"/>
      <c r="X59" s="131"/>
      <c r="Y59" s="131"/>
    </row>
    <row r="60" ht="11.25" customHeight="1">
      <c r="A60" s="85"/>
      <c r="B60" s="124" t="s">
        <v>97</v>
      </c>
      <c r="C60" s="117"/>
      <c r="D60" s="117"/>
      <c r="E60" s="168" t="s">
        <v>91</v>
      </c>
      <c r="F60" s="169" t="s">
        <v>41</v>
      </c>
      <c r="G60" s="117"/>
      <c r="H60" s="167">
        <f t="shared" ref="H60:S60" si="23">iferror((xlookup($B60,$B$13:$B$33,H$13:H$33)*(1+H$43))/(H$45*8.8),"")</f>
        <v>60.9085117</v>
      </c>
      <c r="I60" s="167">
        <f t="shared" si="23"/>
        <v>63.66556336</v>
      </c>
      <c r="J60" s="167">
        <f t="shared" si="23"/>
        <v>66.79094871</v>
      </c>
      <c r="K60" s="167">
        <f t="shared" si="23"/>
        <v>64.0294611</v>
      </c>
      <c r="L60" s="167">
        <f t="shared" si="23"/>
        <v>63.99086588</v>
      </c>
      <c r="M60" s="167">
        <f t="shared" si="23"/>
        <v>66.99936287</v>
      </c>
      <c r="N60" s="167">
        <f t="shared" si="23"/>
        <v>62.00604759</v>
      </c>
      <c r="O60" s="167">
        <f t="shared" si="23"/>
        <v>64.86346133</v>
      </c>
      <c r="P60" s="167">
        <f t="shared" si="23"/>
        <v>67.66651267</v>
      </c>
      <c r="Q60" s="167">
        <f t="shared" si="23"/>
        <v>64.40710751</v>
      </c>
      <c r="R60" s="167">
        <f t="shared" si="23"/>
        <v>78.73968605</v>
      </c>
      <c r="S60" s="167">
        <f t="shared" si="23"/>
        <v>71.04402368</v>
      </c>
      <c r="T60" s="98">
        <f>SUMIF('Resumo - TIMESHEETS'!E:E,B60,'Resumo - TIMESHEETS'!L:L)</f>
        <v>67656.49681</v>
      </c>
      <c r="U60" s="98">
        <f t="shared" si="11"/>
        <v>67656.49681</v>
      </c>
      <c r="V60" s="132" t="b">
        <v>1</v>
      </c>
      <c r="W60" s="131"/>
      <c r="X60" s="131"/>
      <c r="Y60" s="131"/>
    </row>
    <row r="61" ht="11.25" customHeight="1">
      <c r="A61" s="85"/>
      <c r="B61" s="124" t="s">
        <v>98</v>
      </c>
      <c r="C61" s="117"/>
      <c r="D61" s="117"/>
      <c r="E61" s="168" t="s">
        <v>91</v>
      </c>
      <c r="F61" s="169" t="s">
        <v>39</v>
      </c>
      <c r="G61" s="117"/>
      <c r="H61" s="167">
        <f t="shared" ref="H61:S61" si="24">iferror((xlookup($B61,$B$13:$B$33,H$13:H$33)*(1+H$43))/(H$45*8.8),"")</f>
        <v>12.91650814</v>
      </c>
      <c r="I61" s="167">
        <f t="shared" si="24"/>
        <v>13.50117979</v>
      </c>
      <c r="J61" s="167">
        <f t="shared" si="24"/>
        <v>14.16396179</v>
      </c>
      <c r="K61" s="167">
        <f t="shared" si="24"/>
        <v>13.57834943</v>
      </c>
      <c r="L61" s="167">
        <f t="shared" si="24"/>
        <v>13.57016477</v>
      </c>
      <c r="M61" s="167">
        <f t="shared" si="24"/>
        <v>14.20815895</v>
      </c>
      <c r="N61" s="167">
        <f t="shared" si="24"/>
        <v>12.43498814</v>
      </c>
      <c r="O61" s="167">
        <f t="shared" si="24"/>
        <v>13.00802751</v>
      </c>
      <c r="P61" s="167">
        <f t="shared" si="24"/>
        <v>13.57016477</v>
      </c>
      <c r="Q61" s="167">
        <f t="shared" si="24"/>
        <v>12.91650814</v>
      </c>
      <c r="R61" s="167">
        <f t="shared" si="24"/>
        <v>15.79342094</v>
      </c>
      <c r="S61" s="167">
        <f t="shared" si="24"/>
        <v>14.24984309</v>
      </c>
      <c r="T61" s="98">
        <f>SUMIF('Resumo - TIMESHEETS'!E:E,B61,'Resumo - TIMESHEETS'!L:L)</f>
        <v>9378.044915</v>
      </c>
      <c r="U61" s="98">
        <f t="shared" si="11"/>
        <v>9378.044915</v>
      </c>
      <c r="V61" s="132" t="b">
        <v>1</v>
      </c>
      <c r="W61" s="131"/>
      <c r="X61" s="131"/>
      <c r="Y61" s="131"/>
    </row>
    <row r="62" ht="11.25" customHeight="1">
      <c r="A62" s="85"/>
      <c r="B62" s="124" t="s">
        <v>103</v>
      </c>
      <c r="C62" s="117"/>
      <c r="D62" s="117"/>
      <c r="E62" s="168" t="s">
        <v>91</v>
      </c>
      <c r="F62" s="169" t="s">
        <v>41</v>
      </c>
      <c r="G62" s="117"/>
      <c r="H62" s="167">
        <f t="shared" ref="H62:S62" si="25">iferror((xlookup($B62,$B$13:$B$33,H$13:H$33)*(1+H$43))/(H$45*8.8),"")</f>
        <v>53.4545655</v>
      </c>
      <c r="I62" s="167">
        <f t="shared" si="25"/>
        <v>55.87421088</v>
      </c>
      <c r="J62" s="167">
        <f t="shared" si="25"/>
        <v>58.61711349</v>
      </c>
      <c r="K62" s="167">
        <f t="shared" si="25"/>
        <v>56.19357503</v>
      </c>
      <c r="L62" s="167">
        <f t="shared" si="25"/>
        <v>56.15970308</v>
      </c>
      <c r="M62" s="167">
        <f t="shared" si="25"/>
        <v>58.80002205</v>
      </c>
      <c r="N62" s="167">
        <f t="shared" si="25"/>
        <v>51.46181005</v>
      </c>
      <c r="O62" s="167">
        <f t="shared" si="25"/>
        <v>53.83331555</v>
      </c>
      <c r="P62" s="167">
        <f t="shared" si="25"/>
        <v>56.15970308</v>
      </c>
      <c r="Q62" s="167">
        <f t="shared" si="25"/>
        <v>53.45670754</v>
      </c>
      <c r="R62" s="167">
        <f t="shared" si="25"/>
        <v>65.34981342</v>
      </c>
      <c r="S62" s="167">
        <f t="shared" si="25"/>
        <v>58.96281691</v>
      </c>
      <c r="T62" s="98">
        <f>SUMIF('Resumo - TIMESHEETS'!E:E,B62,'Resumo - TIMESHEETS'!L:L)</f>
        <v>2600.707171</v>
      </c>
      <c r="U62" s="98">
        <f t="shared" si="11"/>
        <v>2600.707171</v>
      </c>
      <c r="V62" s="132" t="b">
        <v>1</v>
      </c>
      <c r="W62" s="131"/>
      <c r="X62" s="131"/>
      <c r="Y62" s="131"/>
    </row>
    <row r="63" ht="11.25" customHeight="1">
      <c r="A63" s="85"/>
      <c r="B63" s="124" t="s">
        <v>141</v>
      </c>
      <c r="C63" s="117"/>
      <c r="D63" s="117"/>
      <c r="E63" s="168" t="s">
        <v>91</v>
      </c>
      <c r="F63" s="169" t="s">
        <v>41</v>
      </c>
      <c r="G63" s="117"/>
      <c r="H63" s="167">
        <f t="shared" ref="H63:S63" si="26">iferror((xlookup($B63,$B$13:$B$33,H$13:H$33)*(1+H$43))/(H$45*8.8),"")</f>
        <v>130.3039332</v>
      </c>
      <c r="I63" s="167">
        <f t="shared" si="26"/>
        <v>136.2022004</v>
      </c>
      <c r="J63" s="167">
        <f t="shared" si="26"/>
        <v>142.8884581</v>
      </c>
      <c r="K63" s="167">
        <f t="shared" si="26"/>
        <v>136.9807009</v>
      </c>
      <c r="L63" s="167">
        <f t="shared" si="26"/>
        <v>136.8981327</v>
      </c>
      <c r="M63" s="167">
        <f t="shared" si="26"/>
        <v>143.3343266</v>
      </c>
      <c r="N63" s="167">
        <f t="shared" si="26"/>
        <v>125.4462776</v>
      </c>
      <c r="O63" s="167">
        <f t="shared" si="26"/>
        <v>131.2271962</v>
      </c>
      <c r="P63" s="167">
        <f t="shared" si="26"/>
        <v>136.8981327</v>
      </c>
      <c r="Q63" s="167">
        <f t="shared" si="26"/>
        <v>130.3039332</v>
      </c>
      <c r="R63" s="167">
        <f t="shared" si="26"/>
        <v>159.3005432</v>
      </c>
      <c r="S63" s="167">
        <f t="shared" si="26"/>
        <v>143.7312254</v>
      </c>
      <c r="T63" s="98">
        <f>SUMIF('Resumo - TIMESHEETS'!E:E,B63,'Resumo - TIMESHEETS'!L:L)</f>
        <v>2807.161804</v>
      </c>
      <c r="U63" s="98">
        <f t="shared" si="11"/>
        <v>2807.161804</v>
      </c>
      <c r="V63" s="132" t="b">
        <v>1</v>
      </c>
      <c r="W63" s="131"/>
      <c r="X63" s="131"/>
      <c r="Y63" s="131"/>
    </row>
    <row r="64" ht="11.25" customHeight="1">
      <c r="A64" s="85"/>
      <c r="B64" s="124" t="s">
        <v>99</v>
      </c>
      <c r="C64" s="117"/>
      <c r="D64" s="117"/>
      <c r="E64" s="168" t="s">
        <v>91</v>
      </c>
      <c r="F64" s="169" t="s">
        <v>41</v>
      </c>
      <c r="G64" s="117"/>
      <c r="H64" s="167">
        <f t="shared" ref="H64:S64" si="27">iferror((xlookup($B64,$B$13:$B$33,H$13:H$33)*(1+H$43))/(H$45*8.8),"")</f>
        <v>20.7906514</v>
      </c>
      <c r="I64" s="167">
        <f t="shared" si="27"/>
        <v>21.73174976</v>
      </c>
      <c r="J64" s="167">
        <f t="shared" si="27"/>
        <v>22.79857598</v>
      </c>
      <c r="K64" s="167">
        <f t="shared" si="27"/>
        <v>21.85596345</v>
      </c>
      <c r="L64" s="167">
        <f t="shared" si="27"/>
        <v>21.84278927</v>
      </c>
      <c r="M64" s="167">
        <f t="shared" si="27"/>
        <v>22.86971654</v>
      </c>
      <c r="N64" s="167">
        <f t="shared" si="27"/>
        <v>22.94574951</v>
      </c>
      <c r="O64" s="167">
        <f t="shared" si="27"/>
        <v>24.00315444</v>
      </c>
      <c r="P64" s="167">
        <f t="shared" si="27"/>
        <v>25.04044219</v>
      </c>
      <c r="Q64" s="167">
        <f t="shared" si="27"/>
        <v>23.83427767</v>
      </c>
      <c r="R64" s="167">
        <f t="shared" si="27"/>
        <v>29.13815767</v>
      </c>
      <c r="S64" s="167">
        <f t="shared" si="27"/>
        <v>26.29032535</v>
      </c>
      <c r="T64" s="98">
        <f>SUMIF('Resumo - TIMESHEETS'!E:E,B64,'Resumo - TIMESHEETS'!L:L)</f>
        <v>14936.704</v>
      </c>
      <c r="U64" s="98">
        <f t="shared" si="11"/>
        <v>14936.704</v>
      </c>
      <c r="V64" s="132" t="b">
        <v>1</v>
      </c>
      <c r="W64" s="131"/>
      <c r="X64" s="131"/>
      <c r="Y64" s="131"/>
    </row>
    <row r="65" ht="11.25" customHeight="1">
      <c r="A65" s="85"/>
      <c r="B65" s="124" t="s">
        <v>153</v>
      </c>
      <c r="C65" s="117"/>
      <c r="D65" s="117"/>
      <c r="E65" s="168" t="s">
        <v>91</v>
      </c>
      <c r="F65" s="169" t="s">
        <v>41</v>
      </c>
      <c r="G65" s="117"/>
      <c r="H65" s="167">
        <f t="shared" ref="H65:S65" si="28">iferror((xlookup($B65,$B$13:$B$33,H$13:H$33)*(1+H$43))/(H$45*8.8),"")</f>
        <v>52.76254341</v>
      </c>
      <c r="I65" s="167">
        <f t="shared" si="28"/>
        <v>55.15086409</v>
      </c>
      <c r="J65" s="167">
        <f t="shared" si="28"/>
        <v>57.85825712</v>
      </c>
      <c r="K65" s="167">
        <f t="shared" si="28"/>
        <v>55.46609376</v>
      </c>
      <c r="L65" s="167">
        <f t="shared" si="28"/>
        <v>55.43266031</v>
      </c>
      <c r="M65" s="167">
        <f t="shared" si="28"/>
        <v>58.03879775</v>
      </c>
      <c r="N65" s="167">
        <f t="shared" si="28"/>
        <v>50.79558614</v>
      </c>
      <c r="O65" s="167">
        <f t="shared" si="28"/>
        <v>53.13639017</v>
      </c>
      <c r="P65" s="167">
        <f t="shared" si="28"/>
        <v>55.43266031</v>
      </c>
      <c r="Q65" s="167">
        <f t="shared" si="28"/>
        <v>52.76254341</v>
      </c>
      <c r="R65" s="167">
        <f t="shared" si="28"/>
        <v>64.50382603</v>
      </c>
      <c r="S65" s="167">
        <f t="shared" si="28"/>
        <v>58.19951252</v>
      </c>
      <c r="T65" s="98">
        <f>SUMIF('Resumo - TIMESHEETS'!E:E,B65,'Resumo - TIMESHEETS'!L:L)</f>
        <v>4435.806303</v>
      </c>
      <c r="U65" s="98">
        <f t="shared" si="11"/>
        <v>4435.806303</v>
      </c>
      <c r="V65" s="132" t="b">
        <v>1</v>
      </c>
      <c r="W65" s="131"/>
      <c r="X65" s="131"/>
      <c r="Y65" s="131"/>
    </row>
    <row r="66" ht="11.25" customHeight="1">
      <c r="A66" s="85"/>
      <c r="B66" s="124" t="s">
        <v>112</v>
      </c>
      <c r="C66" s="117"/>
      <c r="D66" s="117"/>
      <c r="E66" s="168" t="s">
        <v>91</v>
      </c>
      <c r="F66" s="169" t="s">
        <v>39</v>
      </c>
      <c r="G66" s="117"/>
      <c r="H66" s="167">
        <f t="shared" ref="H66:S66" si="29">iferror((xlookup($B66,$B$13:$B$33,H$13:H$33)*(1+H$43))/(H$45*8.8),"")</f>
        <v>0</v>
      </c>
      <c r="I66" s="167">
        <f t="shared" si="29"/>
        <v>0</v>
      </c>
      <c r="J66" s="167">
        <f t="shared" si="29"/>
        <v>0</v>
      </c>
      <c r="K66" s="167">
        <f t="shared" si="29"/>
        <v>0</v>
      </c>
      <c r="L66" s="167">
        <f t="shared" si="29"/>
        <v>0</v>
      </c>
      <c r="M66" s="167">
        <f t="shared" si="29"/>
        <v>0</v>
      </c>
      <c r="N66" s="167">
        <f t="shared" si="29"/>
        <v>0</v>
      </c>
      <c r="O66" s="167">
        <f t="shared" si="29"/>
        <v>0</v>
      </c>
      <c r="P66" s="167">
        <f t="shared" si="29"/>
        <v>0</v>
      </c>
      <c r="Q66" s="167">
        <f t="shared" si="29"/>
        <v>47.2082307</v>
      </c>
      <c r="R66" s="167">
        <f t="shared" si="29"/>
        <v>57.71348321</v>
      </c>
      <c r="S66" s="167">
        <f t="shared" si="29"/>
        <v>52.07282723</v>
      </c>
      <c r="T66" s="98">
        <f>SUMIF('Resumo - TIMESHEETS'!E:E,B66,'Resumo - TIMESHEETS'!L:L)</f>
        <v>20165.18288</v>
      </c>
      <c r="U66" s="98">
        <f t="shared" si="11"/>
        <v>20165.18288</v>
      </c>
      <c r="V66" s="132" t="b">
        <v>1</v>
      </c>
      <c r="W66" s="131"/>
      <c r="X66" s="131"/>
      <c r="Y66" s="131"/>
    </row>
    <row r="67">
      <c r="A67" s="135"/>
      <c r="B67" s="124" t="s">
        <v>167</v>
      </c>
      <c r="C67" s="117"/>
      <c r="D67" s="117"/>
      <c r="E67" s="168" t="s">
        <v>91</v>
      </c>
      <c r="F67" s="169" t="s">
        <v>42</v>
      </c>
      <c r="G67" s="117"/>
      <c r="H67" s="167">
        <f t="shared" ref="H67:S67" si="30">iferror((xlookup($B67,$B$13:$B$33,H$13:H$33)*(1+H$43))/(H$45*8.8),"")</f>
        <v>32.13061725</v>
      </c>
      <c r="I67" s="167">
        <f t="shared" si="30"/>
        <v>33.58502435</v>
      </c>
      <c r="J67" s="167">
        <f t="shared" si="30"/>
        <v>35.2337358</v>
      </c>
      <c r="K67" s="167">
        <f t="shared" si="30"/>
        <v>33.77698864</v>
      </c>
      <c r="L67" s="167">
        <f t="shared" si="30"/>
        <v>33.75662879</v>
      </c>
      <c r="M67" s="167">
        <f t="shared" si="30"/>
        <v>35.34367898</v>
      </c>
      <c r="N67" s="167">
        <f t="shared" si="30"/>
        <v>30.93280632</v>
      </c>
      <c r="O67" s="167">
        <f t="shared" si="30"/>
        <v>32.35827738</v>
      </c>
      <c r="P67" s="167">
        <f t="shared" si="30"/>
        <v>33.75662879</v>
      </c>
      <c r="Q67" s="167">
        <f t="shared" si="30"/>
        <v>32.13061725</v>
      </c>
      <c r="R67" s="167">
        <f t="shared" si="30"/>
        <v>37.26816687</v>
      </c>
      <c r="S67" s="167">
        <f t="shared" si="30"/>
        <v>52.30671296</v>
      </c>
      <c r="T67" s="98">
        <f>SUMIF('Resumo - TIMESHEETS'!E:E,B67,'Resumo - TIMESHEETS'!L:L)</f>
        <v>800.2649127</v>
      </c>
      <c r="U67" s="98">
        <f t="shared" si="11"/>
        <v>800.2649127</v>
      </c>
      <c r="V67" s="132" t="b">
        <v>1</v>
      </c>
      <c r="W67" s="135"/>
      <c r="X67" s="135"/>
      <c r="Y67" s="135"/>
    </row>
    <row r="68">
      <c r="A68" s="85"/>
      <c r="B68" s="170"/>
      <c r="C68" s="160"/>
      <c r="D68" s="160"/>
      <c r="E68" s="160"/>
      <c r="F68" s="118"/>
      <c r="G68" s="117"/>
      <c r="H68" s="17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98"/>
      <c r="U68" s="98"/>
      <c r="V68" s="98"/>
      <c r="W68" s="131"/>
      <c r="X68" s="135"/>
      <c r="Y68" s="135"/>
    </row>
    <row r="69">
      <c r="A69" s="85"/>
      <c r="B69" s="170" t="s">
        <v>237</v>
      </c>
      <c r="C69" s="160"/>
      <c r="D69" s="160"/>
      <c r="E69" s="160"/>
      <c r="F69" s="118"/>
      <c r="G69" s="117"/>
      <c r="H69" s="17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98"/>
      <c r="U69" s="98"/>
      <c r="V69" s="98"/>
      <c r="W69" s="131"/>
      <c r="X69" s="135"/>
      <c r="Y69" s="135"/>
    </row>
    <row r="70" ht="11.25" customHeight="1">
      <c r="A70" s="85"/>
      <c r="B70" s="172">
        <v>45292.0</v>
      </c>
      <c r="C70" s="173" t="s">
        <v>238</v>
      </c>
      <c r="D70" s="173" t="s">
        <v>239</v>
      </c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</row>
    <row r="71" ht="11.25" customHeight="1">
      <c r="A71" s="85"/>
      <c r="B71" s="172">
        <v>45380.0</v>
      </c>
      <c r="C71" s="173" t="s">
        <v>240</v>
      </c>
      <c r="D71" s="173" t="s">
        <v>241</v>
      </c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</row>
    <row r="72" ht="11.25" customHeight="1">
      <c r="A72" s="85"/>
      <c r="B72" s="172">
        <v>45383.0</v>
      </c>
      <c r="C72" s="173" t="s">
        <v>238</v>
      </c>
      <c r="D72" s="173" t="s">
        <v>242</v>
      </c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</row>
    <row r="73" ht="11.25" customHeight="1">
      <c r="A73" s="85"/>
      <c r="B73" s="172">
        <v>45413.0</v>
      </c>
      <c r="C73" s="173" t="s">
        <v>243</v>
      </c>
      <c r="D73" s="173" t="s">
        <v>244</v>
      </c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</row>
    <row r="74" ht="11.25" customHeight="1">
      <c r="A74" s="85"/>
      <c r="B74" s="174">
        <v>45442.0</v>
      </c>
      <c r="C74" s="173" t="s">
        <v>245</v>
      </c>
      <c r="D74" s="173" t="s">
        <v>246</v>
      </c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</row>
    <row r="75" ht="11.25" customHeight="1">
      <c r="A75" s="85"/>
      <c r="B75" s="174">
        <v>45596.0</v>
      </c>
      <c r="C75" s="173" t="s">
        <v>245</v>
      </c>
      <c r="D75" s="173" t="s">
        <v>247</v>
      </c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</row>
    <row r="76" ht="11.25" customHeight="1">
      <c r="A76" s="85"/>
      <c r="B76" s="174">
        <v>45611.0</v>
      </c>
      <c r="C76" s="173" t="s">
        <v>240</v>
      </c>
      <c r="D76" s="173" t="s">
        <v>248</v>
      </c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</row>
    <row r="77" ht="11.25" customHeight="1">
      <c r="A77" s="85"/>
      <c r="B77" s="174">
        <v>45616.0</v>
      </c>
      <c r="C77" s="173" t="s">
        <v>243</v>
      </c>
      <c r="D77" s="173" t="s">
        <v>249</v>
      </c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</row>
    <row r="78" ht="11.25" customHeight="1">
      <c r="A78" s="85"/>
      <c r="B78" s="175">
        <v>45651.0</v>
      </c>
      <c r="C78" s="173" t="s">
        <v>243</v>
      </c>
      <c r="D78" s="173" t="s">
        <v>250</v>
      </c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</row>
    <row r="79" ht="11.25" customHeight="1">
      <c r="A79" s="85"/>
      <c r="B79" s="175"/>
      <c r="C79" s="172"/>
      <c r="D79" s="173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</row>
    <row r="80" ht="11.25" customHeight="1">
      <c r="A80" s="85"/>
      <c r="B80" s="174"/>
      <c r="C80" s="172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</row>
    <row r="81" ht="11.25" customHeight="1">
      <c r="A81" s="85"/>
      <c r="B81" s="175"/>
      <c r="C81" s="172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</row>
    <row r="82" ht="11.25" customHeight="1">
      <c r="A82" s="85"/>
      <c r="B82" s="175"/>
      <c r="C82" s="172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</row>
  </sheetData>
  <mergeCells count="2">
    <mergeCell ref="B5:D6"/>
    <mergeCell ref="B35:B3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96C6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31.0"/>
    <col customWidth="1" min="4" max="4" width="30.0"/>
    <col customWidth="1" min="5" max="5" width="12.63"/>
    <col customWidth="1" min="6" max="6" width="12.13"/>
    <col customWidth="1" min="7" max="8" width="7.25"/>
    <col customWidth="1" min="9" max="9" width="33.38"/>
    <col customWidth="1" min="10" max="10" width="31.38"/>
    <col customWidth="1" min="11" max="12" width="12.63"/>
  </cols>
  <sheetData>
    <row r="1" ht="11.25" customHeight="1">
      <c r="A1" s="68"/>
      <c r="B1" s="68"/>
      <c r="C1" s="68"/>
      <c r="D1" s="68"/>
      <c r="E1" s="68"/>
      <c r="F1" s="83"/>
      <c r="G1" s="68"/>
      <c r="H1" s="81"/>
      <c r="I1" s="68"/>
      <c r="J1" s="68"/>
      <c r="K1" s="85"/>
      <c r="L1" s="85"/>
    </row>
    <row r="2">
      <c r="A2" s="68"/>
      <c r="B2" s="69" t="s">
        <v>56</v>
      </c>
      <c r="C2" s="73"/>
      <c r="D2" s="73"/>
      <c r="E2" s="73"/>
      <c r="F2" s="176"/>
      <c r="G2" s="73"/>
      <c r="H2" s="86"/>
      <c r="I2" s="68"/>
      <c r="J2" s="68"/>
      <c r="K2" s="85"/>
      <c r="L2" s="85"/>
    </row>
    <row r="3">
      <c r="A3" s="68"/>
      <c r="B3" s="177" t="s">
        <v>57</v>
      </c>
      <c r="C3" s="73"/>
      <c r="D3" s="73"/>
      <c r="E3" s="73"/>
      <c r="F3" s="176"/>
      <c r="G3" s="73"/>
      <c r="H3" s="86"/>
      <c r="I3" s="68"/>
      <c r="J3" s="68"/>
      <c r="K3" s="85"/>
      <c r="L3" s="85"/>
    </row>
    <row r="4">
      <c r="A4" s="68"/>
      <c r="B4" s="178" t="s">
        <v>251</v>
      </c>
      <c r="C4" s="73"/>
      <c r="D4" s="73"/>
      <c r="E4" s="73"/>
      <c r="F4" s="176"/>
      <c r="G4" s="73"/>
      <c r="H4" s="86"/>
      <c r="I4" s="68"/>
      <c r="J4" s="68"/>
      <c r="K4" s="85"/>
      <c r="L4" s="85"/>
    </row>
    <row r="5">
      <c r="A5" s="68"/>
      <c r="B5" s="179" t="s">
        <v>59</v>
      </c>
      <c r="C5" s="72"/>
      <c r="D5" s="72"/>
      <c r="E5" s="72"/>
      <c r="F5" s="180"/>
      <c r="G5" s="72"/>
      <c r="H5" s="181"/>
      <c r="I5" s="68"/>
      <c r="J5" s="68"/>
      <c r="K5" s="85"/>
      <c r="L5" s="85"/>
    </row>
    <row r="6">
      <c r="A6" s="68"/>
      <c r="B6" s="72"/>
      <c r="C6" s="72"/>
      <c r="D6" s="72"/>
      <c r="E6" s="72"/>
      <c r="F6" s="180"/>
      <c r="G6" s="72"/>
      <c r="H6" s="181"/>
      <c r="I6" s="68"/>
      <c r="J6" s="68"/>
      <c r="K6" s="85"/>
      <c r="L6" s="85"/>
    </row>
    <row r="7">
      <c r="A7" s="68"/>
      <c r="B7" s="73"/>
      <c r="C7" s="82"/>
      <c r="D7" s="82"/>
      <c r="E7" s="82"/>
      <c r="F7" s="182"/>
      <c r="G7" s="82"/>
      <c r="H7" s="81"/>
      <c r="I7" s="68"/>
      <c r="J7" s="68"/>
      <c r="K7" s="85"/>
      <c r="L7" s="85"/>
    </row>
    <row r="8">
      <c r="A8" s="68"/>
      <c r="B8" s="69" t="s">
        <v>60</v>
      </c>
      <c r="C8" s="82"/>
      <c r="D8" s="82"/>
      <c r="E8" s="82"/>
      <c r="F8" s="182"/>
      <c r="G8" s="82"/>
      <c r="H8" s="81"/>
      <c r="I8" s="68"/>
      <c r="J8" s="68"/>
      <c r="K8" s="85"/>
      <c r="L8" s="85"/>
    </row>
    <row r="9">
      <c r="A9" s="68"/>
      <c r="B9" s="70" t="s">
        <v>61</v>
      </c>
      <c r="C9" s="82"/>
      <c r="D9" s="82"/>
      <c r="E9" s="82"/>
      <c r="F9" s="182"/>
      <c r="G9" s="82"/>
      <c r="H9" s="81"/>
      <c r="I9" s="68"/>
      <c r="J9" s="68"/>
      <c r="K9" s="85"/>
      <c r="L9" s="85"/>
    </row>
    <row r="10">
      <c r="A10" s="68"/>
      <c r="B10" s="68"/>
      <c r="C10" s="82"/>
      <c r="D10" s="82"/>
      <c r="E10" s="82"/>
      <c r="F10" s="182"/>
      <c r="G10" s="82"/>
      <c r="H10" s="81"/>
      <c r="I10" s="68"/>
      <c r="J10" s="68"/>
      <c r="K10" s="85"/>
      <c r="L10" s="85"/>
    </row>
    <row r="11">
      <c r="A11" s="68"/>
      <c r="B11" s="74" t="s">
        <v>62</v>
      </c>
      <c r="C11" s="74" t="s">
        <v>74</v>
      </c>
      <c r="D11" s="74" t="s">
        <v>252</v>
      </c>
      <c r="E11" s="183" t="s">
        <v>253</v>
      </c>
      <c r="F11" s="92" t="s">
        <v>254</v>
      </c>
      <c r="G11" s="183" t="s">
        <v>255</v>
      </c>
      <c r="H11" s="184" t="s">
        <v>77</v>
      </c>
      <c r="I11" s="74" t="s">
        <v>256</v>
      </c>
      <c r="J11" s="74" t="s">
        <v>257</v>
      </c>
      <c r="K11" s="185" t="s">
        <v>258</v>
      </c>
      <c r="L11" s="185" t="s">
        <v>84</v>
      </c>
    </row>
    <row r="12" hidden="1">
      <c r="A12" s="68"/>
      <c r="B12" s="77" t="str">
        <f t="array" ref="B12:K107">{'IRIS TERCEIROS'!B12:K579;'NOTIFY TERCEIROS'!B12:K579;'P&amp;D_1 TERCEIROS'!B12:K579;'P&amp;D_2 TERCEIROS'!B12:K579;'P&amp;D_3 TERCEIROS'!B12:K579}</f>
        <v>IRIS</v>
      </c>
      <c r="C12" s="79" t="s">
        <v>86</v>
      </c>
      <c r="D12" s="79" t="s">
        <v>259</v>
      </c>
      <c r="E12" s="186" t="s">
        <v>260</v>
      </c>
      <c r="F12" s="187">
        <v>2288.0</v>
      </c>
      <c r="G12" s="188">
        <v>10353.48</v>
      </c>
      <c r="H12" s="93">
        <v>45307.0</v>
      </c>
      <c r="I12" s="79" t="s">
        <v>88</v>
      </c>
      <c r="J12" s="79" t="s">
        <v>261</v>
      </c>
      <c r="K12" s="124" t="b">
        <v>1</v>
      </c>
      <c r="L12" s="85" t="b">
        <f t="array" ref="L12:L579">XLOOKUP($B$12:$B579,'Resumo - PROJETOS'!$B:$B,'Resumo - PROJETOS'!$C:$C,,0)</f>
        <v>1</v>
      </c>
    </row>
    <row r="13" hidden="1">
      <c r="A13" s="68"/>
      <c r="B13" s="77" t="s">
        <v>66</v>
      </c>
      <c r="C13" s="79" t="s">
        <v>100</v>
      </c>
      <c r="D13" s="79" t="s">
        <v>259</v>
      </c>
      <c r="E13" s="186" t="s">
        <v>260</v>
      </c>
      <c r="F13" s="187">
        <v>2268.0</v>
      </c>
      <c r="G13" s="188">
        <v>18491.0</v>
      </c>
      <c r="H13" s="93">
        <v>45323.0</v>
      </c>
      <c r="I13" s="79" t="s">
        <v>88</v>
      </c>
      <c r="J13" s="79" t="s">
        <v>262</v>
      </c>
      <c r="K13" s="124" t="b">
        <v>1</v>
      </c>
      <c r="L13" s="85" t="b">
        <v>1</v>
      </c>
    </row>
    <row r="14" hidden="1">
      <c r="A14" s="68"/>
      <c r="B14" s="79" t="s">
        <v>66</v>
      </c>
      <c r="C14" s="79" t="s">
        <v>104</v>
      </c>
      <c r="D14" s="79" t="s">
        <v>259</v>
      </c>
      <c r="E14" s="186" t="s">
        <v>260</v>
      </c>
      <c r="F14" s="187">
        <v>2287.0</v>
      </c>
      <c r="G14" s="188">
        <v>16965.07</v>
      </c>
      <c r="H14" s="93">
        <v>45352.0</v>
      </c>
      <c r="I14" s="79" t="s">
        <v>88</v>
      </c>
      <c r="J14" s="79" t="s">
        <v>263</v>
      </c>
      <c r="K14" s="124" t="b">
        <v>1</v>
      </c>
      <c r="L14" s="85" t="b">
        <v>1</v>
      </c>
    </row>
    <row r="15" hidden="1">
      <c r="A15" s="68"/>
      <c r="B15" s="79" t="s">
        <v>66</v>
      </c>
      <c r="C15" s="79" t="s">
        <v>105</v>
      </c>
      <c r="D15" s="79" t="s">
        <v>259</v>
      </c>
      <c r="E15" s="186" t="s">
        <v>260</v>
      </c>
      <c r="F15" s="187" t="s">
        <v>264</v>
      </c>
      <c r="G15" s="188">
        <v>275.0</v>
      </c>
      <c r="H15" s="93">
        <v>45383.0</v>
      </c>
      <c r="I15" s="79" t="s">
        <v>88</v>
      </c>
      <c r="J15" s="79"/>
      <c r="K15" s="124" t="b">
        <v>1</v>
      </c>
      <c r="L15" s="85" t="b">
        <v>1</v>
      </c>
    </row>
    <row r="16" hidden="1">
      <c r="A16" s="68"/>
      <c r="B16" s="79" t="s">
        <v>66</v>
      </c>
      <c r="C16" s="79" t="s">
        <v>106</v>
      </c>
      <c r="D16" s="79" t="s">
        <v>259</v>
      </c>
      <c r="E16" s="186" t="s">
        <v>260</v>
      </c>
      <c r="F16" s="187" t="s">
        <v>264</v>
      </c>
      <c r="G16" s="188">
        <v>14235.0</v>
      </c>
      <c r="H16" s="93">
        <v>45383.0</v>
      </c>
      <c r="I16" s="79" t="s">
        <v>88</v>
      </c>
      <c r="J16" s="79"/>
      <c r="K16" s="124" t="b">
        <v>1</v>
      </c>
      <c r="L16" s="85" t="b">
        <v>1</v>
      </c>
    </row>
    <row r="17" hidden="1">
      <c r="A17" s="68"/>
      <c r="B17" s="79" t="s">
        <v>66</v>
      </c>
      <c r="C17" s="79" t="s">
        <v>105</v>
      </c>
      <c r="D17" s="79" t="s">
        <v>259</v>
      </c>
      <c r="E17" s="186" t="s">
        <v>260</v>
      </c>
      <c r="F17" s="187" t="s">
        <v>265</v>
      </c>
      <c r="G17" s="188">
        <v>4508.0</v>
      </c>
      <c r="H17" s="93">
        <v>45413.0</v>
      </c>
      <c r="I17" s="79" t="s">
        <v>88</v>
      </c>
      <c r="J17" s="79"/>
      <c r="K17" s="124" t="b">
        <v>1</v>
      </c>
      <c r="L17" s="85" t="b">
        <v>1</v>
      </c>
    </row>
    <row r="18" hidden="1">
      <c r="A18" s="68"/>
      <c r="B18" s="79" t="s">
        <v>66</v>
      </c>
      <c r="C18" s="79" t="s">
        <v>266</v>
      </c>
      <c r="D18" s="79" t="s">
        <v>259</v>
      </c>
      <c r="E18" s="186" t="s">
        <v>260</v>
      </c>
      <c r="F18" s="187" t="s">
        <v>265</v>
      </c>
      <c r="G18" s="188">
        <v>6595.0</v>
      </c>
      <c r="H18" s="93">
        <v>45413.0</v>
      </c>
      <c r="I18" s="79" t="s">
        <v>88</v>
      </c>
      <c r="J18" s="79"/>
      <c r="K18" s="124" t="b">
        <v>1</v>
      </c>
      <c r="L18" s="189" t="b">
        <v>1</v>
      </c>
    </row>
    <row r="19" hidden="1">
      <c r="A19" s="68"/>
      <c r="B19" s="79" t="s">
        <v>66</v>
      </c>
      <c r="C19" s="79" t="s">
        <v>105</v>
      </c>
      <c r="D19" s="79" t="s">
        <v>259</v>
      </c>
      <c r="E19" s="186" t="s">
        <v>260</v>
      </c>
      <c r="F19" s="187" t="s">
        <v>267</v>
      </c>
      <c r="G19" s="188">
        <v>10940.0</v>
      </c>
      <c r="H19" s="93">
        <v>45444.0</v>
      </c>
      <c r="I19" s="79" t="s">
        <v>88</v>
      </c>
      <c r="J19" s="79"/>
      <c r="K19" s="124" t="b">
        <v>1</v>
      </c>
      <c r="L19" s="85" t="b">
        <v>1</v>
      </c>
    </row>
    <row r="20" hidden="1">
      <c r="A20" s="68"/>
      <c r="B20" s="79" t="s">
        <v>66</v>
      </c>
      <c r="C20" s="79" t="s">
        <v>108</v>
      </c>
      <c r="D20" s="79" t="s">
        <v>259</v>
      </c>
      <c r="E20" s="186" t="s">
        <v>260</v>
      </c>
      <c r="F20" s="187" t="s">
        <v>268</v>
      </c>
      <c r="G20" s="188">
        <v>1180.0</v>
      </c>
      <c r="H20" s="93">
        <v>45474.0</v>
      </c>
      <c r="I20" s="79" t="s">
        <v>88</v>
      </c>
      <c r="J20" s="79" t="s">
        <v>269</v>
      </c>
      <c r="K20" s="124" t="b">
        <v>1</v>
      </c>
      <c r="L20" s="85" t="b">
        <v>1</v>
      </c>
    </row>
    <row r="21" hidden="1">
      <c r="A21" s="68"/>
      <c r="B21" s="79" t="s">
        <v>66</v>
      </c>
      <c r="C21" s="79" t="s">
        <v>109</v>
      </c>
      <c r="D21" s="79" t="s">
        <v>259</v>
      </c>
      <c r="E21" s="186" t="s">
        <v>260</v>
      </c>
      <c r="F21" s="187" t="s">
        <v>268</v>
      </c>
      <c r="G21" s="188">
        <v>1607.0</v>
      </c>
      <c r="H21" s="93">
        <v>45474.0</v>
      </c>
      <c r="I21" s="79" t="s">
        <v>96</v>
      </c>
      <c r="J21" s="79" t="s">
        <v>270</v>
      </c>
      <c r="K21" s="124" t="b">
        <v>1</v>
      </c>
      <c r="L21" s="85" t="b">
        <v>1</v>
      </c>
    </row>
    <row r="22" hidden="1">
      <c r="A22" s="68"/>
      <c r="B22" s="79" t="s">
        <v>66</v>
      </c>
      <c r="C22" s="79" t="s">
        <v>108</v>
      </c>
      <c r="D22" s="79" t="s">
        <v>259</v>
      </c>
      <c r="E22" s="186" t="s">
        <v>260</v>
      </c>
      <c r="F22" s="187" t="s">
        <v>271</v>
      </c>
      <c r="G22" s="188">
        <v>2623.0</v>
      </c>
      <c r="H22" s="93">
        <v>45505.0</v>
      </c>
      <c r="I22" s="79" t="s">
        <v>88</v>
      </c>
      <c r="J22" s="79" t="s">
        <v>272</v>
      </c>
      <c r="K22" s="124" t="b">
        <v>1</v>
      </c>
      <c r="L22" s="85" t="b">
        <v>1</v>
      </c>
    </row>
    <row r="23" hidden="1">
      <c r="A23" s="68"/>
      <c r="B23" s="79" t="s">
        <v>66</v>
      </c>
      <c r="C23" s="79" t="s">
        <v>109</v>
      </c>
      <c r="D23" s="79" t="s">
        <v>259</v>
      </c>
      <c r="E23" s="186" t="s">
        <v>260</v>
      </c>
      <c r="F23" s="187" t="s">
        <v>271</v>
      </c>
      <c r="G23" s="188">
        <v>2357.0</v>
      </c>
      <c r="H23" s="93">
        <v>45505.0</v>
      </c>
      <c r="I23" s="79" t="s">
        <v>96</v>
      </c>
      <c r="J23" s="79" t="s">
        <v>273</v>
      </c>
      <c r="K23" s="124" t="b">
        <v>1</v>
      </c>
      <c r="L23" s="85" t="b">
        <v>1</v>
      </c>
    </row>
    <row r="24" hidden="1">
      <c r="A24" s="68"/>
      <c r="B24" s="79" t="s">
        <v>66</v>
      </c>
      <c r="C24" s="79" t="s">
        <v>110</v>
      </c>
      <c r="D24" s="79" t="s">
        <v>259</v>
      </c>
      <c r="E24" s="186" t="s">
        <v>260</v>
      </c>
      <c r="F24" s="187" t="s">
        <v>274</v>
      </c>
      <c r="G24" s="188">
        <v>2332.0</v>
      </c>
      <c r="H24" s="93">
        <v>45536.0</v>
      </c>
      <c r="I24" s="79" t="s">
        <v>88</v>
      </c>
      <c r="J24" s="79" t="s">
        <v>275</v>
      </c>
      <c r="K24" s="124" t="b">
        <v>1</v>
      </c>
      <c r="L24" s="85" t="b">
        <v>1</v>
      </c>
    </row>
    <row r="25" hidden="1">
      <c r="A25" s="116"/>
      <c r="B25" s="79" t="s">
        <v>66</v>
      </c>
      <c r="C25" s="79" t="s">
        <v>109</v>
      </c>
      <c r="D25" s="79" t="s">
        <v>259</v>
      </c>
      <c r="E25" s="186" t="s">
        <v>260</v>
      </c>
      <c r="F25" s="187" t="s">
        <v>274</v>
      </c>
      <c r="G25" s="188">
        <v>5935.0</v>
      </c>
      <c r="H25" s="93">
        <v>45536.0</v>
      </c>
      <c r="I25" s="79" t="s">
        <v>96</v>
      </c>
      <c r="J25" s="79" t="s">
        <v>276</v>
      </c>
      <c r="K25" s="124" t="b">
        <v>1</v>
      </c>
      <c r="L25" s="85" t="b">
        <v>1</v>
      </c>
    </row>
    <row r="26">
      <c r="A26" s="68"/>
      <c r="B26" s="79" t="s">
        <v>119</v>
      </c>
      <c r="C26" s="79" t="s">
        <v>120</v>
      </c>
      <c r="D26" s="79" t="s">
        <v>277</v>
      </c>
      <c r="E26" s="186" t="s">
        <v>278</v>
      </c>
      <c r="F26" s="187">
        <v>650.0</v>
      </c>
      <c r="G26" s="188">
        <v>32040.0</v>
      </c>
      <c r="H26" s="93">
        <v>45293.0</v>
      </c>
      <c r="I26" s="79" t="s">
        <v>279</v>
      </c>
      <c r="J26" s="79" t="s">
        <v>280</v>
      </c>
      <c r="K26" s="124" t="b">
        <v>1</v>
      </c>
      <c r="L26" s="85" t="b">
        <v>1</v>
      </c>
    </row>
    <row r="27">
      <c r="A27" s="68"/>
      <c r="B27" s="79" t="s">
        <v>119</v>
      </c>
      <c r="C27" s="79" t="s">
        <v>134</v>
      </c>
      <c r="D27" s="79" t="s">
        <v>281</v>
      </c>
      <c r="E27" s="186" t="s">
        <v>282</v>
      </c>
      <c r="F27" s="187">
        <v>3169.0</v>
      </c>
      <c r="G27" s="188">
        <v>19849.28</v>
      </c>
      <c r="H27" s="93">
        <v>45308.0</v>
      </c>
      <c r="I27" s="79" t="s">
        <v>279</v>
      </c>
      <c r="J27" s="79" t="s">
        <v>283</v>
      </c>
      <c r="K27" s="124" t="b">
        <v>1</v>
      </c>
      <c r="L27" s="85" t="b">
        <v>1</v>
      </c>
    </row>
    <row r="28">
      <c r="A28" s="68"/>
      <c r="B28" s="79" t="s">
        <v>119</v>
      </c>
      <c r="C28" s="79" t="s">
        <v>120</v>
      </c>
      <c r="D28" s="79" t="s">
        <v>281</v>
      </c>
      <c r="E28" s="186" t="s">
        <v>282</v>
      </c>
      <c r="F28" s="187">
        <v>3169.0</v>
      </c>
      <c r="G28" s="188">
        <v>19849.28</v>
      </c>
      <c r="H28" s="93">
        <v>45308.0</v>
      </c>
      <c r="I28" s="79" t="s">
        <v>279</v>
      </c>
      <c r="J28" s="79" t="s">
        <v>283</v>
      </c>
      <c r="K28" s="124" t="b">
        <v>1</v>
      </c>
      <c r="L28" s="85" t="b">
        <v>1</v>
      </c>
    </row>
    <row r="29">
      <c r="A29" s="68"/>
      <c r="B29" s="79" t="s">
        <v>119</v>
      </c>
      <c r="C29" s="79" t="s">
        <v>134</v>
      </c>
      <c r="D29" s="79" t="s">
        <v>284</v>
      </c>
      <c r="E29" s="186" t="s">
        <v>285</v>
      </c>
      <c r="F29" s="187" t="s">
        <v>286</v>
      </c>
      <c r="G29" s="188">
        <v>5412.76</v>
      </c>
      <c r="H29" s="93">
        <v>45293.0</v>
      </c>
      <c r="I29" s="79" t="s">
        <v>287</v>
      </c>
      <c r="J29" s="79" t="s">
        <v>288</v>
      </c>
      <c r="K29" s="124" t="b">
        <v>1</v>
      </c>
      <c r="L29" s="85" t="b">
        <v>1</v>
      </c>
    </row>
    <row r="30">
      <c r="A30" s="68"/>
      <c r="B30" s="79" t="s">
        <v>119</v>
      </c>
      <c r="C30" s="79" t="s">
        <v>120</v>
      </c>
      <c r="D30" s="79" t="s">
        <v>284</v>
      </c>
      <c r="E30" s="186" t="s">
        <v>285</v>
      </c>
      <c r="F30" s="187" t="s">
        <v>286</v>
      </c>
      <c r="G30" s="188">
        <v>5412.76</v>
      </c>
      <c r="H30" s="93">
        <v>45293.0</v>
      </c>
      <c r="I30" s="79" t="s">
        <v>287</v>
      </c>
      <c r="J30" s="79" t="s">
        <v>288</v>
      </c>
      <c r="K30" s="124" t="b">
        <v>1</v>
      </c>
      <c r="L30" s="85" t="b">
        <v>1</v>
      </c>
    </row>
    <row r="31">
      <c r="A31" s="68"/>
      <c r="B31" s="79" t="s">
        <v>119</v>
      </c>
      <c r="C31" s="79" t="s">
        <v>134</v>
      </c>
      <c r="D31" s="79" t="s">
        <v>277</v>
      </c>
      <c r="E31" s="186" t="s">
        <v>278</v>
      </c>
      <c r="F31" s="187">
        <v>684.0</v>
      </c>
      <c r="G31" s="188">
        <v>32040.0</v>
      </c>
      <c r="H31" s="93">
        <v>45323.0</v>
      </c>
      <c r="I31" s="79" t="s">
        <v>279</v>
      </c>
      <c r="J31" s="79" t="s">
        <v>280</v>
      </c>
      <c r="K31" s="124" t="b">
        <v>1</v>
      </c>
      <c r="L31" s="85" t="b">
        <v>1</v>
      </c>
    </row>
    <row r="32">
      <c r="A32" s="68"/>
      <c r="B32" s="79" t="s">
        <v>119</v>
      </c>
      <c r="C32" s="79" t="s">
        <v>134</v>
      </c>
      <c r="D32" s="79" t="s">
        <v>281</v>
      </c>
      <c r="E32" s="186" t="s">
        <v>282</v>
      </c>
      <c r="F32" s="187">
        <v>3188.0</v>
      </c>
      <c r="G32" s="188">
        <v>22059.44</v>
      </c>
      <c r="H32" s="93">
        <v>45328.0</v>
      </c>
      <c r="I32" s="79" t="s">
        <v>279</v>
      </c>
      <c r="J32" s="79" t="s">
        <v>289</v>
      </c>
      <c r="K32" s="124" t="b">
        <v>1</v>
      </c>
      <c r="L32" s="85" t="b">
        <v>1</v>
      </c>
    </row>
    <row r="33">
      <c r="A33" s="68"/>
      <c r="B33" s="79" t="s">
        <v>119</v>
      </c>
      <c r="C33" s="79" t="s">
        <v>120</v>
      </c>
      <c r="D33" s="79" t="s">
        <v>281</v>
      </c>
      <c r="E33" s="186" t="s">
        <v>282</v>
      </c>
      <c r="F33" s="187">
        <v>3188.0</v>
      </c>
      <c r="G33" s="188">
        <v>22059.44</v>
      </c>
      <c r="H33" s="93">
        <v>45328.0</v>
      </c>
      <c r="I33" s="79" t="s">
        <v>279</v>
      </c>
      <c r="J33" s="79" t="s">
        <v>289</v>
      </c>
      <c r="K33" s="124" t="b">
        <v>1</v>
      </c>
      <c r="L33" s="85" t="b">
        <v>1</v>
      </c>
    </row>
    <row r="34">
      <c r="A34" s="68"/>
      <c r="B34" s="79" t="s">
        <v>119</v>
      </c>
      <c r="C34" s="79" t="s">
        <v>134</v>
      </c>
      <c r="D34" s="79" t="s">
        <v>284</v>
      </c>
      <c r="E34" s="186" t="s">
        <v>285</v>
      </c>
      <c r="F34" s="187" t="s">
        <v>290</v>
      </c>
      <c r="G34" s="188">
        <v>5496.54</v>
      </c>
      <c r="H34" s="93">
        <v>45324.0</v>
      </c>
      <c r="I34" s="79" t="s">
        <v>287</v>
      </c>
      <c r="J34" s="79" t="s">
        <v>291</v>
      </c>
      <c r="K34" s="124" t="b">
        <v>1</v>
      </c>
      <c r="L34" s="85" t="b">
        <v>1</v>
      </c>
    </row>
    <row r="35">
      <c r="A35" s="68"/>
      <c r="B35" s="79" t="s">
        <v>119</v>
      </c>
      <c r="C35" s="79" t="s">
        <v>120</v>
      </c>
      <c r="D35" s="79" t="s">
        <v>284</v>
      </c>
      <c r="E35" s="186" t="s">
        <v>285</v>
      </c>
      <c r="F35" s="187" t="s">
        <v>290</v>
      </c>
      <c r="G35" s="188">
        <v>5496.54</v>
      </c>
      <c r="H35" s="93">
        <v>45324.0</v>
      </c>
      <c r="I35" s="79" t="s">
        <v>287</v>
      </c>
      <c r="J35" s="79" t="s">
        <v>291</v>
      </c>
      <c r="K35" s="124" t="b">
        <v>1</v>
      </c>
      <c r="L35" s="85" t="b">
        <v>1</v>
      </c>
    </row>
    <row r="36">
      <c r="A36" s="68"/>
      <c r="B36" s="79" t="s">
        <v>119</v>
      </c>
      <c r="C36" s="79" t="s">
        <v>134</v>
      </c>
      <c r="D36" s="79" t="s">
        <v>277</v>
      </c>
      <c r="E36" s="186" t="s">
        <v>278</v>
      </c>
      <c r="F36" s="187">
        <v>710.0</v>
      </c>
      <c r="G36" s="188">
        <v>32040.0</v>
      </c>
      <c r="H36" s="93">
        <v>45355.0</v>
      </c>
      <c r="I36" s="79" t="s">
        <v>279</v>
      </c>
      <c r="J36" s="79" t="s">
        <v>280</v>
      </c>
      <c r="K36" s="124" t="b">
        <v>1</v>
      </c>
      <c r="L36" s="85" t="b">
        <v>1</v>
      </c>
    </row>
    <row r="37">
      <c r="A37" s="68"/>
      <c r="B37" s="79" t="s">
        <v>119</v>
      </c>
      <c r="C37" s="79" t="s">
        <v>134</v>
      </c>
      <c r="D37" s="79" t="s">
        <v>281</v>
      </c>
      <c r="E37" s="186" t="s">
        <v>282</v>
      </c>
      <c r="F37" s="187">
        <v>3225.0</v>
      </c>
      <c r="G37" s="188">
        <v>16057.73</v>
      </c>
      <c r="H37" s="93">
        <v>45359.0</v>
      </c>
      <c r="I37" s="79" t="s">
        <v>279</v>
      </c>
      <c r="J37" s="79" t="s">
        <v>292</v>
      </c>
      <c r="K37" s="124" t="b">
        <v>1</v>
      </c>
      <c r="L37" s="85" t="b">
        <v>1</v>
      </c>
    </row>
    <row r="38">
      <c r="A38" s="68"/>
      <c r="B38" s="79" t="s">
        <v>119</v>
      </c>
      <c r="C38" s="79" t="s">
        <v>123</v>
      </c>
      <c r="D38" s="79" t="s">
        <v>281</v>
      </c>
      <c r="E38" s="186" t="s">
        <v>282</v>
      </c>
      <c r="F38" s="187">
        <v>3228.0</v>
      </c>
      <c r="G38" s="188">
        <v>16057.73</v>
      </c>
      <c r="H38" s="93">
        <v>45359.0</v>
      </c>
      <c r="I38" s="79" t="s">
        <v>279</v>
      </c>
      <c r="J38" s="79" t="s">
        <v>292</v>
      </c>
      <c r="K38" s="124" t="b">
        <v>1</v>
      </c>
      <c r="L38" s="85" t="b">
        <v>1</v>
      </c>
    </row>
    <row r="39">
      <c r="A39" s="68"/>
      <c r="B39" s="79" t="s">
        <v>119</v>
      </c>
      <c r="C39" s="79" t="s">
        <v>145</v>
      </c>
      <c r="D39" s="79" t="s">
        <v>281</v>
      </c>
      <c r="E39" s="186" t="s">
        <v>282</v>
      </c>
      <c r="F39" s="187">
        <v>3228.0</v>
      </c>
      <c r="G39" s="188">
        <v>16057.73</v>
      </c>
      <c r="H39" s="93">
        <v>45359.0</v>
      </c>
      <c r="I39" s="79" t="s">
        <v>279</v>
      </c>
      <c r="J39" s="79" t="s">
        <v>292</v>
      </c>
      <c r="K39" s="124" t="b">
        <v>1</v>
      </c>
      <c r="L39" s="85" t="b">
        <v>1</v>
      </c>
    </row>
    <row r="40">
      <c r="A40" s="68"/>
      <c r="B40" s="79" t="s">
        <v>119</v>
      </c>
      <c r="C40" s="79" t="s">
        <v>134</v>
      </c>
      <c r="D40" s="79" t="s">
        <v>284</v>
      </c>
      <c r="E40" s="186" t="s">
        <v>285</v>
      </c>
      <c r="F40" s="187" t="s">
        <v>293</v>
      </c>
      <c r="G40" s="188">
        <v>5486.78</v>
      </c>
      <c r="H40" s="93">
        <v>45353.0</v>
      </c>
      <c r="I40" s="79" t="s">
        <v>287</v>
      </c>
      <c r="J40" s="79" t="s">
        <v>294</v>
      </c>
      <c r="K40" s="124" t="b">
        <v>1</v>
      </c>
      <c r="L40" s="85" t="b">
        <v>1</v>
      </c>
    </row>
    <row r="41">
      <c r="A41" s="68"/>
      <c r="B41" s="79" t="s">
        <v>119</v>
      </c>
      <c r="C41" s="79" t="s">
        <v>123</v>
      </c>
      <c r="D41" s="79" t="s">
        <v>284</v>
      </c>
      <c r="E41" s="186" t="s">
        <v>285</v>
      </c>
      <c r="F41" s="187" t="s">
        <v>293</v>
      </c>
      <c r="G41" s="188">
        <v>5486.78</v>
      </c>
      <c r="H41" s="93">
        <v>45353.0</v>
      </c>
      <c r="I41" s="79" t="s">
        <v>287</v>
      </c>
      <c r="J41" s="79" t="s">
        <v>294</v>
      </c>
      <c r="K41" s="124" t="b">
        <v>1</v>
      </c>
      <c r="L41" s="85" t="b">
        <v>1</v>
      </c>
    </row>
    <row r="42">
      <c r="A42" s="68"/>
      <c r="B42" s="79" t="s">
        <v>119</v>
      </c>
      <c r="C42" s="79" t="s">
        <v>134</v>
      </c>
      <c r="D42" s="79" t="s">
        <v>277</v>
      </c>
      <c r="E42" s="186" t="s">
        <v>278</v>
      </c>
      <c r="F42" s="187">
        <v>729.0</v>
      </c>
      <c r="G42" s="188">
        <v>32040.0</v>
      </c>
      <c r="H42" s="93">
        <v>45383.0</v>
      </c>
      <c r="I42" s="79" t="s">
        <v>295</v>
      </c>
      <c r="J42" s="79" t="s">
        <v>280</v>
      </c>
      <c r="K42" s="124" t="b">
        <v>1</v>
      </c>
      <c r="L42" s="85" t="b">
        <v>1</v>
      </c>
    </row>
    <row r="43">
      <c r="A43" s="68"/>
      <c r="B43" s="79" t="s">
        <v>119</v>
      </c>
      <c r="C43" s="79" t="s">
        <v>134</v>
      </c>
      <c r="D43" s="79" t="s">
        <v>281</v>
      </c>
      <c r="E43" s="186" t="s">
        <v>282</v>
      </c>
      <c r="F43" s="187">
        <v>3266.0</v>
      </c>
      <c r="G43" s="190">
        <v>14884.61</v>
      </c>
      <c r="H43" s="93">
        <v>45386.0</v>
      </c>
      <c r="I43" s="79" t="s">
        <v>295</v>
      </c>
      <c r="J43" s="79" t="s">
        <v>296</v>
      </c>
      <c r="K43" s="124" t="b">
        <v>1</v>
      </c>
      <c r="L43" s="85" t="b">
        <v>1</v>
      </c>
    </row>
    <row r="44">
      <c r="A44" s="68"/>
      <c r="B44" s="79" t="s">
        <v>119</v>
      </c>
      <c r="C44" s="79" t="s">
        <v>123</v>
      </c>
      <c r="D44" s="79" t="s">
        <v>281</v>
      </c>
      <c r="E44" s="186" t="s">
        <v>282</v>
      </c>
      <c r="F44" s="187">
        <v>3266.0</v>
      </c>
      <c r="G44" s="191">
        <v>14884.61</v>
      </c>
      <c r="H44" s="93">
        <v>45386.0</v>
      </c>
      <c r="I44" s="79" t="s">
        <v>295</v>
      </c>
      <c r="J44" s="79" t="s">
        <v>296</v>
      </c>
      <c r="K44" s="124" t="b">
        <v>1</v>
      </c>
      <c r="L44" s="85" t="b">
        <v>1</v>
      </c>
    </row>
    <row r="45">
      <c r="A45" s="68"/>
      <c r="B45" s="79" t="s">
        <v>119</v>
      </c>
      <c r="C45" s="79" t="s">
        <v>145</v>
      </c>
      <c r="D45" s="79" t="s">
        <v>281</v>
      </c>
      <c r="E45" s="186" t="s">
        <v>282</v>
      </c>
      <c r="F45" s="187">
        <v>3266.0</v>
      </c>
      <c r="G45" s="191">
        <v>14884.61</v>
      </c>
      <c r="H45" s="93">
        <v>45386.0</v>
      </c>
      <c r="I45" s="79" t="s">
        <v>295</v>
      </c>
      <c r="J45" s="79" t="s">
        <v>296</v>
      </c>
      <c r="K45" s="124" t="b">
        <v>1</v>
      </c>
      <c r="L45" s="85" t="b">
        <v>1</v>
      </c>
    </row>
    <row r="46">
      <c r="A46" s="68"/>
      <c r="B46" s="79" t="s">
        <v>119</v>
      </c>
      <c r="C46" s="79" t="s">
        <v>134</v>
      </c>
      <c r="D46" s="79" t="s">
        <v>284</v>
      </c>
      <c r="E46" s="186" t="s">
        <v>285</v>
      </c>
      <c r="F46" s="187" t="s">
        <v>297</v>
      </c>
      <c r="G46" s="188">
        <v>6465.15</v>
      </c>
      <c r="H46" s="93">
        <v>45384.0</v>
      </c>
      <c r="I46" s="79" t="s">
        <v>287</v>
      </c>
      <c r="J46" s="79" t="s">
        <v>298</v>
      </c>
      <c r="K46" s="124" t="b">
        <v>1</v>
      </c>
      <c r="L46" s="85" t="b">
        <v>1</v>
      </c>
    </row>
    <row r="47">
      <c r="A47" s="68"/>
      <c r="B47" s="79" t="s">
        <v>119</v>
      </c>
      <c r="C47" s="79" t="s">
        <v>123</v>
      </c>
      <c r="D47" s="79" t="s">
        <v>284</v>
      </c>
      <c r="E47" s="186" t="s">
        <v>285</v>
      </c>
      <c r="F47" s="187" t="s">
        <v>297</v>
      </c>
      <c r="G47" s="188">
        <v>6465.15</v>
      </c>
      <c r="H47" s="93">
        <v>45384.0</v>
      </c>
      <c r="I47" s="79" t="s">
        <v>287</v>
      </c>
      <c r="J47" s="79" t="s">
        <v>298</v>
      </c>
      <c r="K47" s="124" t="b">
        <v>1</v>
      </c>
      <c r="L47" s="85" t="b">
        <v>1</v>
      </c>
    </row>
    <row r="48">
      <c r="A48" s="68"/>
      <c r="B48" s="79" t="s">
        <v>119</v>
      </c>
      <c r="C48" s="79" t="s">
        <v>134</v>
      </c>
      <c r="D48" s="79" t="s">
        <v>277</v>
      </c>
      <c r="E48" s="186" t="s">
        <v>278</v>
      </c>
      <c r="F48" s="187">
        <v>757.0</v>
      </c>
      <c r="G48" s="188">
        <v>32040.0</v>
      </c>
      <c r="H48" s="93">
        <v>45414.0</v>
      </c>
      <c r="I48" s="79" t="s">
        <v>295</v>
      </c>
      <c r="J48" s="79" t="s">
        <v>280</v>
      </c>
      <c r="K48" s="124" t="b">
        <v>1</v>
      </c>
      <c r="L48" s="85" t="b">
        <v>1</v>
      </c>
    </row>
    <row r="49">
      <c r="A49" s="68"/>
      <c r="B49" s="79" t="s">
        <v>119</v>
      </c>
      <c r="C49" s="79" t="s">
        <v>134</v>
      </c>
      <c r="D49" s="79" t="s">
        <v>281</v>
      </c>
      <c r="E49" s="186" t="s">
        <v>282</v>
      </c>
      <c r="F49" s="187">
        <v>3317.0</v>
      </c>
      <c r="G49" s="188">
        <v>14668.75</v>
      </c>
      <c r="H49" s="93">
        <v>45422.0</v>
      </c>
      <c r="I49" s="79" t="s">
        <v>295</v>
      </c>
      <c r="J49" s="79" t="s">
        <v>299</v>
      </c>
      <c r="K49" s="124" t="b">
        <v>1</v>
      </c>
      <c r="L49" s="85" t="b">
        <v>1</v>
      </c>
    </row>
    <row r="50">
      <c r="A50" s="68"/>
      <c r="B50" s="79" t="s">
        <v>119</v>
      </c>
      <c r="C50" s="79" t="s">
        <v>123</v>
      </c>
      <c r="D50" s="79" t="s">
        <v>281</v>
      </c>
      <c r="E50" s="186" t="s">
        <v>282</v>
      </c>
      <c r="F50" s="187">
        <v>3317.0</v>
      </c>
      <c r="G50" s="188">
        <v>14668.75</v>
      </c>
      <c r="H50" s="93">
        <v>45422.0</v>
      </c>
      <c r="I50" s="79" t="s">
        <v>295</v>
      </c>
      <c r="J50" s="79" t="s">
        <v>299</v>
      </c>
      <c r="K50" s="124" t="b">
        <v>1</v>
      </c>
      <c r="L50" s="85" t="b">
        <v>1</v>
      </c>
    </row>
    <row r="51">
      <c r="A51" s="68"/>
      <c r="B51" s="79" t="s">
        <v>119</v>
      </c>
      <c r="C51" s="79" t="s">
        <v>145</v>
      </c>
      <c r="D51" s="79" t="s">
        <v>281</v>
      </c>
      <c r="E51" s="186" t="s">
        <v>282</v>
      </c>
      <c r="F51" s="187">
        <v>3317.0</v>
      </c>
      <c r="G51" s="188">
        <v>14668.75</v>
      </c>
      <c r="H51" s="93">
        <v>45422.0</v>
      </c>
      <c r="I51" s="79" t="s">
        <v>295</v>
      </c>
      <c r="J51" s="79" t="s">
        <v>299</v>
      </c>
      <c r="K51" s="124" t="b">
        <v>1</v>
      </c>
      <c r="L51" s="85" t="b">
        <v>1</v>
      </c>
    </row>
    <row r="52">
      <c r="A52" s="68"/>
      <c r="B52" s="79" t="s">
        <v>119</v>
      </c>
      <c r="C52" s="79" t="s">
        <v>134</v>
      </c>
      <c r="D52" s="79" t="s">
        <v>284</v>
      </c>
      <c r="E52" s="186" t="s">
        <v>285</v>
      </c>
      <c r="F52" s="187" t="s">
        <v>300</v>
      </c>
      <c r="G52" s="188">
        <v>10010.61</v>
      </c>
      <c r="H52" s="93">
        <v>45414.0</v>
      </c>
      <c r="I52" s="79" t="s">
        <v>287</v>
      </c>
      <c r="J52" s="79" t="s">
        <v>301</v>
      </c>
      <c r="K52" s="124" t="b">
        <v>1</v>
      </c>
      <c r="L52" s="85" t="b">
        <v>1</v>
      </c>
    </row>
    <row r="53">
      <c r="A53" s="68"/>
      <c r="B53" s="79" t="s">
        <v>119</v>
      </c>
      <c r="C53" s="79" t="s">
        <v>123</v>
      </c>
      <c r="D53" s="79" t="s">
        <v>284</v>
      </c>
      <c r="E53" s="186" t="s">
        <v>285</v>
      </c>
      <c r="F53" s="187" t="s">
        <v>300</v>
      </c>
      <c r="G53" s="188">
        <v>10010.61</v>
      </c>
      <c r="H53" s="93">
        <v>45414.0</v>
      </c>
      <c r="I53" s="79" t="s">
        <v>287</v>
      </c>
      <c r="J53" s="79" t="s">
        <v>301</v>
      </c>
      <c r="K53" s="124" t="b">
        <v>1</v>
      </c>
      <c r="L53" s="85" t="b">
        <v>1</v>
      </c>
    </row>
    <row r="54">
      <c r="A54" s="68"/>
      <c r="B54" s="79" t="s">
        <v>119</v>
      </c>
      <c r="C54" s="79" t="s">
        <v>123</v>
      </c>
      <c r="D54" s="79" t="s">
        <v>277</v>
      </c>
      <c r="E54" s="186" t="s">
        <v>278</v>
      </c>
      <c r="F54" s="187">
        <v>781.0</v>
      </c>
      <c r="G54" s="188">
        <v>32040.0</v>
      </c>
      <c r="H54" s="93">
        <v>45414.0</v>
      </c>
      <c r="I54" s="79" t="s">
        <v>295</v>
      </c>
      <c r="J54" s="79" t="s">
        <v>280</v>
      </c>
      <c r="K54" s="124" t="b">
        <v>1</v>
      </c>
      <c r="L54" s="85" t="b">
        <v>1</v>
      </c>
    </row>
    <row r="55">
      <c r="A55" s="68"/>
      <c r="B55" s="79" t="s">
        <v>119</v>
      </c>
      <c r="C55" s="79" t="s">
        <v>123</v>
      </c>
      <c r="D55" s="79" t="s">
        <v>281</v>
      </c>
      <c r="E55" s="186" t="s">
        <v>282</v>
      </c>
      <c r="F55" s="187">
        <v>3357.0</v>
      </c>
      <c r="G55" s="188">
        <v>5067.9</v>
      </c>
      <c r="H55" s="93">
        <v>45446.0</v>
      </c>
      <c r="I55" s="79" t="s">
        <v>295</v>
      </c>
      <c r="J55" s="79" t="s">
        <v>302</v>
      </c>
      <c r="K55" s="124" t="b">
        <v>1</v>
      </c>
      <c r="L55" s="85" t="b">
        <v>1</v>
      </c>
    </row>
    <row r="56">
      <c r="A56" s="68"/>
      <c r="B56" s="79" t="s">
        <v>119</v>
      </c>
      <c r="C56" s="79" t="s">
        <v>145</v>
      </c>
      <c r="D56" s="79" t="s">
        <v>281</v>
      </c>
      <c r="E56" s="186" t="s">
        <v>282</v>
      </c>
      <c r="F56" s="187">
        <v>3357.0</v>
      </c>
      <c r="G56" s="188">
        <v>5067.9</v>
      </c>
      <c r="H56" s="93">
        <v>45446.0</v>
      </c>
      <c r="I56" s="79" t="s">
        <v>295</v>
      </c>
      <c r="J56" s="79" t="s">
        <v>302</v>
      </c>
      <c r="K56" s="124" t="b">
        <v>1</v>
      </c>
      <c r="L56" s="85" t="b">
        <v>1</v>
      </c>
    </row>
    <row r="57">
      <c r="A57" s="68"/>
      <c r="B57" s="79" t="s">
        <v>119</v>
      </c>
      <c r="C57" s="79" t="s">
        <v>123</v>
      </c>
      <c r="D57" s="79" t="s">
        <v>281</v>
      </c>
      <c r="E57" s="186" t="s">
        <v>282</v>
      </c>
      <c r="F57" s="187">
        <v>3370.0</v>
      </c>
      <c r="G57" s="188">
        <v>15210.0</v>
      </c>
      <c r="H57" s="93">
        <v>45450.0</v>
      </c>
      <c r="I57" s="79" t="s">
        <v>295</v>
      </c>
      <c r="J57" s="79" t="s">
        <v>303</v>
      </c>
      <c r="K57" s="124" t="b">
        <v>1</v>
      </c>
      <c r="L57" s="85" t="b">
        <v>1</v>
      </c>
    </row>
    <row r="58">
      <c r="A58" s="68"/>
      <c r="B58" s="79" t="s">
        <v>119</v>
      </c>
      <c r="C58" s="79" t="s">
        <v>145</v>
      </c>
      <c r="D58" s="79" t="s">
        <v>281</v>
      </c>
      <c r="E58" s="186" t="s">
        <v>282</v>
      </c>
      <c r="F58" s="187">
        <v>3370.0</v>
      </c>
      <c r="G58" s="188">
        <v>15210.0</v>
      </c>
      <c r="H58" s="93">
        <v>45450.0</v>
      </c>
      <c r="I58" s="79" t="s">
        <v>295</v>
      </c>
      <c r="J58" s="79" t="s">
        <v>303</v>
      </c>
      <c r="K58" s="124" t="b">
        <v>1</v>
      </c>
      <c r="L58" s="85" t="b">
        <v>1</v>
      </c>
    </row>
    <row r="59">
      <c r="A59" s="68"/>
      <c r="B59" s="79" t="s">
        <v>119</v>
      </c>
      <c r="C59" s="79" t="s">
        <v>123</v>
      </c>
      <c r="D59" s="79" t="s">
        <v>284</v>
      </c>
      <c r="E59" s="186" t="s">
        <v>285</v>
      </c>
      <c r="F59" s="187" t="s">
        <v>304</v>
      </c>
      <c r="G59" s="188">
        <v>21043.05</v>
      </c>
      <c r="H59" s="93">
        <v>45414.0</v>
      </c>
      <c r="I59" s="79" t="s">
        <v>287</v>
      </c>
      <c r="J59" s="79" t="s">
        <v>305</v>
      </c>
      <c r="K59" s="124" t="b">
        <v>1</v>
      </c>
      <c r="L59" s="85" t="b">
        <v>1</v>
      </c>
    </row>
    <row r="60">
      <c r="A60" s="68"/>
      <c r="B60" s="79" t="s">
        <v>119</v>
      </c>
      <c r="C60" s="79" t="s">
        <v>123</v>
      </c>
      <c r="D60" s="79" t="s">
        <v>281</v>
      </c>
      <c r="E60" s="186" t="s">
        <v>282</v>
      </c>
      <c r="F60" s="187">
        <v>3417.0</v>
      </c>
      <c r="G60" s="188">
        <v>13950.0</v>
      </c>
      <c r="H60" s="93">
        <v>45478.0</v>
      </c>
      <c r="I60" s="79" t="s">
        <v>295</v>
      </c>
      <c r="J60" s="79" t="s">
        <v>306</v>
      </c>
      <c r="K60" s="124" t="b">
        <v>1</v>
      </c>
      <c r="L60" s="85" t="b">
        <v>1</v>
      </c>
    </row>
    <row r="61">
      <c r="A61" s="68"/>
      <c r="B61" s="79" t="s">
        <v>119</v>
      </c>
      <c r="C61" s="79" t="s">
        <v>147</v>
      </c>
      <c r="D61" s="79" t="s">
        <v>281</v>
      </c>
      <c r="E61" s="186" t="s">
        <v>282</v>
      </c>
      <c r="F61" s="187">
        <v>3417.0</v>
      </c>
      <c r="G61" s="188">
        <v>13950.0</v>
      </c>
      <c r="H61" s="93">
        <v>45478.0</v>
      </c>
      <c r="I61" s="79" t="s">
        <v>295</v>
      </c>
      <c r="J61" s="79" t="s">
        <v>306</v>
      </c>
      <c r="K61" s="124" t="b">
        <v>1</v>
      </c>
      <c r="L61" s="85" t="b">
        <v>1</v>
      </c>
    </row>
    <row r="62">
      <c r="A62" s="68"/>
      <c r="B62" s="79" t="s">
        <v>119</v>
      </c>
      <c r="C62" s="79" t="s">
        <v>123</v>
      </c>
      <c r="D62" s="79" t="s">
        <v>284</v>
      </c>
      <c r="E62" s="186" t="s">
        <v>285</v>
      </c>
      <c r="F62" s="187" t="s">
        <v>307</v>
      </c>
      <c r="G62" s="188">
        <v>21293.57</v>
      </c>
      <c r="H62" s="93">
        <v>45475.0</v>
      </c>
      <c r="I62" s="79" t="s">
        <v>287</v>
      </c>
      <c r="J62" s="79" t="s">
        <v>308</v>
      </c>
      <c r="K62" s="124" t="b">
        <v>1</v>
      </c>
      <c r="L62" s="85" t="b">
        <v>1</v>
      </c>
    </row>
    <row r="63">
      <c r="A63" s="68"/>
      <c r="B63" s="79" t="s">
        <v>119</v>
      </c>
      <c r="C63" s="79" t="s">
        <v>123</v>
      </c>
      <c r="D63" s="79" t="s">
        <v>277</v>
      </c>
      <c r="E63" s="186" t="s">
        <v>278</v>
      </c>
      <c r="F63" s="187">
        <v>817.0</v>
      </c>
      <c r="G63" s="188">
        <v>32040.0</v>
      </c>
      <c r="H63" s="93">
        <v>45512.0</v>
      </c>
      <c r="I63" s="79" t="s">
        <v>295</v>
      </c>
      <c r="J63" s="79" t="s">
        <v>280</v>
      </c>
      <c r="K63" s="124" t="b">
        <v>1</v>
      </c>
      <c r="L63" s="85" t="b">
        <v>1</v>
      </c>
    </row>
    <row r="64">
      <c r="A64" s="68"/>
      <c r="B64" s="79" t="s">
        <v>119</v>
      </c>
      <c r="C64" s="79" t="s">
        <v>123</v>
      </c>
      <c r="D64" s="79" t="s">
        <v>281</v>
      </c>
      <c r="E64" s="186" t="s">
        <v>282</v>
      </c>
      <c r="F64" s="187">
        <v>3518.0</v>
      </c>
      <c r="G64" s="188">
        <v>16605.0</v>
      </c>
      <c r="H64" s="93">
        <v>45519.0</v>
      </c>
      <c r="I64" s="79" t="s">
        <v>295</v>
      </c>
      <c r="J64" s="79" t="s">
        <v>309</v>
      </c>
      <c r="K64" s="124" t="b">
        <v>1</v>
      </c>
      <c r="L64" s="85" t="b">
        <v>1</v>
      </c>
    </row>
    <row r="65">
      <c r="A65" s="68"/>
      <c r="B65" s="79" t="s">
        <v>119</v>
      </c>
      <c r="C65" s="79" t="s">
        <v>147</v>
      </c>
      <c r="D65" s="79" t="s">
        <v>281</v>
      </c>
      <c r="E65" s="186" t="s">
        <v>282</v>
      </c>
      <c r="F65" s="187">
        <v>3518.0</v>
      </c>
      <c r="G65" s="188">
        <v>16605.0</v>
      </c>
      <c r="H65" s="93">
        <v>45519.0</v>
      </c>
      <c r="I65" s="79" t="s">
        <v>295</v>
      </c>
      <c r="J65" s="79" t="s">
        <v>309</v>
      </c>
      <c r="K65" s="124" t="b">
        <v>1</v>
      </c>
      <c r="L65" s="85" t="b">
        <v>1</v>
      </c>
    </row>
    <row r="66">
      <c r="A66" s="68"/>
      <c r="B66" s="79" t="s">
        <v>119</v>
      </c>
      <c r="C66" s="79" t="s">
        <v>123</v>
      </c>
      <c r="D66" s="79" t="s">
        <v>284</v>
      </c>
      <c r="E66" s="186" t="s">
        <v>285</v>
      </c>
      <c r="F66" s="187" t="s">
        <v>310</v>
      </c>
      <c r="G66" s="188">
        <v>19166.67</v>
      </c>
      <c r="H66" s="93">
        <v>45506.0</v>
      </c>
      <c r="I66" s="79" t="s">
        <v>287</v>
      </c>
      <c r="J66" s="79" t="s">
        <v>311</v>
      </c>
      <c r="K66" s="124" t="b">
        <v>1</v>
      </c>
      <c r="L66" s="85" t="b">
        <v>1</v>
      </c>
    </row>
    <row r="67">
      <c r="A67" s="68"/>
      <c r="B67" s="79" t="s">
        <v>119</v>
      </c>
      <c r="C67" s="79" t="s">
        <v>123</v>
      </c>
      <c r="D67" s="79" t="s">
        <v>277</v>
      </c>
      <c r="E67" s="186" t="s">
        <v>278</v>
      </c>
      <c r="F67" s="187">
        <v>825.0</v>
      </c>
      <c r="G67" s="188">
        <v>32040.0</v>
      </c>
      <c r="H67" s="93">
        <v>45538.0</v>
      </c>
      <c r="I67" s="79" t="s">
        <v>295</v>
      </c>
      <c r="J67" s="79" t="s">
        <v>280</v>
      </c>
      <c r="K67" s="124" t="b">
        <v>1</v>
      </c>
      <c r="L67" s="85" t="b">
        <v>1</v>
      </c>
    </row>
    <row r="68">
      <c r="A68" s="68"/>
      <c r="B68" s="79" t="s">
        <v>119</v>
      </c>
      <c r="C68" s="79" t="s">
        <v>123</v>
      </c>
      <c r="D68" s="79" t="s">
        <v>281</v>
      </c>
      <c r="E68" s="186" t="s">
        <v>282</v>
      </c>
      <c r="F68" s="187">
        <v>3584.0</v>
      </c>
      <c r="G68" s="188">
        <v>15345.0</v>
      </c>
      <c r="H68" s="93">
        <v>45546.0</v>
      </c>
      <c r="I68" s="79" t="s">
        <v>295</v>
      </c>
      <c r="J68" s="79" t="s">
        <v>312</v>
      </c>
      <c r="K68" s="124" t="b">
        <v>1</v>
      </c>
      <c r="L68" s="85" t="b">
        <v>1</v>
      </c>
    </row>
    <row r="69">
      <c r="A69" s="68"/>
      <c r="B69" s="79" t="s">
        <v>119</v>
      </c>
      <c r="C69" s="79" t="s">
        <v>147</v>
      </c>
      <c r="D69" s="79" t="s">
        <v>281</v>
      </c>
      <c r="E69" s="186" t="s">
        <v>282</v>
      </c>
      <c r="F69" s="187">
        <v>3584.0</v>
      </c>
      <c r="G69" s="188">
        <v>15345.0</v>
      </c>
      <c r="H69" s="93">
        <v>45546.0</v>
      </c>
      <c r="I69" s="79" t="s">
        <v>295</v>
      </c>
      <c r="J69" s="79" t="s">
        <v>312</v>
      </c>
      <c r="K69" s="124" t="b">
        <v>1</v>
      </c>
      <c r="L69" s="85" t="b">
        <v>1</v>
      </c>
    </row>
    <row r="70">
      <c r="A70" s="68"/>
      <c r="B70" s="79" t="s">
        <v>119</v>
      </c>
      <c r="C70" s="79" t="s">
        <v>123</v>
      </c>
      <c r="D70" s="79" t="s">
        <v>284</v>
      </c>
      <c r="E70" s="186" t="s">
        <v>285</v>
      </c>
      <c r="F70" s="187" t="s">
        <v>313</v>
      </c>
      <c r="G70" s="188">
        <v>17677.81</v>
      </c>
      <c r="H70" s="93">
        <v>45537.0</v>
      </c>
      <c r="I70" s="79" t="s">
        <v>287</v>
      </c>
      <c r="J70" s="79" t="s">
        <v>314</v>
      </c>
      <c r="K70" s="124" t="b">
        <v>1</v>
      </c>
      <c r="L70" s="85" t="b">
        <v>1</v>
      </c>
    </row>
    <row r="71">
      <c r="A71" s="68"/>
      <c r="B71" s="79" t="s">
        <v>119</v>
      </c>
      <c r="C71" s="79" t="s">
        <v>147</v>
      </c>
      <c r="D71" s="79" t="s">
        <v>277</v>
      </c>
      <c r="E71" s="186" t="s">
        <v>278</v>
      </c>
      <c r="F71" s="187">
        <v>832.0</v>
      </c>
      <c r="G71" s="188">
        <v>17216.12</v>
      </c>
      <c r="H71" s="93">
        <v>45567.0</v>
      </c>
      <c r="I71" s="79" t="s">
        <v>295</v>
      </c>
      <c r="J71" s="79" t="s">
        <v>315</v>
      </c>
      <c r="K71" s="124" t="b">
        <v>1</v>
      </c>
      <c r="L71" s="85" t="b">
        <v>1</v>
      </c>
    </row>
    <row r="72">
      <c r="A72" s="68"/>
      <c r="B72" s="79" t="s">
        <v>119</v>
      </c>
      <c r="C72" s="79" t="s">
        <v>316</v>
      </c>
      <c r="D72" s="79" t="s">
        <v>281</v>
      </c>
      <c r="E72" s="186" t="s">
        <v>282</v>
      </c>
      <c r="F72" s="187">
        <v>3748.0</v>
      </c>
      <c r="G72" s="188">
        <v>15668.26</v>
      </c>
      <c r="H72" s="93">
        <v>45602.0</v>
      </c>
      <c r="I72" s="79" t="s">
        <v>295</v>
      </c>
      <c r="J72" s="79" t="s">
        <v>317</v>
      </c>
      <c r="K72" s="124" t="b">
        <v>1</v>
      </c>
      <c r="L72" s="85" t="b">
        <v>1</v>
      </c>
    </row>
    <row r="73">
      <c r="A73" s="68"/>
      <c r="B73" s="79" t="s">
        <v>119</v>
      </c>
      <c r="C73" s="79" t="s">
        <v>147</v>
      </c>
      <c r="D73" s="79" t="s">
        <v>281</v>
      </c>
      <c r="E73" s="186" t="s">
        <v>282</v>
      </c>
      <c r="F73" s="187">
        <v>3748.0</v>
      </c>
      <c r="G73" s="188">
        <v>15668.26</v>
      </c>
      <c r="H73" s="93">
        <v>45602.0</v>
      </c>
      <c r="I73" s="79" t="s">
        <v>295</v>
      </c>
      <c r="J73" s="79" t="s">
        <v>317</v>
      </c>
      <c r="K73" s="124" t="b">
        <v>1</v>
      </c>
      <c r="L73" s="85" t="b">
        <v>1</v>
      </c>
    </row>
    <row r="74">
      <c r="A74" s="68"/>
      <c r="B74" s="79" t="s">
        <v>119</v>
      </c>
      <c r="C74" s="79" t="s">
        <v>316</v>
      </c>
      <c r="D74" s="79" t="s">
        <v>284</v>
      </c>
      <c r="E74" s="186" t="s">
        <v>285</v>
      </c>
      <c r="F74" s="187" t="s">
        <v>318</v>
      </c>
      <c r="G74" s="188">
        <v>17216.12</v>
      </c>
      <c r="H74" s="93">
        <v>45566.0</v>
      </c>
      <c r="I74" s="79" t="s">
        <v>287</v>
      </c>
      <c r="J74" s="79" t="s">
        <v>315</v>
      </c>
      <c r="K74" s="124" t="b">
        <v>1</v>
      </c>
      <c r="L74" s="85" t="b">
        <v>1</v>
      </c>
    </row>
    <row r="75">
      <c r="A75" s="68"/>
      <c r="B75" s="79" t="s">
        <v>119</v>
      </c>
      <c r="C75" s="79" t="s">
        <v>123</v>
      </c>
      <c r="D75" s="79" t="s">
        <v>277</v>
      </c>
      <c r="E75" s="186" t="s">
        <v>278</v>
      </c>
      <c r="F75" s="187">
        <v>2.0240000000088E14</v>
      </c>
      <c r="G75" s="188">
        <v>32040.0</v>
      </c>
      <c r="H75" s="93">
        <v>45603.0</v>
      </c>
      <c r="I75" s="79" t="s">
        <v>295</v>
      </c>
      <c r="J75" s="79" t="s">
        <v>280</v>
      </c>
      <c r="K75" s="124" t="b">
        <v>1</v>
      </c>
      <c r="L75" s="85" t="b">
        <v>1</v>
      </c>
    </row>
    <row r="76">
      <c r="A76" s="68"/>
      <c r="B76" s="79" t="s">
        <v>119</v>
      </c>
      <c r="C76" s="79" t="s">
        <v>316</v>
      </c>
      <c r="D76" s="79" t="s">
        <v>281</v>
      </c>
      <c r="E76" s="186" t="s">
        <v>282</v>
      </c>
      <c r="F76" s="187">
        <v>3665.0</v>
      </c>
      <c r="G76" s="188">
        <v>17235.0</v>
      </c>
      <c r="H76" s="93">
        <v>45573.0</v>
      </c>
      <c r="I76" s="79" t="s">
        <v>295</v>
      </c>
      <c r="J76" s="79" t="s">
        <v>319</v>
      </c>
      <c r="K76" s="124" t="b">
        <v>1</v>
      </c>
      <c r="L76" s="85" t="b">
        <v>1</v>
      </c>
    </row>
    <row r="77">
      <c r="A77" s="68"/>
      <c r="B77" s="79" t="s">
        <v>119</v>
      </c>
      <c r="C77" s="79" t="s">
        <v>147</v>
      </c>
      <c r="D77" s="79" t="s">
        <v>281</v>
      </c>
      <c r="E77" s="186" t="s">
        <v>282</v>
      </c>
      <c r="F77" s="187">
        <v>3665.0</v>
      </c>
      <c r="G77" s="188">
        <v>17235.0</v>
      </c>
      <c r="H77" s="93">
        <v>45573.0</v>
      </c>
      <c r="I77" s="79" t="s">
        <v>295</v>
      </c>
      <c r="J77" s="79" t="s">
        <v>319</v>
      </c>
      <c r="K77" s="124" t="b">
        <v>1</v>
      </c>
      <c r="L77" s="85" t="b">
        <v>1</v>
      </c>
    </row>
    <row r="78">
      <c r="A78" s="68"/>
      <c r="B78" s="79" t="s">
        <v>119</v>
      </c>
      <c r="C78" s="79" t="s">
        <v>123</v>
      </c>
      <c r="D78" s="79" t="s">
        <v>284</v>
      </c>
      <c r="E78" s="186" t="s">
        <v>285</v>
      </c>
      <c r="F78" s="187" t="s">
        <v>320</v>
      </c>
      <c r="G78" s="188">
        <v>18479.53</v>
      </c>
      <c r="H78" s="93">
        <v>45597.0</v>
      </c>
      <c r="I78" s="79" t="s">
        <v>287</v>
      </c>
      <c r="J78" s="79" t="s">
        <v>321</v>
      </c>
      <c r="K78" s="124" t="b">
        <v>1</v>
      </c>
      <c r="L78" s="85" t="b">
        <v>1</v>
      </c>
    </row>
    <row r="79">
      <c r="A79" s="68"/>
      <c r="B79" s="79" t="s">
        <v>119</v>
      </c>
      <c r="C79" s="79" t="s">
        <v>123</v>
      </c>
      <c r="D79" s="79" t="s">
        <v>277</v>
      </c>
      <c r="E79" s="186" t="s">
        <v>278</v>
      </c>
      <c r="F79" s="187">
        <v>2.02400000000901E14</v>
      </c>
      <c r="G79" s="188">
        <v>32040.0</v>
      </c>
      <c r="H79" s="93">
        <v>45629.0</v>
      </c>
      <c r="I79" s="79" t="s">
        <v>295</v>
      </c>
      <c r="J79" s="79" t="s">
        <v>280</v>
      </c>
      <c r="K79" s="124" t="b">
        <v>1</v>
      </c>
      <c r="L79" s="85" t="b">
        <v>1</v>
      </c>
    </row>
    <row r="80">
      <c r="A80" s="68"/>
      <c r="B80" s="79" t="s">
        <v>119</v>
      </c>
      <c r="C80" s="79" t="s">
        <v>123</v>
      </c>
      <c r="D80" s="79" t="s">
        <v>281</v>
      </c>
      <c r="E80" s="186" t="s">
        <v>282</v>
      </c>
      <c r="F80" s="187">
        <v>3841.0</v>
      </c>
      <c r="G80" s="188">
        <v>15480.0</v>
      </c>
      <c r="H80" s="93">
        <v>45631.0</v>
      </c>
      <c r="I80" s="79" t="s">
        <v>295</v>
      </c>
      <c r="J80" s="79" t="s">
        <v>322</v>
      </c>
      <c r="K80" s="124" t="b">
        <v>1</v>
      </c>
      <c r="L80" s="85" t="b">
        <v>1</v>
      </c>
    </row>
    <row r="81">
      <c r="A81" s="68"/>
      <c r="B81" s="79" t="s">
        <v>119</v>
      </c>
      <c r="C81" s="79" t="s">
        <v>147</v>
      </c>
      <c r="D81" s="79" t="s">
        <v>281</v>
      </c>
      <c r="E81" s="186" t="s">
        <v>282</v>
      </c>
      <c r="F81" s="187">
        <v>3841.0</v>
      </c>
      <c r="G81" s="188">
        <v>15480.0</v>
      </c>
      <c r="H81" s="93">
        <v>45631.0</v>
      </c>
      <c r="I81" s="79" t="s">
        <v>295</v>
      </c>
      <c r="J81" s="79" t="s">
        <v>322</v>
      </c>
      <c r="K81" s="124" t="b">
        <v>1</v>
      </c>
      <c r="L81" s="85" t="b">
        <v>1</v>
      </c>
    </row>
    <row r="82">
      <c r="A82" s="68"/>
      <c r="B82" s="79" t="s">
        <v>119</v>
      </c>
      <c r="C82" s="79" t="s">
        <v>123</v>
      </c>
      <c r="D82" s="79" t="s">
        <v>284</v>
      </c>
      <c r="E82" s="186" t="s">
        <v>285</v>
      </c>
      <c r="F82" s="187" t="s">
        <v>323</v>
      </c>
      <c r="G82" s="188">
        <v>22299.43</v>
      </c>
      <c r="H82" s="93">
        <v>45627.0</v>
      </c>
      <c r="I82" s="79" t="s">
        <v>287</v>
      </c>
      <c r="J82" s="79" t="s">
        <v>324</v>
      </c>
      <c r="K82" s="124" t="b">
        <v>1</v>
      </c>
      <c r="L82" s="85" t="b">
        <v>1</v>
      </c>
    </row>
    <row r="83" hidden="1">
      <c r="A83" s="68"/>
      <c r="B83" s="79"/>
      <c r="C83" s="79"/>
      <c r="D83" s="79"/>
      <c r="E83" s="186"/>
      <c r="F83" s="187"/>
      <c r="G83" s="188"/>
      <c r="H83" s="93"/>
      <c r="I83" s="79"/>
      <c r="J83" s="192"/>
      <c r="K83" s="124" t="b">
        <v>0</v>
      </c>
      <c r="L83" s="85"/>
    </row>
    <row r="84" hidden="1">
      <c r="A84" s="68"/>
      <c r="B84" s="79" t="s">
        <v>53</v>
      </c>
      <c r="C84" s="79" t="s">
        <v>325</v>
      </c>
      <c r="D84" s="79"/>
      <c r="E84" s="186"/>
      <c r="F84" s="193"/>
      <c r="G84" s="188">
        <v>1250.0</v>
      </c>
      <c r="H84" s="93">
        <v>45343.0</v>
      </c>
      <c r="I84" s="79" t="s">
        <v>326</v>
      </c>
      <c r="J84" s="79" t="s">
        <v>130</v>
      </c>
      <c r="K84" s="124" t="b">
        <v>0</v>
      </c>
      <c r="L84" s="85" t="b">
        <v>0</v>
      </c>
    </row>
    <row r="85" hidden="1">
      <c r="A85" s="68"/>
      <c r="B85" s="79" t="s">
        <v>53</v>
      </c>
      <c r="C85" s="79" t="s">
        <v>325</v>
      </c>
      <c r="D85" s="79"/>
      <c r="E85" s="186"/>
      <c r="F85" s="193"/>
      <c r="G85" s="188">
        <v>349.84</v>
      </c>
      <c r="H85" s="93">
        <v>45343.0</v>
      </c>
      <c r="I85" s="79" t="s">
        <v>327</v>
      </c>
      <c r="J85" s="79" t="s">
        <v>130</v>
      </c>
      <c r="K85" s="124" t="b">
        <v>0</v>
      </c>
      <c r="L85" s="85" t="b">
        <v>0</v>
      </c>
    </row>
    <row r="86" hidden="1">
      <c r="A86" s="68"/>
      <c r="B86" s="79" t="s">
        <v>53</v>
      </c>
      <c r="C86" s="79" t="s">
        <v>161</v>
      </c>
      <c r="D86" s="79"/>
      <c r="E86" s="186"/>
      <c r="F86" s="193"/>
      <c r="G86" s="188">
        <v>17.1</v>
      </c>
      <c r="H86" s="93">
        <v>45343.0</v>
      </c>
      <c r="I86" s="79" t="s">
        <v>328</v>
      </c>
      <c r="J86" s="79" t="s">
        <v>130</v>
      </c>
      <c r="K86" s="124" t="b">
        <v>0</v>
      </c>
      <c r="L86" s="85" t="b">
        <v>0</v>
      </c>
    </row>
    <row r="87" hidden="1">
      <c r="A87" s="68"/>
      <c r="B87" s="79" t="s">
        <v>53</v>
      </c>
      <c r="C87" s="79" t="s">
        <v>161</v>
      </c>
      <c r="D87" s="79"/>
      <c r="E87" s="186"/>
      <c r="F87" s="193"/>
      <c r="G87" s="188">
        <v>154.08</v>
      </c>
      <c r="H87" s="93">
        <v>45343.0</v>
      </c>
      <c r="I87" s="79" t="s">
        <v>329</v>
      </c>
      <c r="J87" s="79" t="s">
        <v>130</v>
      </c>
      <c r="K87" s="124" t="b">
        <v>0</v>
      </c>
      <c r="L87" s="85" t="b">
        <v>0</v>
      </c>
    </row>
    <row r="88" hidden="1">
      <c r="A88" s="68"/>
      <c r="B88" s="79" t="s">
        <v>53</v>
      </c>
      <c r="C88" s="79" t="s">
        <v>161</v>
      </c>
      <c r="D88" s="79"/>
      <c r="E88" s="186"/>
      <c r="F88" s="193"/>
      <c r="G88" s="188">
        <v>240.0</v>
      </c>
      <c r="H88" s="93">
        <v>45343.0</v>
      </c>
      <c r="I88" s="79" t="s">
        <v>329</v>
      </c>
      <c r="J88" s="79" t="s">
        <v>130</v>
      </c>
      <c r="K88" s="124" t="b">
        <v>0</v>
      </c>
      <c r="L88" s="85" t="b">
        <v>0</v>
      </c>
    </row>
    <row r="89" hidden="1">
      <c r="A89" s="68"/>
      <c r="B89" s="79" t="s">
        <v>54</v>
      </c>
      <c r="C89" s="79" t="s">
        <v>161</v>
      </c>
      <c r="D89" s="79" t="s">
        <v>330</v>
      </c>
      <c r="E89" s="186" t="s">
        <v>331</v>
      </c>
      <c r="F89" s="187"/>
      <c r="G89" s="188">
        <v>1329.23</v>
      </c>
      <c r="H89" s="93">
        <v>45459.0</v>
      </c>
      <c r="I89" s="79" t="s">
        <v>332</v>
      </c>
      <c r="J89" s="79" t="s">
        <v>333</v>
      </c>
      <c r="K89" s="124" t="b">
        <v>1</v>
      </c>
      <c r="L89" s="85" t="b">
        <v>1</v>
      </c>
    </row>
    <row r="90" hidden="1">
      <c r="A90" s="68"/>
      <c r="B90" s="79" t="s">
        <v>54</v>
      </c>
      <c r="C90" s="79" t="s">
        <v>334</v>
      </c>
      <c r="D90" s="79"/>
      <c r="E90" s="186"/>
      <c r="F90" s="187"/>
      <c r="G90" s="188">
        <v>8330.56</v>
      </c>
      <c r="H90" s="93">
        <v>45414.0</v>
      </c>
      <c r="I90" s="79" t="s">
        <v>326</v>
      </c>
      <c r="J90" s="79" t="s">
        <v>130</v>
      </c>
      <c r="K90" s="124" t="b">
        <v>0</v>
      </c>
      <c r="L90" s="85" t="b">
        <v>1</v>
      </c>
    </row>
    <row r="91" hidden="1">
      <c r="A91" s="68"/>
      <c r="B91" s="79" t="s">
        <v>54</v>
      </c>
      <c r="C91" s="77" t="s">
        <v>334</v>
      </c>
      <c r="D91" s="77"/>
      <c r="E91" s="107"/>
      <c r="F91" s="194"/>
      <c r="G91" s="195">
        <v>142.68</v>
      </c>
      <c r="H91" s="94">
        <v>45386.0</v>
      </c>
      <c r="I91" s="77" t="s">
        <v>335</v>
      </c>
      <c r="J91" s="77" t="s">
        <v>130</v>
      </c>
      <c r="K91" s="124" t="b">
        <v>0</v>
      </c>
      <c r="L91" s="85" t="b">
        <v>1</v>
      </c>
    </row>
    <row r="92" hidden="1">
      <c r="A92" s="68"/>
      <c r="B92" s="79" t="s">
        <v>54</v>
      </c>
      <c r="C92" s="77" t="s">
        <v>334</v>
      </c>
      <c r="D92" s="77" t="s">
        <v>336</v>
      </c>
      <c r="E92" s="107" t="s">
        <v>337</v>
      </c>
      <c r="F92" s="194"/>
      <c r="G92" s="195">
        <v>12711.1</v>
      </c>
      <c r="H92" s="94">
        <v>45448.0</v>
      </c>
      <c r="I92" s="77" t="s">
        <v>338</v>
      </c>
      <c r="J92" s="77" t="s">
        <v>339</v>
      </c>
      <c r="K92" s="124" t="b">
        <v>1</v>
      </c>
      <c r="L92" s="85" t="b">
        <v>1</v>
      </c>
    </row>
    <row r="93" hidden="1">
      <c r="A93" s="68"/>
      <c r="B93" s="79" t="s">
        <v>54</v>
      </c>
      <c r="C93" s="77" t="s">
        <v>334</v>
      </c>
      <c r="D93" s="77" t="s">
        <v>336</v>
      </c>
      <c r="E93" s="107" t="s">
        <v>337</v>
      </c>
      <c r="F93" s="194"/>
      <c r="G93" s="195">
        <v>3000.0</v>
      </c>
      <c r="H93" s="94">
        <v>45432.0</v>
      </c>
      <c r="I93" s="77" t="s">
        <v>338</v>
      </c>
      <c r="J93" s="77" t="s">
        <v>339</v>
      </c>
      <c r="K93" s="124" t="b">
        <v>1</v>
      </c>
      <c r="L93" s="85" t="b">
        <v>1</v>
      </c>
    </row>
    <row r="94" hidden="1">
      <c r="A94" s="68"/>
      <c r="B94" s="79" t="s">
        <v>54</v>
      </c>
      <c r="C94" s="77" t="s">
        <v>334</v>
      </c>
      <c r="D94" s="77" t="s">
        <v>340</v>
      </c>
      <c r="E94" s="107" t="s">
        <v>341</v>
      </c>
      <c r="F94" s="194"/>
      <c r="G94" s="195">
        <v>2510.6</v>
      </c>
      <c r="H94" s="94">
        <v>45402.0</v>
      </c>
      <c r="I94" s="77" t="s">
        <v>338</v>
      </c>
      <c r="J94" s="77" t="s">
        <v>339</v>
      </c>
      <c r="K94" s="124" t="b">
        <v>1</v>
      </c>
      <c r="L94" s="85" t="b">
        <v>1</v>
      </c>
    </row>
    <row r="95" hidden="1">
      <c r="A95" s="68"/>
      <c r="B95" s="79" t="s">
        <v>54</v>
      </c>
      <c r="C95" s="77" t="s">
        <v>334</v>
      </c>
      <c r="D95" s="77" t="s">
        <v>340</v>
      </c>
      <c r="E95" s="107" t="s">
        <v>341</v>
      </c>
      <c r="F95" s="194"/>
      <c r="G95" s="195">
        <v>2189.6</v>
      </c>
      <c r="H95" s="94">
        <v>45371.0</v>
      </c>
      <c r="I95" s="77" t="s">
        <v>338</v>
      </c>
      <c r="J95" s="77" t="s">
        <v>339</v>
      </c>
      <c r="K95" s="124" t="b">
        <v>1</v>
      </c>
      <c r="L95" s="85" t="b">
        <v>1</v>
      </c>
    </row>
    <row r="96" hidden="1">
      <c r="A96" s="68"/>
      <c r="B96" s="79" t="s">
        <v>54</v>
      </c>
      <c r="C96" s="79" t="s">
        <v>161</v>
      </c>
      <c r="D96" s="79" t="s">
        <v>342</v>
      </c>
      <c r="E96" s="186" t="s">
        <v>343</v>
      </c>
      <c r="F96" s="187"/>
      <c r="G96" s="188">
        <v>361.01</v>
      </c>
      <c r="H96" s="93">
        <v>45459.0</v>
      </c>
      <c r="I96" s="79" t="s">
        <v>344</v>
      </c>
      <c r="J96" s="79" t="s">
        <v>345</v>
      </c>
      <c r="K96" s="124" t="b">
        <v>1</v>
      </c>
      <c r="L96" s="85" t="b">
        <v>1</v>
      </c>
    </row>
    <row r="97" hidden="1">
      <c r="A97" s="68"/>
      <c r="B97" s="79" t="s">
        <v>54</v>
      </c>
      <c r="C97" s="79" t="s">
        <v>161</v>
      </c>
      <c r="D97" s="79" t="s">
        <v>346</v>
      </c>
      <c r="E97" s="186" t="s">
        <v>347</v>
      </c>
      <c r="F97" s="187"/>
      <c r="G97" s="188">
        <v>1900.0</v>
      </c>
      <c r="H97" s="93">
        <v>45387.0</v>
      </c>
      <c r="I97" s="79" t="s">
        <v>348</v>
      </c>
      <c r="J97" s="79" t="s">
        <v>349</v>
      </c>
      <c r="K97" s="124" t="b">
        <v>1</v>
      </c>
      <c r="L97" s="85" t="b">
        <v>1</v>
      </c>
    </row>
    <row r="98" hidden="1">
      <c r="A98" s="68"/>
      <c r="B98" s="79" t="s">
        <v>54</v>
      </c>
      <c r="C98" s="79" t="s">
        <v>334</v>
      </c>
      <c r="D98" s="79" t="s">
        <v>336</v>
      </c>
      <c r="E98" s="186" t="s">
        <v>337</v>
      </c>
      <c r="F98" s="187"/>
      <c r="G98" s="188">
        <v>58.4</v>
      </c>
      <c r="H98" s="93">
        <v>45342.0</v>
      </c>
      <c r="I98" s="79" t="s">
        <v>338</v>
      </c>
      <c r="J98" s="79" t="s">
        <v>339</v>
      </c>
      <c r="K98" s="124" t="b">
        <v>0</v>
      </c>
      <c r="L98" s="85" t="b">
        <v>1</v>
      </c>
    </row>
    <row r="99" hidden="1">
      <c r="A99" s="68"/>
      <c r="B99" s="79" t="s">
        <v>54</v>
      </c>
      <c r="C99" s="79" t="s">
        <v>350</v>
      </c>
      <c r="D99" s="79" t="s">
        <v>340</v>
      </c>
      <c r="E99" s="186" t="s">
        <v>341</v>
      </c>
      <c r="F99" s="187" t="s">
        <v>351</v>
      </c>
      <c r="G99" s="188">
        <v>2737.0</v>
      </c>
      <c r="H99" s="93">
        <v>45572.0</v>
      </c>
      <c r="I99" s="79" t="s">
        <v>338</v>
      </c>
      <c r="J99" s="79" t="s">
        <v>339</v>
      </c>
      <c r="K99" s="124" t="b">
        <v>1</v>
      </c>
      <c r="L99" s="85" t="b">
        <v>1</v>
      </c>
    </row>
    <row r="100" hidden="1">
      <c r="A100" s="68"/>
      <c r="B100" s="79" t="s">
        <v>54</v>
      </c>
      <c r="C100" s="79" t="s">
        <v>352</v>
      </c>
      <c r="D100" s="79" t="s">
        <v>340</v>
      </c>
      <c r="E100" s="186" t="s">
        <v>341</v>
      </c>
      <c r="F100" s="187" t="s">
        <v>353</v>
      </c>
      <c r="G100" s="188">
        <v>25.0</v>
      </c>
      <c r="H100" s="93">
        <v>45589.0</v>
      </c>
      <c r="I100" s="79" t="s">
        <v>338</v>
      </c>
      <c r="J100" s="79" t="s">
        <v>339</v>
      </c>
      <c r="K100" s="124" t="b">
        <v>1</v>
      </c>
      <c r="L100" s="85" t="b">
        <v>1</v>
      </c>
    </row>
    <row r="101" hidden="1">
      <c r="A101" s="68"/>
      <c r="B101" s="79" t="s">
        <v>54</v>
      </c>
      <c r="C101" s="79" t="s">
        <v>352</v>
      </c>
      <c r="D101" s="79" t="s">
        <v>336</v>
      </c>
      <c r="E101" s="186" t="s">
        <v>337</v>
      </c>
      <c r="F101" s="187" t="s">
        <v>354</v>
      </c>
      <c r="G101" s="188">
        <v>80.0</v>
      </c>
      <c r="H101" s="93">
        <v>45600.0</v>
      </c>
      <c r="I101" s="79" t="s">
        <v>355</v>
      </c>
      <c r="J101" s="79" t="s">
        <v>356</v>
      </c>
      <c r="K101" s="124" t="b">
        <v>1</v>
      </c>
      <c r="L101" s="85" t="b">
        <v>1</v>
      </c>
    </row>
    <row r="102" hidden="1">
      <c r="A102" s="68"/>
      <c r="B102" s="79" t="s">
        <v>54</v>
      </c>
      <c r="C102" s="79" t="s">
        <v>352</v>
      </c>
      <c r="D102" s="79" t="s">
        <v>340</v>
      </c>
      <c r="E102" s="186" t="s">
        <v>341</v>
      </c>
      <c r="F102" s="187" t="s">
        <v>357</v>
      </c>
      <c r="G102" s="188">
        <v>2054.94</v>
      </c>
      <c r="H102" s="93">
        <v>45609.0</v>
      </c>
      <c r="I102" s="79" t="s">
        <v>338</v>
      </c>
      <c r="J102" s="79" t="s">
        <v>339</v>
      </c>
      <c r="K102" s="124" t="b">
        <v>1</v>
      </c>
      <c r="L102" s="85" t="b">
        <v>1</v>
      </c>
    </row>
    <row r="103" hidden="1">
      <c r="A103" s="68"/>
      <c r="B103" s="79" t="s">
        <v>54</v>
      </c>
      <c r="C103" s="79" t="s">
        <v>352</v>
      </c>
      <c r="D103" s="79" t="s">
        <v>340</v>
      </c>
      <c r="E103" s="186" t="s">
        <v>341</v>
      </c>
      <c r="F103" s="187" t="s">
        <v>358</v>
      </c>
      <c r="G103" s="188">
        <v>547.4</v>
      </c>
      <c r="H103" s="93">
        <v>45610.0</v>
      </c>
      <c r="I103" s="79" t="s">
        <v>338</v>
      </c>
      <c r="J103" s="79" t="s">
        <v>339</v>
      </c>
      <c r="K103" s="124" t="b">
        <v>1</v>
      </c>
      <c r="L103" s="85" t="b">
        <v>1</v>
      </c>
    </row>
    <row r="104" hidden="1">
      <c r="A104" s="68"/>
      <c r="B104" s="79" t="s">
        <v>54</v>
      </c>
      <c r="C104" s="79" t="s">
        <v>352</v>
      </c>
      <c r="D104" s="79" t="s">
        <v>336</v>
      </c>
      <c r="E104" s="186" t="s">
        <v>337</v>
      </c>
      <c r="F104" s="187" t="s">
        <v>359</v>
      </c>
      <c r="G104" s="188">
        <v>240.0</v>
      </c>
      <c r="H104" s="93">
        <v>45618.0</v>
      </c>
      <c r="I104" s="79" t="s">
        <v>355</v>
      </c>
      <c r="J104" s="79" t="s">
        <v>356</v>
      </c>
      <c r="K104" s="124" t="b">
        <v>1</v>
      </c>
      <c r="L104" s="85" t="b">
        <v>1</v>
      </c>
    </row>
    <row r="105" hidden="1">
      <c r="A105" s="68"/>
      <c r="B105" s="79" t="s">
        <v>54</v>
      </c>
      <c r="C105" s="79" t="s">
        <v>360</v>
      </c>
      <c r="D105" s="79" t="s">
        <v>340</v>
      </c>
      <c r="E105" s="186" t="s">
        <v>341</v>
      </c>
      <c r="F105" s="187" t="s">
        <v>361</v>
      </c>
      <c r="G105" s="188">
        <v>50.0</v>
      </c>
      <c r="H105" s="93">
        <v>45622.0</v>
      </c>
      <c r="I105" s="79" t="s">
        <v>338</v>
      </c>
      <c r="J105" s="79" t="s">
        <v>339</v>
      </c>
      <c r="K105" s="124" t="b">
        <v>1</v>
      </c>
      <c r="L105" s="85" t="b">
        <v>1</v>
      </c>
    </row>
    <row r="106" hidden="1">
      <c r="A106" s="68"/>
      <c r="B106" s="79" t="s">
        <v>54</v>
      </c>
      <c r="C106" s="79" t="s">
        <v>362</v>
      </c>
      <c r="D106" s="79" t="s">
        <v>340</v>
      </c>
      <c r="E106" s="186" t="s">
        <v>341</v>
      </c>
      <c r="F106" s="187" t="s">
        <v>363</v>
      </c>
      <c r="G106" s="188">
        <v>2054.94</v>
      </c>
      <c r="H106" s="93">
        <v>45630.0</v>
      </c>
      <c r="I106" s="79" t="s">
        <v>338</v>
      </c>
      <c r="J106" s="79" t="s">
        <v>339</v>
      </c>
      <c r="K106" s="124" t="b">
        <v>1</v>
      </c>
      <c r="L106" s="85" t="b">
        <v>1</v>
      </c>
    </row>
    <row r="107" hidden="1">
      <c r="A107" s="68"/>
      <c r="B107" s="79" t="s">
        <v>54</v>
      </c>
      <c r="C107" s="79" t="s">
        <v>362</v>
      </c>
      <c r="D107" s="79" t="s">
        <v>340</v>
      </c>
      <c r="E107" s="186" t="s">
        <v>341</v>
      </c>
      <c r="F107" s="187" t="s">
        <v>364</v>
      </c>
      <c r="G107" s="188">
        <v>3298.2</v>
      </c>
      <c r="H107" s="93">
        <v>45636.0</v>
      </c>
      <c r="I107" s="79" t="s">
        <v>365</v>
      </c>
      <c r="J107" s="79" t="s">
        <v>366</v>
      </c>
      <c r="K107" s="124" t="b">
        <v>1</v>
      </c>
      <c r="L107" s="85" t="b">
        <v>1</v>
      </c>
    </row>
    <row r="108" hidden="1">
      <c r="A108" s="68"/>
      <c r="B108" s="79"/>
      <c r="C108" s="79"/>
      <c r="D108" s="79"/>
      <c r="E108" s="186"/>
      <c r="F108" s="187"/>
      <c r="G108" s="188"/>
      <c r="H108" s="93"/>
      <c r="I108" s="79"/>
      <c r="J108" s="79"/>
      <c r="K108" s="124"/>
      <c r="L108" s="85"/>
    </row>
    <row r="109" hidden="1">
      <c r="A109" s="68"/>
      <c r="B109" s="79"/>
      <c r="C109" s="79"/>
      <c r="D109" s="79"/>
      <c r="E109" s="186"/>
      <c r="F109" s="187"/>
      <c r="G109" s="188"/>
      <c r="H109" s="93"/>
      <c r="I109" s="79"/>
      <c r="J109" s="79"/>
      <c r="K109" s="124"/>
      <c r="L109" s="85"/>
    </row>
    <row r="110" hidden="1">
      <c r="A110" s="68"/>
      <c r="B110" s="79"/>
      <c r="C110" s="79"/>
      <c r="D110" s="79"/>
      <c r="E110" s="186"/>
      <c r="F110" s="187"/>
      <c r="G110" s="188"/>
      <c r="H110" s="93"/>
      <c r="I110" s="79"/>
      <c r="J110" s="79"/>
      <c r="K110" s="124"/>
      <c r="L110" s="85"/>
    </row>
    <row r="111" hidden="1">
      <c r="A111" s="68"/>
      <c r="B111" s="79"/>
      <c r="C111" s="79"/>
      <c r="D111" s="79"/>
      <c r="E111" s="186"/>
      <c r="F111" s="187"/>
      <c r="G111" s="188"/>
      <c r="H111" s="93"/>
      <c r="I111" s="79"/>
      <c r="J111" s="79"/>
      <c r="K111" s="124"/>
      <c r="L111" s="85"/>
    </row>
    <row r="112" hidden="1">
      <c r="A112" s="68"/>
      <c r="B112" s="79"/>
      <c r="C112" s="79"/>
      <c r="D112" s="79"/>
      <c r="E112" s="186"/>
      <c r="F112" s="187"/>
      <c r="G112" s="188"/>
      <c r="H112" s="93"/>
      <c r="I112" s="79"/>
      <c r="J112" s="79"/>
      <c r="K112" s="124"/>
      <c r="L112" s="85"/>
    </row>
    <row r="113" hidden="1">
      <c r="A113" s="68"/>
      <c r="B113" s="79"/>
      <c r="C113" s="79"/>
      <c r="D113" s="79"/>
      <c r="E113" s="186"/>
      <c r="F113" s="187"/>
      <c r="G113" s="188"/>
      <c r="H113" s="93"/>
      <c r="I113" s="79"/>
      <c r="J113" s="79"/>
      <c r="K113" s="124"/>
      <c r="L113" s="85"/>
    </row>
    <row r="114" hidden="1">
      <c r="A114" s="68"/>
      <c r="B114" s="79"/>
      <c r="C114" s="79"/>
      <c r="D114" s="79"/>
      <c r="E114" s="186"/>
      <c r="F114" s="187"/>
      <c r="G114" s="188"/>
      <c r="H114" s="93"/>
      <c r="I114" s="79"/>
      <c r="J114" s="79"/>
      <c r="K114" s="124"/>
      <c r="L114" s="85"/>
    </row>
    <row r="115" hidden="1">
      <c r="A115" s="68"/>
      <c r="B115" s="79"/>
      <c r="C115" s="79"/>
      <c r="D115" s="79"/>
      <c r="E115" s="186"/>
      <c r="F115" s="187"/>
      <c r="G115" s="188"/>
      <c r="H115" s="93"/>
      <c r="I115" s="79"/>
      <c r="J115" s="79"/>
      <c r="K115" s="124"/>
      <c r="L115" s="85"/>
    </row>
    <row r="116" hidden="1">
      <c r="A116" s="68"/>
      <c r="B116" s="79"/>
      <c r="C116" s="79"/>
      <c r="D116" s="79"/>
      <c r="E116" s="186"/>
      <c r="F116" s="187"/>
      <c r="G116" s="188"/>
      <c r="H116" s="93"/>
      <c r="I116" s="79"/>
      <c r="J116" s="79"/>
      <c r="K116" s="124"/>
      <c r="L116" s="85"/>
    </row>
    <row r="117" hidden="1">
      <c r="A117" s="68"/>
      <c r="B117" s="79"/>
      <c r="C117" s="79"/>
      <c r="D117" s="79"/>
      <c r="E117" s="186"/>
      <c r="F117" s="187"/>
      <c r="G117" s="188"/>
      <c r="H117" s="93"/>
      <c r="I117" s="79"/>
      <c r="J117" s="79"/>
      <c r="K117" s="124"/>
      <c r="L117" s="85"/>
    </row>
    <row r="118" hidden="1">
      <c r="A118" s="68"/>
      <c r="B118" s="79"/>
      <c r="C118" s="79"/>
      <c r="D118" s="79"/>
      <c r="E118" s="186"/>
      <c r="F118" s="187"/>
      <c r="G118" s="188"/>
      <c r="H118" s="93"/>
      <c r="I118" s="79"/>
      <c r="J118" s="79"/>
      <c r="K118" s="124"/>
      <c r="L118" s="85"/>
    </row>
    <row r="119" hidden="1">
      <c r="A119" s="68"/>
      <c r="B119" s="79"/>
      <c r="C119" s="79"/>
      <c r="D119" s="79"/>
      <c r="E119" s="186"/>
      <c r="F119" s="187"/>
      <c r="G119" s="188"/>
      <c r="H119" s="93"/>
      <c r="I119" s="79"/>
      <c r="J119" s="79"/>
      <c r="K119" s="124"/>
      <c r="L119" s="85"/>
    </row>
    <row r="120" hidden="1">
      <c r="A120" s="68"/>
      <c r="B120" s="79"/>
      <c r="C120" s="79"/>
      <c r="D120" s="79"/>
      <c r="E120" s="186"/>
      <c r="F120" s="187"/>
      <c r="G120" s="188"/>
      <c r="H120" s="93"/>
      <c r="I120" s="79"/>
      <c r="J120" s="79"/>
      <c r="K120" s="124"/>
      <c r="L120" s="85"/>
    </row>
    <row r="121" hidden="1">
      <c r="A121" s="68"/>
      <c r="B121" s="79"/>
      <c r="C121" s="79"/>
      <c r="D121" s="79"/>
      <c r="E121" s="186"/>
      <c r="F121" s="187"/>
      <c r="G121" s="188"/>
      <c r="H121" s="93"/>
      <c r="I121" s="79"/>
      <c r="J121" s="79"/>
      <c r="K121" s="124"/>
      <c r="L121" s="85"/>
    </row>
    <row r="122" hidden="1">
      <c r="A122" s="68"/>
      <c r="B122" s="79"/>
      <c r="C122" s="79"/>
      <c r="D122" s="79"/>
      <c r="E122" s="186"/>
      <c r="F122" s="187"/>
      <c r="G122" s="188"/>
      <c r="H122" s="93"/>
      <c r="I122" s="79"/>
      <c r="J122" s="79"/>
      <c r="K122" s="124"/>
      <c r="L122" s="85"/>
    </row>
    <row r="123" hidden="1">
      <c r="A123" s="68"/>
      <c r="B123" s="79"/>
      <c r="C123" s="79"/>
      <c r="D123" s="79"/>
      <c r="E123" s="186"/>
      <c r="F123" s="187"/>
      <c r="G123" s="188"/>
      <c r="H123" s="93"/>
      <c r="I123" s="79"/>
      <c r="J123" s="79"/>
      <c r="K123" s="124"/>
      <c r="L123" s="85"/>
    </row>
    <row r="124" hidden="1">
      <c r="A124" s="68"/>
      <c r="B124" s="79"/>
      <c r="C124" s="79"/>
      <c r="D124" s="79"/>
      <c r="E124" s="186"/>
      <c r="F124" s="187"/>
      <c r="G124" s="188"/>
      <c r="H124" s="93"/>
      <c r="I124" s="79"/>
      <c r="J124" s="79"/>
      <c r="K124" s="124"/>
      <c r="L124" s="85"/>
    </row>
    <row r="125" hidden="1">
      <c r="A125" s="68"/>
      <c r="B125" s="79"/>
      <c r="C125" s="79"/>
      <c r="D125" s="79"/>
      <c r="E125" s="186"/>
      <c r="F125" s="187"/>
      <c r="G125" s="188"/>
      <c r="H125" s="93"/>
      <c r="I125" s="79"/>
      <c r="J125" s="79"/>
      <c r="K125" s="124"/>
      <c r="L125" s="85"/>
    </row>
    <row r="126" hidden="1">
      <c r="A126" s="68"/>
      <c r="B126" s="79"/>
      <c r="C126" s="79"/>
      <c r="D126" s="79"/>
      <c r="E126" s="186"/>
      <c r="F126" s="187"/>
      <c r="G126" s="188"/>
      <c r="H126" s="93"/>
      <c r="I126" s="79"/>
      <c r="J126" s="79"/>
      <c r="K126" s="124"/>
      <c r="L126" s="85"/>
    </row>
    <row r="127" hidden="1">
      <c r="A127" s="68"/>
      <c r="B127" s="79"/>
      <c r="C127" s="79"/>
      <c r="D127" s="79"/>
      <c r="E127" s="186"/>
      <c r="F127" s="187"/>
      <c r="G127" s="188"/>
      <c r="H127" s="93"/>
      <c r="I127" s="79"/>
      <c r="J127" s="79"/>
      <c r="K127" s="124"/>
      <c r="L127" s="85"/>
    </row>
    <row r="128" hidden="1">
      <c r="A128" s="68"/>
      <c r="B128" s="79"/>
      <c r="C128" s="79"/>
      <c r="D128" s="79"/>
      <c r="E128" s="186"/>
      <c r="F128" s="187"/>
      <c r="G128" s="188"/>
      <c r="H128" s="93"/>
      <c r="I128" s="79"/>
      <c r="J128" s="79"/>
      <c r="K128" s="124"/>
      <c r="L128" s="85"/>
    </row>
    <row r="129" hidden="1">
      <c r="A129" s="68"/>
      <c r="B129" s="79"/>
      <c r="C129" s="79"/>
      <c r="D129" s="79"/>
      <c r="E129" s="186"/>
      <c r="F129" s="187"/>
      <c r="G129" s="188"/>
      <c r="H129" s="93"/>
      <c r="I129" s="79"/>
      <c r="J129" s="79"/>
      <c r="K129" s="124"/>
      <c r="L129" s="85"/>
    </row>
    <row r="130" hidden="1">
      <c r="A130" s="68"/>
      <c r="B130" s="79"/>
      <c r="C130" s="79"/>
      <c r="D130" s="79"/>
      <c r="E130" s="186"/>
      <c r="F130" s="187"/>
      <c r="G130" s="188"/>
      <c r="H130" s="93"/>
      <c r="I130" s="79"/>
      <c r="J130" s="79"/>
      <c r="K130" s="124"/>
      <c r="L130" s="85"/>
    </row>
    <row r="131" hidden="1">
      <c r="A131" s="68"/>
      <c r="B131" s="79"/>
      <c r="C131" s="79"/>
      <c r="D131" s="79"/>
      <c r="E131" s="186"/>
      <c r="F131" s="187"/>
      <c r="G131" s="188"/>
      <c r="H131" s="93"/>
      <c r="I131" s="79"/>
      <c r="J131" s="79"/>
      <c r="K131" s="124"/>
      <c r="L131" s="85"/>
    </row>
    <row r="132" hidden="1">
      <c r="A132" s="68"/>
      <c r="B132" s="79"/>
      <c r="C132" s="79"/>
      <c r="D132" s="79"/>
      <c r="E132" s="186"/>
      <c r="F132" s="187"/>
      <c r="G132" s="188"/>
      <c r="H132" s="93"/>
      <c r="I132" s="79"/>
      <c r="J132" s="79"/>
      <c r="K132" s="124"/>
      <c r="L132" s="85"/>
    </row>
    <row r="133" hidden="1">
      <c r="A133" s="68"/>
      <c r="B133" s="79"/>
      <c r="C133" s="79"/>
      <c r="D133" s="79"/>
      <c r="E133" s="186"/>
      <c r="F133" s="187"/>
      <c r="G133" s="188"/>
      <c r="H133" s="93"/>
      <c r="I133" s="79"/>
      <c r="J133" s="79"/>
      <c r="K133" s="124"/>
      <c r="L133" s="85"/>
    </row>
    <row r="134" hidden="1">
      <c r="A134" s="68"/>
      <c r="B134" s="79"/>
      <c r="C134" s="79"/>
      <c r="D134" s="79"/>
      <c r="E134" s="186"/>
      <c r="F134" s="187"/>
      <c r="G134" s="188"/>
      <c r="H134" s="93"/>
      <c r="I134" s="79"/>
      <c r="J134" s="79"/>
      <c r="K134" s="124"/>
      <c r="L134" s="85"/>
    </row>
    <row r="135" hidden="1">
      <c r="A135" s="68"/>
      <c r="B135" s="79"/>
      <c r="C135" s="79"/>
      <c r="D135" s="79"/>
      <c r="E135" s="186"/>
      <c r="F135" s="187"/>
      <c r="G135" s="188"/>
      <c r="H135" s="93"/>
      <c r="I135" s="79"/>
      <c r="J135" s="79"/>
      <c r="K135" s="124"/>
      <c r="L135" s="85"/>
    </row>
    <row r="136" hidden="1">
      <c r="A136" s="68"/>
      <c r="B136" s="79"/>
      <c r="C136" s="79"/>
      <c r="D136" s="79"/>
      <c r="E136" s="186"/>
      <c r="F136" s="187"/>
      <c r="G136" s="188"/>
      <c r="H136" s="93"/>
      <c r="I136" s="79"/>
      <c r="J136" s="79"/>
      <c r="K136" s="124"/>
      <c r="L136" s="85"/>
    </row>
    <row r="137" hidden="1">
      <c r="A137" s="68"/>
      <c r="B137" s="79"/>
      <c r="C137" s="79"/>
      <c r="D137" s="79"/>
      <c r="E137" s="186"/>
      <c r="F137" s="187"/>
      <c r="G137" s="188"/>
      <c r="H137" s="93"/>
      <c r="I137" s="79"/>
      <c r="J137" s="79"/>
      <c r="K137" s="124"/>
      <c r="L137" s="85"/>
    </row>
    <row r="138" hidden="1">
      <c r="A138" s="68"/>
      <c r="B138" s="79"/>
      <c r="C138" s="79"/>
      <c r="D138" s="79"/>
      <c r="E138" s="186"/>
      <c r="F138" s="187"/>
      <c r="G138" s="188"/>
      <c r="H138" s="93"/>
      <c r="I138" s="79"/>
      <c r="J138" s="79"/>
      <c r="K138" s="124"/>
      <c r="L138" s="85"/>
    </row>
    <row r="139" hidden="1">
      <c r="A139" s="68"/>
      <c r="B139" s="79"/>
      <c r="C139" s="79"/>
      <c r="D139" s="79"/>
      <c r="E139" s="186"/>
      <c r="F139" s="187"/>
      <c r="G139" s="188"/>
      <c r="H139" s="93"/>
      <c r="I139" s="79"/>
      <c r="J139" s="79"/>
      <c r="K139" s="124"/>
      <c r="L139" s="85"/>
    </row>
    <row r="140" hidden="1">
      <c r="A140" s="68"/>
      <c r="B140" s="79"/>
      <c r="C140" s="79"/>
      <c r="D140" s="79"/>
      <c r="E140" s="186"/>
      <c r="F140" s="187"/>
      <c r="G140" s="188"/>
      <c r="H140" s="93"/>
      <c r="I140" s="79"/>
      <c r="J140" s="79"/>
      <c r="K140" s="124"/>
      <c r="L140" s="85"/>
    </row>
    <row r="141" hidden="1">
      <c r="A141" s="68"/>
      <c r="B141" s="79"/>
      <c r="C141" s="79"/>
      <c r="D141" s="79"/>
      <c r="E141" s="186"/>
      <c r="F141" s="187"/>
      <c r="G141" s="188"/>
      <c r="H141" s="93"/>
      <c r="I141" s="79"/>
      <c r="J141" s="79"/>
      <c r="K141" s="124"/>
      <c r="L141" s="85"/>
    </row>
    <row r="142" hidden="1">
      <c r="A142" s="68"/>
      <c r="B142" s="79"/>
      <c r="C142" s="79"/>
      <c r="D142" s="79"/>
      <c r="E142" s="186"/>
      <c r="F142" s="187"/>
      <c r="G142" s="188"/>
      <c r="H142" s="93"/>
      <c r="I142" s="79"/>
      <c r="J142" s="79"/>
      <c r="K142" s="124"/>
      <c r="L142" s="85"/>
    </row>
    <row r="143" hidden="1">
      <c r="A143" s="68"/>
      <c r="B143" s="79"/>
      <c r="C143" s="79"/>
      <c r="D143" s="79"/>
      <c r="E143" s="186"/>
      <c r="F143" s="187"/>
      <c r="G143" s="188"/>
      <c r="H143" s="93"/>
      <c r="I143" s="79"/>
      <c r="J143" s="79"/>
      <c r="K143" s="124"/>
      <c r="L143" s="85"/>
    </row>
    <row r="144" hidden="1">
      <c r="A144" s="68"/>
      <c r="B144" s="79"/>
      <c r="C144" s="79"/>
      <c r="D144" s="79"/>
      <c r="E144" s="186"/>
      <c r="F144" s="187"/>
      <c r="G144" s="188"/>
      <c r="H144" s="93"/>
      <c r="I144" s="79"/>
      <c r="J144" s="79"/>
      <c r="K144" s="124"/>
      <c r="L144" s="85"/>
    </row>
    <row r="145" hidden="1">
      <c r="A145" s="68"/>
      <c r="B145" s="79"/>
      <c r="C145" s="79"/>
      <c r="D145" s="79"/>
      <c r="E145" s="186"/>
      <c r="F145" s="187"/>
      <c r="G145" s="188"/>
      <c r="H145" s="93"/>
      <c r="I145" s="79"/>
      <c r="J145" s="79"/>
      <c r="K145" s="124"/>
      <c r="L145" s="85"/>
    </row>
    <row r="146" hidden="1">
      <c r="A146" s="68"/>
      <c r="B146" s="79"/>
      <c r="C146" s="79"/>
      <c r="D146" s="79"/>
      <c r="E146" s="186"/>
      <c r="F146" s="187"/>
      <c r="G146" s="188"/>
      <c r="H146" s="93"/>
      <c r="I146" s="79"/>
      <c r="J146" s="79"/>
      <c r="K146" s="124"/>
      <c r="L146" s="85"/>
    </row>
    <row r="147" hidden="1">
      <c r="A147" s="68"/>
      <c r="B147" s="79"/>
      <c r="C147" s="79"/>
      <c r="D147" s="79"/>
      <c r="E147" s="186"/>
      <c r="F147" s="187"/>
      <c r="G147" s="188"/>
      <c r="H147" s="93"/>
      <c r="I147" s="79"/>
      <c r="J147" s="79"/>
      <c r="K147" s="124"/>
      <c r="L147" s="85"/>
    </row>
    <row r="148" hidden="1">
      <c r="A148" s="68"/>
      <c r="B148" s="79"/>
      <c r="C148" s="79"/>
      <c r="D148" s="79"/>
      <c r="E148" s="186"/>
      <c r="F148" s="187"/>
      <c r="G148" s="188"/>
      <c r="H148" s="93"/>
      <c r="I148" s="79"/>
      <c r="J148" s="79"/>
      <c r="K148" s="124"/>
      <c r="L148" s="85"/>
    </row>
    <row r="149" hidden="1">
      <c r="A149" s="68"/>
      <c r="B149" s="79"/>
      <c r="C149" s="79"/>
      <c r="D149" s="79"/>
      <c r="E149" s="186"/>
      <c r="F149" s="187"/>
      <c r="G149" s="188"/>
      <c r="H149" s="93"/>
      <c r="I149" s="79"/>
      <c r="J149" s="79"/>
      <c r="K149" s="124"/>
      <c r="L149" s="85"/>
    </row>
    <row r="150" hidden="1">
      <c r="A150" s="68"/>
      <c r="B150" s="79"/>
      <c r="C150" s="79"/>
      <c r="D150" s="79"/>
      <c r="E150" s="186"/>
      <c r="F150" s="187"/>
      <c r="G150" s="188"/>
      <c r="H150" s="93"/>
      <c r="I150" s="79"/>
      <c r="J150" s="79"/>
      <c r="K150" s="124"/>
      <c r="L150" s="85"/>
    </row>
    <row r="151" hidden="1">
      <c r="A151" s="68"/>
      <c r="B151" s="79"/>
      <c r="C151" s="79"/>
      <c r="D151" s="79"/>
      <c r="E151" s="186"/>
      <c r="F151" s="187"/>
      <c r="G151" s="188"/>
      <c r="H151" s="93"/>
      <c r="I151" s="79"/>
      <c r="J151" s="79"/>
      <c r="K151" s="124"/>
      <c r="L151" s="85"/>
    </row>
    <row r="152" hidden="1">
      <c r="A152" s="68"/>
      <c r="B152" s="79"/>
      <c r="C152" s="79"/>
      <c r="D152" s="79"/>
      <c r="E152" s="186"/>
      <c r="F152" s="187"/>
      <c r="G152" s="188"/>
      <c r="H152" s="93"/>
      <c r="I152" s="79"/>
      <c r="J152" s="79"/>
      <c r="K152" s="124"/>
      <c r="L152" s="85"/>
    </row>
    <row r="153" hidden="1">
      <c r="A153" s="68"/>
      <c r="B153" s="79"/>
      <c r="C153" s="79"/>
      <c r="D153" s="79"/>
      <c r="E153" s="186"/>
      <c r="F153" s="187"/>
      <c r="G153" s="188"/>
      <c r="H153" s="93"/>
      <c r="I153" s="79"/>
      <c r="J153" s="79"/>
      <c r="K153" s="124"/>
      <c r="L153" s="85"/>
    </row>
    <row r="154" hidden="1">
      <c r="A154" s="68"/>
      <c r="B154" s="79"/>
      <c r="C154" s="79"/>
      <c r="D154" s="79"/>
      <c r="E154" s="186"/>
      <c r="F154" s="187"/>
      <c r="G154" s="188"/>
      <c r="H154" s="93"/>
      <c r="I154" s="79"/>
      <c r="J154" s="79"/>
      <c r="K154" s="124"/>
      <c r="L154" s="85"/>
    </row>
    <row r="155" hidden="1">
      <c r="A155" s="68"/>
      <c r="B155" s="79"/>
      <c r="C155" s="79"/>
      <c r="D155" s="79"/>
      <c r="E155" s="186"/>
      <c r="F155" s="187"/>
      <c r="G155" s="188"/>
      <c r="H155" s="93"/>
      <c r="I155" s="79"/>
      <c r="J155" s="79"/>
      <c r="K155" s="124"/>
      <c r="L155" s="85"/>
    </row>
    <row r="156" hidden="1">
      <c r="A156" s="68"/>
      <c r="B156" s="79"/>
      <c r="C156" s="79"/>
      <c r="D156" s="79"/>
      <c r="E156" s="186"/>
      <c r="F156" s="187"/>
      <c r="G156" s="188"/>
      <c r="H156" s="93"/>
      <c r="I156" s="79"/>
      <c r="J156" s="79"/>
      <c r="K156" s="124"/>
      <c r="L156" s="85"/>
    </row>
    <row r="157" hidden="1">
      <c r="A157" s="68"/>
      <c r="B157" s="79"/>
      <c r="C157" s="79"/>
      <c r="D157" s="79"/>
      <c r="E157" s="186"/>
      <c r="F157" s="187"/>
      <c r="G157" s="188"/>
      <c r="H157" s="93"/>
      <c r="I157" s="79"/>
      <c r="J157" s="79"/>
      <c r="K157" s="124"/>
      <c r="L157" s="85"/>
    </row>
    <row r="158" hidden="1">
      <c r="A158" s="68"/>
      <c r="B158" s="79"/>
      <c r="C158" s="79"/>
      <c r="D158" s="79"/>
      <c r="E158" s="186"/>
      <c r="F158" s="187"/>
      <c r="G158" s="188"/>
      <c r="H158" s="93"/>
      <c r="I158" s="79"/>
      <c r="J158" s="79"/>
      <c r="K158" s="124"/>
      <c r="L158" s="85"/>
    </row>
    <row r="159" hidden="1">
      <c r="A159" s="68"/>
      <c r="B159" s="79"/>
      <c r="C159" s="79"/>
      <c r="D159" s="79"/>
      <c r="E159" s="186"/>
      <c r="F159" s="187"/>
      <c r="G159" s="188"/>
      <c r="H159" s="93"/>
      <c r="I159" s="79"/>
      <c r="J159" s="79"/>
      <c r="K159" s="124"/>
      <c r="L159" s="85"/>
    </row>
    <row r="160" hidden="1">
      <c r="A160" s="68"/>
      <c r="B160" s="79"/>
      <c r="C160" s="79"/>
      <c r="D160" s="79"/>
      <c r="E160" s="186"/>
      <c r="F160" s="187"/>
      <c r="G160" s="188"/>
      <c r="H160" s="93"/>
      <c r="I160" s="79"/>
      <c r="J160" s="79"/>
      <c r="K160" s="124"/>
      <c r="L160" s="85"/>
    </row>
    <row r="161" hidden="1">
      <c r="A161" s="68"/>
      <c r="B161" s="79"/>
      <c r="C161" s="79"/>
      <c r="D161" s="79"/>
      <c r="E161" s="186"/>
      <c r="F161" s="187"/>
      <c r="G161" s="188"/>
      <c r="H161" s="93"/>
      <c r="I161" s="79"/>
      <c r="J161" s="79"/>
      <c r="K161" s="124"/>
      <c r="L161" s="85"/>
    </row>
    <row r="162" hidden="1">
      <c r="A162" s="68"/>
      <c r="B162" s="79"/>
      <c r="C162" s="79"/>
      <c r="D162" s="79"/>
      <c r="E162" s="186"/>
      <c r="F162" s="187"/>
      <c r="G162" s="188"/>
      <c r="H162" s="93"/>
      <c r="I162" s="79"/>
      <c r="J162" s="79"/>
      <c r="K162" s="124"/>
      <c r="L162" s="85"/>
    </row>
    <row r="163" hidden="1">
      <c r="A163" s="68"/>
      <c r="B163" s="79"/>
      <c r="C163" s="79"/>
      <c r="D163" s="79"/>
      <c r="E163" s="186"/>
      <c r="F163" s="187"/>
      <c r="G163" s="188"/>
      <c r="H163" s="93"/>
      <c r="I163" s="79"/>
      <c r="J163" s="79"/>
      <c r="K163" s="124"/>
      <c r="L163" s="85"/>
    </row>
    <row r="164" hidden="1">
      <c r="A164" s="68"/>
      <c r="B164" s="79"/>
      <c r="C164" s="79"/>
      <c r="D164" s="79"/>
      <c r="E164" s="186"/>
      <c r="F164" s="187"/>
      <c r="G164" s="188"/>
      <c r="H164" s="93"/>
      <c r="I164" s="79"/>
      <c r="J164" s="79"/>
      <c r="K164" s="124"/>
      <c r="L164" s="85"/>
    </row>
    <row r="165" hidden="1">
      <c r="A165" s="68"/>
      <c r="B165" s="79"/>
      <c r="C165" s="79"/>
      <c r="D165" s="79"/>
      <c r="E165" s="186"/>
      <c r="F165" s="187"/>
      <c r="G165" s="188"/>
      <c r="H165" s="93"/>
      <c r="I165" s="79"/>
      <c r="J165" s="79"/>
      <c r="K165" s="124"/>
      <c r="L165" s="85"/>
    </row>
    <row r="166" hidden="1">
      <c r="A166" s="68"/>
      <c r="B166" s="79"/>
      <c r="C166" s="79"/>
      <c r="D166" s="79"/>
      <c r="E166" s="186"/>
      <c r="F166" s="187"/>
      <c r="G166" s="188"/>
      <c r="H166" s="93"/>
      <c r="I166" s="79"/>
      <c r="J166" s="79"/>
      <c r="K166" s="124"/>
      <c r="L166" s="85"/>
    </row>
    <row r="167" hidden="1">
      <c r="A167" s="68"/>
      <c r="B167" s="79"/>
      <c r="C167" s="79"/>
      <c r="D167" s="79"/>
      <c r="E167" s="186"/>
      <c r="F167" s="187"/>
      <c r="G167" s="188"/>
      <c r="H167" s="93"/>
      <c r="I167" s="79"/>
      <c r="J167" s="79"/>
      <c r="K167" s="124"/>
      <c r="L167" s="85"/>
    </row>
    <row r="168" hidden="1">
      <c r="A168" s="68"/>
      <c r="B168" s="79"/>
      <c r="C168" s="79"/>
      <c r="D168" s="79"/>
      <c r="E168" s="186"/>
      <c r="F168" s="187"/>
      <c r="G168" s="188"/>
      <c r="H168" s="93"/>
      <c r="I168" s="79"/>
      <c r="J168" s="79"/>
      <c r="K168" s="124"/>
      <c r="L168" s="85"/>
    </row>
    <row r="169" hidden="1">
      <c r="A169" s="68"/>
      <c r="B169" s="79"/>
      <c r="C169" s="79"/>
      <c r="D169" s="79"/>
      <c r="E169" s="186"/>
      <c r="F169" s="187"/>
      <c r="G169" s="188"/>
      <c r="H169" s="93"/>
      <c r="I169" s="79"/>
      <c r="J169" s="79"/>
      <c r="K169" s="124"/>
      <c r="L169" s="85"/>
    </row>
    <row r="170" hidden="1">
      <c r="A170" s="68"/>
      <c r="B170" s="79"/>
      <c r="C170" s="79"/>
      <c r="D170" s="79"/>
      <c r="E170" s="186"/>
      <c r="F170" s="187"/>
      <c r="G170" s="188"/>
      <c r="H170" s="93"/>
      <c r="I170" s="79"/>
      <c r="J170" s="79"/>
      <c r="K170" s="124"/>
      <c r="L170" s="85"/>
    </row>
    <row r="171" hidden="1">
      <c r="A171" s="68"/>
      <c r="B171" s="79"/>
      <c r="C171" s="79"/>
      <c r="D171" s="79"/>
      <c r="E171" s="186"/>
      <c r="F171" s="187"/>
      <c r="G171" s="188"/>
      <c r="H171" s="93"/>
      <c r="I171" s="79"/>
      <c r="J171" s="79"/>
      <c r="K171" s="124"/>
      <c r="L171" s="85"/>
    </row>
    <row r="172" hidden="1">
      <c r="A172" s="68"/>
      <c r="B172" s="79"/>
      <c r="C172" s="79"/>
      <c r="D172" s="79"/>
      <c r="E172" s="186"/>
      <c r="F172" s="187"/>
      <c r="G172" s="188"/>
      <c r="H172" s="93"/>
      <c r="I172" s="79"/>
      <c r="J172" s="79"/>
      <c r="K172" s="124"/>
      <c r="L172" s="85"/>
    </row>
    <row r="173" hidden="1">
      <c r="A173" s="68"/>
      <c r="B173" s="79"/>
      <c r="C173" s="79"/>
      <c r="D173" s="79"/>
      <c r="E173" s="186"/>
      <c r="F173" s="187"/>
      <c r="G173" s="188"/>
      <c r="H173" s="93"/>
      <c r="I173" s="79"/>
      <c r="J173" s="79"/>
      <c r="K173" s="124"/>
      <c r="L173" s="85"/>
    </row>
    <row r="174" hidden="1">
      <c r="A174" s="68"/>
      <c r="B174" s="79"/>
      <c r="C174" s="79"/>
      <c r="D174" s="79"/>
      <c r="E174" s="186"/>
      <c r="F174" s="187"/>
      <c r="G174" s="188"/>
      <c r="H174" s="93"/>
      <c r="I174" s="79"/>
      <c r="J174" s="79"/>
      <c r="K174" s="124"/>
      <c r="L174" s="85"/>
    </row>
    <row r="175" hidden="1">
      <c r="A175" s="68"/>
      <c r="B175" s="79"/>
      <c r="C175" s="79"/>
      <c r="D175" s="79"/>
      <c r="E175" s="186"/>
      <c r="F175" s="187"/>
      <c r="G175" s="188"/>
      <c r="H175" s="93"/>
      <c r="I175" s="79"/>
      <c r="J175" s="79"/>
      <c r="K175" s="124"/>
      <c r="L175" s="85"/>
    </row>
    <row r="176" hidden="1">
      <c r="A176" s="68"/>
      <c r="B176" s="79"/>
      <c r="C176" s="79"/>
      <c r="D176" s="79"/>
      <c r="E176" s="186"/>
      <c r="F176" s="187"/>
      <c r="G176" s="188"/>
      <c r="H176" s="93"/>
      <c r="I176" s="79"/>
      <c r="J176" s="79"/>
      <c r="K176" s="124"/>
      <c r="L176" s="85"/>
    </row>
    <row r="177" hidden="1">
      <c r="A177" s="68"/>
      <c r="B177" s="79"/>
      <c r="C177" s="79"/>
      <c r="D177" s="79"/>
      <c r="E177" s="186"/>
      <c r="F177" s="187"/>
      <c r="G177" s="188"/>
      <c r="H177" s="93"/>
      <c r="I177" s="79"/>
      <c r="J177" s="79"/>
      <c r="K177" s="124"/>
      <c r="L177" s="85"/>
    </row>
    <row r="178" hidden="1">
      <c r="A178" s="68"/>
      <c r="B178" s="79"/>
      <c r="C178" s="79"/>
      <c r="D178" s="79"/>
      <c r="E178" s="186"/>
      <c r="F178" s="187"/>
      <c r="G178" s="188"/>
      <c r="H178" s="93"/>
      <c r="I178" s="79"/>
      <c r="J178" s="79"/>
      <c r="K178" s="124"/>
      <c r="L178" s="85"/>
    </row>
    <row r="179" hidden="1">
      <c r="A179" s="68"/>
      <c r="B179" s="79"/>
      <c r="C179" s="79"/>
      <c r="D179" s="79"/>
      <c r="E179" s="186"/>
      <c r="F179" s="187"/>
      <c r="G179" s="188"/>
      <c r="H179" s="93"/>
      <c r="I179" s="79"/>
      <c r="J179" s="79"/>
      <c r="K179" s="124"/>
      <c r="L179" s="85"/>
    </row>
    <row r="180" hidden="1">
      <c r="A180" s="68"/>
      <c r="B180" s="79"/>
      <c r="C180" s="79"/>
      <c r="D180" s="79"/>
      <c r="E180" s="186"/>
      <c r="F180" s="187"/>
      <c r="G180" s="188"/>
      <c r="H180" s="93"/>
      <c r="I180" s="79"/>
      <c r="J180" s="79"/>
      <c r="K180" s="124"/>
      <c r="L180" s="85"/>
    </row>
    <row r="181" hidden="1">
      <c r="A181" s="68"/>
      <c r="B181" s="79"/>
      <c r="C181" s="79"/>
      <c r="D181" s="79"/>
      <c r="E181" s="186"/>
      <c r="F181" s="187"/>
      <c r="G181" s="188"/>
      <c r="H181" s="93"/>
      <c r="I181" s="79"/>
      <c r="J181" s="79"/>
      <c r="K181" s="124"/>
      <c r="L181" s="85"/>
    </row>
    <row r="182" hidden="1">
      <c r="A182" s="68"/>
      <c r="B182" s="79"/>
      <c r="C182" s="79"/>
      <c r="D182" s="79"/>
      <c r="E182" s="186"/>
      <c r="F182" s="187"/>
      <c r="G182" s="188"/>
      <c r="H182" s="93"/>
      <c r="I182" s="79"/>
      <c r="J182" s="79"/>
      <c r="K182" s="124"/>
      <c r="L182" s="85"/>
    </row>
    <row r="183" hidden="1">
      <c r="A183" s="68"/>
      <c r="B183" s="79"/>
      <c r="C183" s="79"/>
      <c r="D183" s="79"/>
      <c r="E183" s="186"/>
      <c r="F183" s="187"/>
      <c r="G183" s="188"/>
      <c r="H183" s="93"/>
      <c r="I183" s="79"/>
      <c r="J183" s="79"/>
      <c r="K183" s="124"/>
      <c r="L183" s="85"/>
    </row>
    <row r="184" hidden="1">
      <c r="A184" s="68"/>
      <c r="B184" s="79"/>
      <c r="C184" s="79"/>
      <c r="D184" s="79"/>
      <c r="E184" s="186"/>
      <c r="F184" s="187"/>
      <c r="G184" s="188"/>
      <c r="H184" s="93"/>
      <c r="I184" s="79"/>
      <c r="J184" s="79"/>
      <c r="K184" s="124"/>
      <c r="L184" s="85"/>
    </row>
    <row r="185" hidden="1">
      <c r="A185" s="68"/>
      <c r="B185" s="79"/>
      <c r="C185" s="79"/>
      <c r="D185" s="79"/>
      <c r="E185" s="186"/>
      <c r="F185" s="187"/>
      <c r="G185" s="188"/>
      <c r="H185" s="93"/>
      <c r="I185" s="79"/>
      <c r="J185" s="79"/>
      <c r="K185" s="124"/>
      <c r="L185" s="85"/>
    </row>
    <row r="186" hidden="1">
      <c r="A186" s="68"/>
      <c r="B186" s="79"/>
      <c r="C186" s="79"/>
      <c r="D186" s="79"/>
      <c r="E186" s="186"/>
      <c r="F186" s="187"/>
      <c r="G186" s="188"/>
      <c r="H186" s="93"/>
      <c r="I186" s="79"/>
      <c r="J186" s="79"/>
      <c r="K186" s="124"/>
      <c r="L186" s="85"/>
    </row>
    <row r="187" hidden="1">
      <c r="A187" s="68"/>
      <c r="B187" s="79"/>
      <c r="C187" s="79"/>
      <c r="D187" s="79"/>
      <c r="E187" s="186"/>
      <c r="F187" s="187"/>
      <c r="G187" s="188"/>
      <c r="H187" s="93"/>
      <c r="I187" s="79"/>
      <c r="J187" s="79"/>
      <c r="K187" s="124"/>
      <c r="L187" s="85"/>
    </row>
    <row r="188" hidden="1">
      <c r="A188" s="68"/>
      <c r="B188" s="79"/>
      <c r="C188" s="79"/>
      <c r="D188" s="79"/>
      <c r="E188" s="186"/>
      <c r="F188" s="187"/>
      <c r="G188" s="188"/>
      <c r="H188" s="93"/>
      <c r="I188" s="79"/>
      <c r="J188" s="79"/>
      <c r="K188" s="124"/>
      <c r="L188" s="85"/>
    </row>
    <row r="189" hidden="1">
      <c r="A189" s="68"/>
      <c r="B189" s="79"/>
      <c r="C189" s="79"/>
      <c r="D189" s="79"/>
      <c r="E189" s="186"/>
      <c r="F189" s="187"/>
      <c r="G189" s="188"/>
      <c r="H189" s="93"/>
      <c r="I189" s="79"/>
      <c r="J189" s="79"/>
      <c r="K189" s="124"/>
      <c r="L189" s="85"/>
    </row>
    <row r="190" hidden="1">
      <c r="A190" s="68"/>
      <c r="B190" s="79"/>
      <c r="C190" s="79"/>
      <c r="D190" s="79"/>
      <c r="E190" s="186"/>
      <c r="F190" s="187"/>
      <c r="G190" s="188"/>
      <c r="H190" s="93"/>
      <c r="I190" s="79"/>
      <c r="J190" s="79"/>
      <c r="K190" s="124"/>
      <c r="L190" s="85"/>
    </row>
    <row r="191" hidden="1">
      <c r="A191" s="68"/>
      <c r="B191" s="79"/>
      <c r="C191" s="79"/>
      <c r="D191" s="79"/>
      <c r="E191" s="186"/>
      <c r="F191" s="187"/>
      <c r="G191" s="188"/>
      <c r="H191" s="93"/>
      <c r="I191" s="79"/>
      <c r="J191" s="79"/>
      <c r="K191" s="124"/>
      <c r="L191" s="85"/>
    </row>
    <row r="192" hidden="1">
      <c r="A192" s="68"/>
      <c r="B192" s="79"/>
      <c r="C192" s="79"/>
      <c r="D192" s="79"/>
      <c r="E192" s="186"/>
      <c r="F192" s="187"/>
      <c r="G192" s="188"/>
      <c r="H192" s="93"/>
      <c r="I192" s="79"/>
      <c r="J192" s="79"/>
      <c r="K192" s="124"/>
      <c r="L192" s="85"/>
    </row>
    <row r="193" hidden="1">
      <c r="A193" s="68"/>
      <c r="B193" s="79"/>
      <c r="C193" s="79"/>
      <c r="D193" s="79"/>
      <c r="E193" s="186"/>
      <c r="F193" s="187"/>
      <c r="G193" s="188"/>
      <c r="H193" s="93"/>
      <c r="I193" s="79"/>
      <c r="J193" s="79"/>
      <c r="K193" s="124"/>
      <c r="L193" s="85"/>
    </row>
    <row r="194" hidden="1">
      <c r="A194" s="68"/>
      <c r="B194" s="79"/>
      <c r="C194" s="79"/>
      <c r="D194" s="79"/>
      <c r="E194" s="186"/>
      <c r="F194" s="187"/>
      <c r="G194" s="188"/>
      <c r="H194" s="93"/>
      <c r="I194" s="79"/>
      <c r="J194" s="79"/>
      <c r="K194" s="124"/>
      <c r="L194" s="85"/>
    </row>
    <row r="195" hidden="1">
      <c r="A195" s="68"/>
      <c r="B195" s="79"/>
      <c r="C195" s="79"/>
      <c r="D195" s="79"/>
      <c r="E195" s="186"/>
      <c r="F195" s="187"/>
      <c r="G195" s="188"/>
      <c r="H195" s="93"/>
      <c r="I195" s="79"/>
      <c r="J195" s="79"/>
      <c r="K195" s="124"/>
      <c r="L195" s="85"/>
    </row>
    <row r="196" hidden="1">
      <c r="A196" s="68"/>
      <c r="B196" s="79"/>
      <c r="C196" s="79"/>
      <c r="D196" s="79"/>
      <c r="E196" s="186"/>
      <c r="F196" s="187"/>
      <c r="G196" s="188"/>
      <c r="H196" s="93"/>
      <c r="I196" s="79"/>
      <c r="J196" s="79"/>
      <c r="K196" s="124"/>
      <c r="L196" s="85"/>
    </row>
    <row r="197" hidden="1">
      <c r="A197" s="68"/>
      <c r="B197" s="79"/>
      <c r="C197" s="79"/>
      <c r="D197" s="79"/>
      <c r="E197" s="186"/>
      <c r="F197" s="187"/>
      <c r="G197" s="188"/>
      <c r="H197" s="93"/>
      <c r="I197" s="79"/>
      <c r="J197" s="79"/>
      <c r="K197" s="124"/>
      <c r="L197" s="85"/>
    </row>
    <row r="198" hidden="1">
      <c r="A198" s="68"/>
      <c r="B198" s="79"/>
      <c r="C198" s="79"/>
      <c r="D198" s="79"/>
      <c r="E198" s="186"/>
      <c r="F198" s="187"/>
      <c r="G198" s="188"/>
      <c r="H198" s="93"/>
      <c r="I198" s="79"/>
      <c r="J198" s="79"/>
      <c r="K198" s="124"/>
      <c r="L198" s="85"/>
    </row>
    <row r="199" hidden="1">
      <c r="A199" s="68"/>
      <c r="B199" s="79"/>
      <c r="C199" s="79"/>
      <c r="D199" s="79"/>
      <c r="E199" s="186"/>
      <c r="F199" s="187"/>
      <c r="G199" s="188"/>
      <c r="H199" s="93"/>
      <c r="I199" s="79"/>
      <c r="J199" s="79"/>
      <c r="K199" s="124"/>
      <c r="L199" s="85"/>
    </row>
    <row r="200" hidden="1">
      <c r="A200" s="68"/>
      <c r="B200" s="79"/>
      <c r="C200" s="79"/>
      <c r="D200" s="79"/>
      <c r="E200" s="186"/>
      <c r="F200" s="187"/>
      <c r="G200" s="188"/>
      <c r="H200" s="93"/>
      <c r="I200" s="79"/>
      <c r="J200" s="79"/>
      <c r="K200" s="124"/>
      <c r="L200" s="85"/>
    </row>
    <row r="201" hidden="1">
      <c r="A201" s="68"/>
      <c r="B201" s="79"/>
      <c r="C201" s="79"/>
      <c r="D201" s="79"/>
      <c r="E201" s="186"/>
      <c r="F201" s="187"/>
      <c r="G201" s="188"/>
      <c r="H201" s="93"/>
      <c r="I201" s="79"/>
      <c r="J201" s="79"/>
      <c r="K201" s="124"/>
      <c r="L201" s="85"/>
    </row>
    <row r="202" hidden="1">
      <c r="A202" s="68"/>
      <c r="B202" s="79"/>
      <c r="C202" s="79"/>
      <c r="D202" s="79"/>
      <c r="E202" s="186"/>
      <c r="F202" s="187"/>
      <c r="G202" s="188"/>
      <c r="H202" s="93"/>
      <c r="I202" s="79"/>
      <c r="J202" s="79"/>
      <c r="K202" s="124"/>
      <c r="L202" s="85"/>
    </row>
    <row r="203" hidden="1">
      <c r="A203" s="68"/>
      <c r="B203" s="79"/>
      <c r="C203" s="79"/>
      <c r="D203" s="79"/>
      <c r="E203" s="186"/>
      <c r="F203" s="187"/>
      <c r="G203" s="188"/>
      <c r="H203" s="93"/>
      <c r="I203" s="79"/>
      <c r="J203" s="79"/>
      <c r="K203" s="124"/>
      <c r="L203" s="85"/>
    </row>
    <row r="204" hidden="1">
      <c r="A204" s="68"/>
      <c r="B204" s="79"/>
      <c r="C204" s="79"/>
      <c r="D204" s="79"/>
      <c r="E204" s="186"/>
      <c r="F204" s="187"/>
      <c r="G204" s="188"/>
      <c r="H204" s="93"/>
      <c r="I204" s="79"/>
      <c r="J204" s="79"/>
      <c r="K204" s="124"/>
      <c r="L204" s="85"/>
    </row>
    <row r="205" hidden="1">
      <c r="A205" s="68"/>
      <c r="B205" s="79"/>
      <c r="C205" s="79"/>
      <c r="D205" s="79"/>
      <c r="E205" s="186"/>
      <c r="F205" s="187"/>
      <c r="G205" s="188"/>
      <c r="H205" s="93"/>
      <c r="I205" s="79"/>
      <c r="J205" s="79"/>
      <c r="K205" s="124"/>
      <c r="L205" s="85"/>
    </row>
    <row r="206" hidden="1">
      <c r="A206" s="68"/>
      <c r="B206" s="79"/>
      <c r="C206" s="79"/>
      <c r="D206" s="79"/>
      <c r="E206" s="186"/>
      <c r="F206" s="187"/>
      <c r="G206" s="188"/>
      <c r="H206" s="93"/>
      <c r="I206" s="79"/>
      <c r="J206" s="79"/>
      <c r="K206" s="124"/>
      <c r="L206" s="85"/>
    </row>
    <row r="207" hidden="1">
      <c r="A207" s="68"/>
      <c r="B207" s="79"/>
      <c r="C207" s="79"/>
      <c r="D207" s="79"/>
      <c r="E207" s="186"/>
      <c r="F207" s="187"/>
      <c r="G207" s="188"/>
      <c r="H207" s="93"/>
      <c r="I207" s="79"/>
      <c r="J207" s="79"/>
      <c r="K207" s="124"/>
      <c r="L207" s="85"/>
    </row>
    <row r="208" hidden="1">
      <c r="A208" s="68"/>
      <c r="B208" s="79"/>
      <c r="C208" s="79"/>
      <c r="D208" s="79"/>
      <c r="E208" s="186"/>
      <c r="F208" s="187"/>
      <c r="G208" s="188"/>
      <c r="H208" s="93"/>
      <c r="I208" s="79"/>
      <c r="J208" s="79"/>
      <c r="K208" s="124"/>
      <c r="L208" s="85"/>
    </row>
    <row r="209" hidden="1">
      <c r="A209" s="68"/>
      <c r="B209" s="79"/>
      <c r="C209" s="79"/>
      <c r="D209" s="79"/>
      <c r="E209" s="186"/>
      <c r="F209" s="187"/>
      <c r="G209" s="188"/>
      <c r="H209" s="93"/>
      <c r="I209" s="79"/>
      <c r="J209" s="79"/>
      <c r="K209" s="124"/>
      <c r="L209" s="85"/>
    </row>
    <row r="210" hidden="1">
      <c r="A210" s="68"/>
      <c r="B210" s="79"/>
      <c r="C210" s="79"/>
      <c r="D210" s="79"/>
      <c r="E210" s="186"/>
      <c r="F210" s="187"/>
      <c r="G210" s="188"/>
      <c r="H210" s="93"/>
      <c r="I210" s="79"/>
      <c r="J210" s="79"/>
      <c r="K210" s="124"/>
      <c r="L210" s="85"/>
    </row>
    <row r="211" hidden="1">
      <c r="A211" s="68"/>
      <c r="B211" s="79"/>
      <c r="C211" s="79"/>
      <c r="D211" s="79"/>
      <c r="E211" s="186"/>
      <c r="F211" s="187"/>
      <c r="G211" s="188"/>
      <c r="H211" s="93"/>
      <c r="I211" s="79"/>
      <c r="J211" s="79"/>
      <c r="K211" s="124"/>
      <c r="L211" s="85"/>
    </row>
    <row r="212" hidden="1">
      <c r="A212" s="68"/>
      <c r="B212" s="79"/>
      <c r="C212" s="79"/>
      <c r="D212" s="79"/>
      <c r="E212" s="186"/>
      <c r="F212" s="187"/>
      <c r="G212" s="188"/>
      <c r="H212" s="93"/>
      <c r="I212" s="79"/>
      <c r="J212" s="79"/>
      <c r="K212" s="124"/>
      <c r="L212" s="85"/>
    </row>
    <row r="213" hidden="1">
      <c r="A213" s="68"/>
      <c r="B213" s="79"/>
      <c r="C213" s="79"/>
      <c r="D213" s="79"/>
      <c r="E213" s="186"/>
      <c r="F213" s="187"/>
      <c r="G213" s="188"/>
      <c r="H213" s="93"/>
      <c r="I213" s="79"/>
      <c r="J213" s="79"/>
      <c r="K213" s="124"/>
      <c r="L213" s="85"/>
    </row>
    <row r="214" hidden="1">
      <c r="A214" s="68"/>
      <c r="B214" s="79"/>
      <c r="C214" s="79"/>
      <c r="D214" s="79"/>
      <c r="E214" s="186"/>
      <c r="F214" s="187"/>
      <c r="G214" s="188"/>
      <c r="H214" s="93"/>
      <c r="I214" s="79"/>
      <c r="J214" s="79"/>
      <c r="K214" s="124"/>
      <c r="L214" s="85"/>
    </row>
    <row r="215" hidden="1">
      <c r="A215" s="68"/>
      <c r="B215" s="79"/>
      <c r="C215" s="79"/>
      <c r="D215" s="79"/>
      <c r="E215" s="186"/>
      <c r="F215" s="187"/>
      <c r="G215" s="188"/>
      <c r="H215" s="93"/>
      <c r="I215" s="79"/>
      <c r="J215" s="79"/>
      <c r="K215" s="124"/>
      <c r="L215" s="85"/>
    </row>
    <row r="216" hidden="1">
      <c r="A216" s="68"/>
      <c r="B216" s="79"/>
      <c r="C216" s="79"/>
      <c r="D216" s="79"/>
      <c r="E216" s="186"/>
      <c r="F216" s="187"/>
      <c r="G216" s="188"/>
      <c r="H216" s="93"/>
      <c r="I216" s="79"/>
      <c r="J216" s="79"/>
      <c r="K216" s="124"/>
      <c r="L216" s="85"/>
    </row>
    <row r="217" hidden="1">
      <c r="A217" s="68"/>
      <c r="B217" s="79"/>
      <c r="C217" s="79"/>
      <c r="D217" s="79"/>
      <c r="E217" s="186"/>
      <c r="F217" s="187"/>
      <c r="G217" s="188"/>
      <c r="H217" s="93"/>
      <c r="I217" s="79"/>
      <c r="J217" s="79"/>
      <c r="K217" s="124"/>
      <c r="L217" s="85"/>
    </row>
    <row r="218" hidden="1">
      <c r="A218" s="68"/>
      <c r="B218" s="79"/>
      <c r="C218" s="79"/>
      <c r="D218" s="79"/>
      <c r="E218" s="186"/>
      <c r="F218" s="187"/>
      <c r="G218" s="188"/>
      <c r="H218" s="93"/>
      <c r="I218" s="79"/>
      <c r="J218" s="79"/>
      <c r="K218" s="124"/>
      <c r="L218" s="85"/>
    </row>
    <row r="219" hidden="1">
      <c r="A219" s="68"/>
      <c r="B219" s="79"/>
      <c r="C219" s="79"/>
      <c r="D219" s="79"/>
      <c r="E219" s="186"/>
      <c r="F219" s="187"/>
      <c r="G219" s="188"/>
      <c r="H219" s="93"/>
      <c r="I219" s="79"/>
      <c r="J219" s="79"/>
      <c r="K219" s="124"/>
      <c r="L219" s="85"/>
    </row>
    <row r="220" hidden="1">
      <c r="A220" s="68"/>
      <c r="B220" s="79"/>
      <c r="C220" s="79"/>
      <c r="D220" s="79"/>
      <c r="E220" s="186"/>
      <c r="F220" s="187"/>
      <c r="G220" s="188"/>
      <c r="H220" s="93"/>
      <c r="I220" s="79"/>
      <c r="J220" s="79"/>
      <c r="K220" s="124"/>
      <c r="L220" s="85"/>
    </row>
    <row r="221" hidden="1">
      <c r="A221" s="68"/>
      <c r="B221" s="79"/>
      <c r="C221" s="79"/>
      <c r="D221" s="79"/>
      <c r="E221" s="186"/>
      <c r="F221" s="187"/>
      <c r="G221" s="188"/>
      <c r="H221" s="93"/>
      <c r="I221" s="79"/>
      <c r="J221" s="79"/>
      <c r="K221" s="124"/>
      <c r="L221" s="85"/>
    </row>
    <row r="222" hidden="1">
      <c r="A222" s="68"/>
      <c r="B222" s="79"/>
      <c r="C222" s="79"/>
      <c r="D222" s="79"/>
      <c r="E222" s="186"/>
      <c r="F222" s="187"/>
      <c r="G222" s="188"/>
      <c r="H222" s="93"/>
      <c r="I222" s="79"/>
      <c r="J222" s="79"/>
      <c r="K222" s="124"/>
      <c r="L222" s="85"/>
    </row>
    <row r="223" hidden="1">
      <c r="A223" s="68"/>
      <c r="B223" s="79"/>
      <c r="C223" s="79"/>
      <c r="D223" s="79"/>
      <c r="E223" s="186"/>
      <c r="F223" s="187"/>
      <c r="G223" s="188"/>
      <c r="H223" s="93"/>
      <c r="I223" s="79"/>
      <c r="J223" s="79"/>
      <c r="K223" s="124"/>
      <c r="L223" s="85"/>
    </row>
    <row r="224" hidden="1">
      <c r="A224" s="68"/>
      <c r="B224" s="79"/>
      <c r="C224" s="79"/>
      <c r="D224" s="79"/>
      <c r="E224" s="186"/>
      <c r="F224" s="187"/>
      <c r="G224" s="188"/>
      <c r="H224" s="93"/>
      <c r="I224" s="79"/>
      <c r="J224" s="79"/>
      <c r="K224" s="124"/>
      <c r="L224" s="85"/>
    </row>
    <row r="225" hidden="1">
      <c r="A225" s="68"/>
      <c r="B225" s="79"/>
      <c r="C225" s="79"/>
      <c r="D225" s="79"/>
      <c r="E225" s="186"/>
      <c r="F225" s="187"/>
      <c r="G225" s="188"/>
      <c r="H225" s="93"/>
      <c r="I225" s="79"/>
      <c r="J225" s="79"/>
      <c r="K225" s="124"/>
      <c r="L225" s="85"/>
    </row>
    <row r="226" hidden="1">
      <c r="A226" s="68"/>
      <c r="B226" s="79"/>
      <c r="C226" s="79"/>
      <c r="D226" s="79"/>
      <c r="E226" s="186"/>
      <c r="F226" s="187"/>
      <c r="G226" s="188"/>
      <c r="H226" s="93"/>
      <c r="I226" s="79"/>
      <c r="J226" s="79"/>
      <c r="K226" s="124"/>
      <c r="L226" s="85"/>
    </row>
    <row r="227" hidden="1">
      <c r="A227" s="68"/>
      <c r="B227" s="79"/>
      <c r="C227" s="79"/>
      <c r="D227" s="79"/>
      <c r="E227" s="186"/>
      <c r="F227" s="187"/>
      <c r="G227" s="188"/>
      <c r="H227" s="93"/>
      <c r="I227" s="79"/>
      <c r="J227" s="79"/>
      <c r="K227" s="124"/>
      <c r="L227" s="85"/>
    </row>
    <row r="228" hidden="1">
      <c r="A228" s="68"/>
      <c r="B228" s="79"/>
      <c r="C228" s="79"/>
      <c r="D228" s="79"/>
      <c r="E228" s="186"/>
      <c r="F228" s="187"/>
      <c r="G228" s="188"/>
      <c r="H228" s="93"/>
      <c r="I228" s="79"/>
      <c r="J228" s="79"/>
      <c r="K228" s="124"/>
      <c r="L228" s="85"/>
    </row>
    <row r="229" hidden="1">
      <c r="A229" s="68"/>
      <c r="B229" s="79"/>
      <c r="C229" s="79"/>
      <c r="D229" s="79"/>
      <c r="E229" s="186"/>
      <c r="F229" s="187"/>
      <c r="G229" s="188"/>
      <c r="H229" s="93"/>
      <c r="I229" s="79"/>
      <c r="J229" s="79"/>
      <c r="K229" s="124"/>
      <c r="L229" s="85"/>
    </row>
    <row r="230" hidden="1">
      <c r="A230" s="68"/>
      <c r="B230" s="79"/>
      <c r="C230" s="79"/>
      <c r="D230" s="79"/>
      <c r="E230" s="186"/>
      <c r="F230" s="187"/>
      <c r="G230" s="188"/>
      <c r="H230" s="93"/>
      <c r="I230" s="79"/>
      <c r="J230" s="79"/>
      <c r="K230" s="124"/>
      <c r="L230" s="85"/>
    </row>
    <row r="231" hidden="1">
      <c r="A231" s="68"/>
      <c r="B231" s="79"/>
      <c r="C231" s="79"/>
      <c r="D231" s="79"/>
      <c r="E231" s="186"/>
      <c r="F231" s="187"/>
      <c r="G231" s="188"/>
      <c r="H231" s="93"/>
      <c r="I231" s="79"/>
      <c r="J231" s="79"/>
      <c r="K231" s="124"/>
      <c r="L231" s="85"/>
    </row>
    <row r="232" hidden="1">
      <c r="A232" s="68"/>
      <c r="B232" s="79"/>
      <c r="C232" s="79"/>
      <c r="D232" s="79"/>
      <c r="E232" s="186"/>
      <c r="F232" s="187"/>
      <c r="G232" s="188"/>
      <c r="H232" s="93"/>
      <c r="I232" s="79"/>
      <c r="J232" s="79"/>
      <c r="K232" s="124"/>
      <c r="L232" s="85"/>
    </row>
    <row r="233" hidden="1">
      <c r="A233" s="68"/>
      <c r="B233" s="79"/>
      <c r="C233" s="79"/>
      <c r="D233" s="79"/>
      <c r="E233" s="186"/>
      <c r="F233" s="187"/>
      <c r="G233" s="188"/>
      <c r="H233" s="93"/>
      <c r="I233" s="79"/>
      <c r="J233" s="79"/>
      <c r="K233" s="124"/>
      <c r="L233" s="85"/>
    </row>
    <row r="234" hidden="1">
      <c r="A234" s="68"/>
      <c r="B234" s="79"/>
      <c r="C234" s="79"/>
      <c r="D234" s="79"/>
      <c r="E234" s="186"/>
      <c r="F234" s="187"/>
      <c r="G234" s="188"/>
      <c r="H234" s="93"/>
      <c r="I234" s="79"/>
      <c r="J234" s="79"/>
      <c r="K234" s="124"/>
      <c r="L234" s="85"/>
    </row>
    <row r="235" hidden="1">
      <c r="A235" s="68"/>
      <c r="B235" s="79"/>
      <c r="C235" s="79"/>
      <c r="D235" s="79"/>
      <c r="E235" s="186"/>
      <c r="F235" s="187"/>
      <c r="G235" s="188"/>
      <c r="H235" s="93"/>
      <c r="I235" s="79"/>
      <c r="J235" s="79"/>
      <c r="K235" s="124"/>
      <c r="L235" s="85"/>
    </row>
    <row r="236" hidden="1">
      <c r="A236" s="68"/>
      <c r="B236" s="79"/>
      <c r="C236" s="79"/>
      <c r="D236" s="79"/>
      <c r="E236" s="186"/>
      <c r="F236" s="187"/>
      <c r="G236" s="188"/>
      <c r="H236" s="93"/>
      <c r="I236" s="79"/>
      <c r="J236" s="79"/>
      <c r="K236" s="124"/>
      <c r="L236" s="85"/>
    </row>
    <row r="237" hidden="1">
      <c r="A237" s="68"/>
      <c r="B237" s="79"/>
      <c r="C237" s="79"/>
      <c r="D237" s="79"/>
      <c r="E237" s="186"/>
      <c r="F237" s="187"/>
      <c r="G237" s="188"/>
      <c r="H237" s="93"/>
      <c r="I237" s="79"/>
      <c r="J237" s="79"/>
      <c r="K237" s="124"/>
      <c r="L237" s="85"/>
    </row>
    <row r="238" hidden="1">
      <c r="A238" s="68"/>
      <c r="B238" s="79"/>
      <c r="C238" s="79"/>
      <c r="D238" s="79"/>
      <c r="E238" s="186"/>
      <c r="F238" s="187"/>
      <c r="G238" s="188"/>
      <c r="H238" s="93"/>
      <c r="I238" s="79"/>
      <c r="J238" s="79"/>
      <c r="K238" s="124"/>
      <c r="L238" s="85"/>
    </row>
    <row r="239" hidden="1">
      <c r="A239" s="68"/>
      <c r="B239" s="79"/>
      <c r="C239" s="79"/>
      <c r="D239" s="79"/>
      <c r="E239" s="186"/>
      <c r="F239" s="187"/>
      <c r="G239" s="188"/>
      <c r="H239" s="93"/>
      <c r="I239" s="79"/>
      <c r="J239" s="79"/>
      <c r="K239" s="124"/>
      <c r="L239" s="85"/>
    </row>
    <row r="240" hidden="1">
      <c r="A240" s="68"/>
      <c r="B240" s="79"/>
      <c r="C240" s="79"/>
      <c r="D240" s="79"/>
      <c r="E240" s="186"/>
      <c r="F240" s="187"/>
      <c r="G240" s="188"/>
      <c r="H240" s="93"/>
      <c r="I240" s="79"/>
      <c r="J240" s="79"/>
      <c r="K240" s="124"/>
      <c r="L240" s="85"/>
    </row>
    <row r="241" hidden="1">
      <c r="A241" s="68"/>
      <c r="B241" s="79"/>
      <c r="C241" s="79"/>
      <c r="D241" s="79"/>
      <c r="E241" s="186"/>
      <c r="F241" s="187"/>
      <c r="G241" s="188"/>
      <c r="H241" s="93"/>
      <c r="I241" s="79"/>
      <c r="J241" s="79"/>
      <c r="K241" s="124"/>
      <c r="L241" s="85"/>
    </row>
    <row r="242" hidden="1">
      <c r="A242" s="68"/>
      <c r="B242" s="79"/>
      <c r="C242" s="79"/>
      <c r="D242" s="79"/>
      <c r="E242" s="186"/>
      <c r="F242" s="187"/>
      <c r="G242" s="188"/>
      <c r="H242" s="93"/>
      <c r="I242" s="79"/>
      <c r="J242" s="79"/>
      <c r="K242" s="124"/>
      <c r="L242" s="85"/>
    </row>
    <row r="243" hidden="1">
      <c r="A243" s="68"/>
      <c r="B243" s="79"/>
      <c r="C243" s="79"/>
      <c r="D243" s="79"/>
      <c r="E243" s="186"/>
      <c r="F243" s="187"/>
      <c r="G243" s="188"/>
      <c r="H243" s="93"/>
      <c r="I243" s="79"/>
      <c r="J243" s="79"/>
      <c r="K243" s="124"/>
      <c r="L243" s="85"/>
    </row>
    <row r="244" hidden="1">
      <c r="A244" s="68"/>
      <c r="B244" s="79"/>
      <c r="C244" s="79"/>
      <c r="D244" s="79"/>
      <c r="E244" s="186"/>
      <c r="F244" s="187"/>
      <c r="G244" s="188"/>
      <c r="H244" s="93"/>
      <c r="I244" s="79"/>
      <c r="J244" s="79"/>
      <c r="K244" s="124"/>
      <c r="L244" s="85"/>
    </row>
    <row r="245" hidden="1">
      <c r="A245" s="68"/>
      <c r="B245" s="79"/>
      <c r="C245" s="79"/>
      <c r="D245" s="79"/>
      <c r="E245" s="186"/>
      <c r="F245" s="187"/>
      <c r="G245" s="188"/>
      <c r="H245" s="93"/>
      <c r="I245" s="79"/>
      <c r="J245" s="79"/>
      <c r="K245" s="124"/>
      <c r="L245" s="85"/>
    </row>
    <row r="246" hidden="1">
      <c r="A246" s="68"/>
      <c r="B246" s="79"/>
      <c r="C246" s="79"/>
      <c r="D246" s="79"/>
      <c r="E246" s="186"/>
      <c r="F246" s="187"/>
      <c r="G246" s="188"/>
      <c r="H246" s="93"/>
      <c r="I246" s="79"/>
      <c r="J246" s="79"/>
      <c r="K246" s="124"/>
      <c r="L246" s="85"/>
    </row>
    <row r="247" hidden="1">
      <c r="A247" s="68"/>
      <c r="B247" s="79"/>
      <c r="C247" s="79"/>
      <c r="D247" s="79"/>
      <c r="E247" s="186"/>
      <c r="F247" s="187"/>
      <c r="G247" s="188"/>
      <c r="H247" s="93"/>
      <c r="I247" s="79"/>
      <c r="J247" s="79"/>
      <c r="K247" s="124"/>
      <c r="L247" s="85"/>
    </row>
    <row r="248" hidden="1">
      <c r="A248" s="68"/>
      <c r="B248" s="79"/>
      <c r="C248" s="79"/>
      <c r="D248" s="79"/>
      <c r="E248" s="186"/>
      <c r="F248" s="187"/>
      <c r="G248" s="188"/>
      <c r="H248" s="93"/>
      <c r="I248" s="79"/>
      <c r="J248" s="79"/>
      <c r="K248" s="124"/>
      <c r="L248" s="85"/>
    </row>
    <row r="249" hidden="1">
      <c r="A249" s="68"/>
      <c r="B249" s="79"/>
      <c r="C249" s="79"/>
      <c r="D249" s="79"/>
      <c r="E249" s="186"/>
      <c r="F249" s="187"/>
      <c r="G249" s="188"/>
      <c r="H249" s="93"/>
      <c r="I249" s="79"/>
      <c r="J249" s="79"/>
      <c r="K249" s="124"/>
      <c r="L249" s="85"/>
    </row>
    <row r="250" hidden="1">
      <c r="A250" s="68"/>
      <c r="B250" s="79"/>
      <c r="C250" s="79"/>
      <c r="D250" s="79"/>
      <c r="E250" s="186"/>
      <c r="F250" s="187"/>
      <c r="G250" s="188"/>
      <c r="H250" s="93"/>
      <c r="I250" s="79"/>
      <c r="J250" s="79"/>
      <c r="K250" s="124"/>
      <c r="L250" s="85"/>
    </row>
    <row r="251" hidden="1">
      <c r="A251" s="68"/>
      <c r="B251" s="79"/>
      <c r="C251" s="79"/>
      <c r="D251" s="79"/>
      <c r="E251" s="186"/>
      <c r="F251" s="187"/>
      <c r="G251" s="188"/>
      <c r="H251" s="93"/>
      <c r="I251" s="79"/>
      <c r="J251" s="79"/>
      <c r="K251" s="124"/>
      <c r="L251" s="85"/>
    </row>
    <row r="252" hidden="1">
      <c r="A252" s="68"/>
      <c r="B252" s="79"/>
      <c r="C252" s="79"/>
      <c r="D252" s="79"/>
      <c r="E252" s="186"/>
      <c r="F252" s="187"/>
      <c r="G252" s="188"/>
      <c r="H252" s="93"/>
      <c r="I252" s="79"/>
      <c r="J252" s="79"/>
      <c r="K252" s="124"/>
      <c r="L252" s="85"/>
    </row>
    <row r="253" hidden="1">
      <c r="A253" s="68"/>
      <c r="B253" s="79"/>
      <c r="C253" s="79"/>
      <c r="D253" s="79"/>
      <c r="E253" s="186"/>
      <c r="F253" s="187"/>
      <c r="G253" s="188"/>
      <c r="H253" s="93"/>
      <c r="I253" s="79"/>
      <c r="J253" s="79"/>
      <c r="K253" s="124"/>
      <c r="L253" s="85"/>
    </row>
    <row r="254" hidden="1">
      <c r="A254" s="68"/>
      <c r="B254" s="79"/>
      <c r="C254" s="79"/>
      <c r="D254" s="79"/>
      <c r="E254" s="186"/>
      <c r="F254" s="187"/>
      <c r="G254" s="188"/>
      <c r="H254" s="93"/>
      <c r="I254" s="79"/>
      <c r="J254" s="79"/>
      <c r="K254" s="124"/>
      <c r="L254" s="85"/>
    </row>
    <row r="255" hidden="1">
      <c r="A255" s="68"/>
      <c r="B255" s="79"/>
      <c r="C255" s="79"/>
      <c r="D255" s="79"/>
      <c r="E255" s="186"/>
      <c r="F255" s="187"/>
      <c r="G255" s="188"/>
      <c r="H255" s="93"/>
      <c r="I255" s="79"/>
      <c r="J255" s="79"/>
      <c r="K255" s="124"/>
      <c r="L255" s="85"/>
    </row>
    <row r="256" hidden="1">
      <c r="A256" s="68"/>
      <c r="B256" s="79"/>
      <c r="C256" s="79"/>
      <c r="D256" s="79"/>
      <c r="E256" s="186"/>
      <c r="F256" s="187"/>
      <c r="G256" s="188"/>
      <c r="H256" s="93"/>
      <c r="I256" s="79"/>
      <c r="J256" s="79"/>
      <c r="K256" s="124"/>
      <c r="L256" s="85"/>
    </row>
    <row r="257" hidden="1">
      <c r="A257" s="68"/>
      <c r="B257" s="79"/>
      <c r="C257" s="79"/>
      <c r="D257" s="79"/>
      <c r="E257" s="186"/>
      <c r="F257" s="187"/>
      <c r="G257" s="188"/>
      <c r="H257" s="93"/>
      <c r="I257" s="79"/>
      <c r="J257" s="79"/>
      <c r="K257" s="124"/>
      <c r="L257" s="85"/>
    </row>
    <row r="258" hidden="1">
      <c r="A258" s="68"/>
      <c r="B258" s="79"/>
      <c r="C258" s="79"/>
      <c r="D258" s="79"/>
      <c r="E258" s="186"/>
      <c r="F258" s="187"/>
      <c r="G258" s="188"/>
      <c r="H258" s="93"/>
      <c r="I258" s="79"/>
      <c r="J258" s="79"/>
      <c r="K258" s="124"/>
      <c r="L258" s="85"/>
    </row>
    <row r="259" hidden="1">
      <c r="A259" s="68"/>
      <c r="B259" s="79"/>
      <c r="C259" s="79"/>
      <c r="D259" s="79"/>
      <c r="E259" s="186"/>
      <c r="F259" s="187"/>
      <c r="G259" s="188"/>
      <c r="H259" s="93"/>
      <c r="I259" s="79"/>
      <c r="J259" s="79"/>
      <c r="K259" s="124"/>
      <c r="L259" s="85"/>
    </row>
    <row r="260" hidden="1">
      <c r="A260" s="68"/>
      <c r="B260" s="79"/>
      <c r="C260" s="79"/>
      <c r="D260" s="79"/>
      <c r="E260" s="186"/>
      <c r="F260" s="187"/>
      <c r="G260" s="188"/>
      <c r="H260" s="93"/>
      <c r="I260" s="79"/>
      <c r="J260" s="79"/>
      <c r="K260" s="124"/>
      <c r="L260" s="85"/>
    </row>
    <row r="261" hidden="1">
      <c r="A261" s="68"/>
      <c r="B261" s="79"/>
      <c r="C261" s="79"/>
      <c r="D261" s="79"/>
      <c r="E261" s="186"/>
      <c r="F261" s="187"/>
      <c r="G261" s="188"/>
      <c r="H261" s="93"/>
      <c r="I261" s="79"/>
      <c r="J261" s="79"/>
      <c r="K261" s="124"/>
      <c r="L261" s="85"/>
    </row>
    <row r="262" hidden="1">
      <c r="A262" s="68"/>
      <c r="B262" s="79"/>
      <c r="C262" s="79"/>
      <c r="D262" s="79"/>
      <c r="E262" s="186"/>
      <c r="F262" s="187"/>
      <c r="G262" s="188"/>
      <c r="H262" s="93"/>
      <c r="I262" s="79"/>
      <c r="J262" s="79"/>
      <c r="K262" s="124"/>
      <c r="L262" s="85"/>
    </row>
    <row r="263" hidden="1">
      <c r="A263" s="68"/>
      <c r="B263" s="79"/>
      <c r="C263" s="79"/>
      <c r="D263" s="79"/>
      <c r="E263" s="186"/>
      <c r="F263" s="187"/>
      <c r="G263" s="188"/>
      <c r="H263" s="93"/>
      <c r="I263" s="79"/>
      <c r="J263" s="79"/>
      <c r="K263" s="124"/>
      <c r="L263" s="85"/>
    </row>
    <row r="264" hidden="1">
      <c r="A264" s="68"/>
      <c r="B264" s="79"/>
      <c r="C264" s="79"/>
      <c r="D264" s="79"/>
      <c r="E264" s="186"/>
      <c r="F264" s="187"/>
      <c r="G264" s="188"/>
      <c r="H264" s="93"/>
      <c r="I264" s="79"/>
      <c r="J264" s="79"/>
      <c r="K264" s="124"/>
      <c r="L264" s="85"/>
    </row>
    <row r="265" hidden="1">
      <c r="A265" s="68"/>
      <c r="B265" s="79"/>
      <c r="C265" s="79"/>
      <c r="D265" s="79"/>
      <c r="E265" s="186"/>
      <c r="F265" s="187"/>
      <c r="G265" s="188"/>
      <c r="H265" s="93"/>
      <c r="I265" s="79"/>
      <c r="J265" s="79"/>
      <c r="K265" s="124"/>
      <c r="L265" s="85"/>
    </row>
    <row r="266" hidden="1">
      <c r="A266" s="68"/>
      <c r="B266" s="79"/>
      <c r="C266" s="79"/>
      <c r="D266" s="79"/>
      <c r="E266" s="186"/>
      <c r="F266" s="187"/>
      <c r="G266" s="188"/>
      <c r="H266" s="93"/>
      <c r="I266" s="79"/>
      <c r="J266" s="79"/>
      <c r="K266" s="124"/>
      <c r="L266" s="85"/>
    </row>
    <row r="267" hidden="1">
      <c r="A267" s="68"/>
      <c r="B267" s="79"/>
      <c r="C267" s="79"/>
      <c r="D267" s="79"/>
      <c r="E267" s="186"/>
      <c r="F267" s="187"/>
      <c r="G267" s="188"/>
      <c r="H267" s="93"/>
      <c r="I267" s="79"/>
      <c r="J267" s="79"/>
      <c r="K267" s="124"/>
      <c r="L267" s="85"/>
    </row>
    <row r="268" hidden="1">
      <c r="A268" s="68"/>
      <c r="B268" s="79"/>
      <c r="C268" s="79"/>
      <c r="D268" s="79"/>
      <c r="E268" s="186"/>
      <c r="F268" s="187"/>
      <c r="G268" s="188"/>
      <c r="H268" s="93"/>
      <c r="I268" s="79"/>
      <c r="J268" s="79"/>
      <c r="K268" s="124"/>
      <c r="L268" s="85"/>
    </row>
    <row r="269" hidden="1">
      <c r="A269" s="68"/>
      <c r="B269" s="79"/>
      <c r="C269" s="79"/>
      <c r="D269" s="79"/>
      <c r="E269" s="186"/>
      <c r="F269" s="187"/>
      <c r="G269" s="188"/>
      <c r="H269" s="93"/>
      <c r="I269" s="79"/>
      <c r="J269" s="79"/>
      <c r="K269" s="124"/>
      <c r="L269" s="85"/>
    </row>
    <row r="270" hidden="1">
      <c r="A270" s="68"/>
      <c r="B270" s="79"/>
      <c r="C270" s="79"/>
      <c r="D270" s="79"/>
      <c r="E270" s="186"/>
      <c r="F270" s="187"/>
      <c r="G270" s="188"/>
      <c r="H270" s="93"/>
      <c r="I270" s="79"/>
      <c r="J270" s="79"/>
      <c r="K270" s="124"/>
      <c r="L270" s="85"/>
    </row>
    <row r="271" hidden="1">
      <c r="A271" s="68"/>
      <c r="B271" s="79"/>
      <c r="C271" s="79"/>
      <c r="D271" s="79"/>
      <c r="E271" s="186"/>
      <c r="F271" s="187"/>
      <c r="G271" s="188"/>
      <c r="H271" s="93"/>
      <c r="I271" s="79"/>
      <c r="J271" s="79"/>
      <c r="K271" s="124"/>
      <c r="L271" s="85"/>
    </row>
    <row r="272" hidden="1">
      <c r="A272" s="68"/>
      <c r="B272" s="79"/>
      <c r="C272" s="79"/>
      <c r="D272" s="79"/>
      <c r="E272" s="186"/>
      <c r="F272" s="187"/>
      <c r="G272" s="188"/>
      <c r="H272" s="93"/>
      <c r="I272" s="79"/>
      <c r="J272" s="79"/>
      <c r="K272" s="124"/>
      <c r="L272" s="85"/>
    </row>
    <row r="273" hidden="1">
      <c r="A273" s="68"/>
      <c r="B273" s="79"/>
      <c r="C273" s="79"/>
      <c r="D273" s="79"/>
      <c r="E273" s="186"/>
      <c r="F273" s="187"/>
      <c r="G273" s="188"/>
      <c r="H273" s="93"/>
      <c r="I273" s="79"/>
      <c r="J273" s="79"/>
      <c r="K273" s="124"/>
      <c r="L273" s="85"/>
    </row>
    <row r="274" hidden="1">
      <c r="A274" s="68"/>
      <c r="B274" s="79"/>
      <c r="C274" s="79"/>
      <c r="D274" s="79"/>
      <c r="E274" s="186"/>
      <c r="F274" s="187"/>
      <c r="G274" s="188"/>
      <c r="H274" s="93"/>
      <c r="I274" s="79"/>
      <c r="J274" s="79"/>
      <c r="K274" s="124"/>
      <c r="L274" s="85"/>
    </row>
    <row r="275" hidden="1">
      <c r="A275" s="68"/>
      <c r="B275" s="79"/>
      <c r="C275" s="79"/>
      <c r="D275" s="79"/>
      <c r="E275" s="186"/>
      <c r="F275" s="187"/>
      <c r="G275" s="188"/>
      <c r="H275" s="93"/>
      <c r="I275" s="79"/>
      <c r="J275" s="79"/>
      <c r="K275" s="124"/>
      <c r="L275" s="85"/>
    </row>
    <row r="276" hidden="1">
      <c r="A276" s="68"/>
      <c r="B276" s="79"/>
      <c r="C276" s="79"/>
      <c r="D276" s="79"/>
      <c r="E276" s="186"/>
      <c r="F276" s="187"/>
      <c r="G276" s="188"/>
      <c r="H276" s="93"/>
      <c r="I276" s="79"/>
      <c r="J276" s="79"/>
      <c r="K276" s="124"/>
      <c r="L276" s="85"/>
    </row>
    <row r="277" hidden="1">
      <c r="A277" s="68"/>
      <c r="B277" s="79"/>
      <c r="C277" s="79"/>
      <c r="D277" s="79"/>
      <c r="E277" s="186"/>
      <c r="F277" s="187"/>
      <c r="G277" s="188"/>
      <c r="H277" s="93"/>
      <c r="I277" s="79"/>
      <c r="J277" s="79"/>
      <c r="K277" s="124"/>
      <c r="L277" s="85"/>
    </row>
    <row r="278" hidden="1">
      <c r="A278" s="68"/>
      <c r="B278" s="79"/>
      <c r="C278" s="79"/>
      <c r="D278" s="79"/>
      <c r="E278" s="186"/>
      <c r="F278" s="187"/>
      <c r="G278" s="188"/>
      <c r="H278" s="93"/>
      <c r="I278" s="79"/>
      <c r="J278" s="79"/>
      <c r="K278" s="124"/>
      <c r="L278" s="85"/>
    </row>
    <row r="279" hidden="1">
      <c r="A279" s="68"/>
      <c r="B279" s="79"/>
      <c r="C279" s="79"/>
      <c r="D279" s="79"/>
      <c r="E279" s="186"/>
      <c r="F279" s="187"/>
      <c r="G279" s="188"/>
      <c r="H279" s="93"/>
      <c r="I279" s="79"/>
      <c r="J279" s="79"/>
      <c r="K279" s="124"/>
      <c r="L279" s="85"/>
    </row>
    <row r="280" hidden="1">
      <c r="A280" s="68"/>
      <c r="B280" s="79"/>
      <c r="C280" s="79"/>
      <c r="D280" s="79"/>
      <c r="E280" s="186"/>
      <c r="F280" s="187"/>
      <c r="G280" s="188"/>
      <c r="H280" s="93"/>
      <c r="I280" s="79"/>
      <c r="J280" s="79"/>
      <c r="K280" s="124"/>
      <c r="L280" s="85"/>
    </row>
    <row r="281" hidden="1">
      <c r="A281" s="68"/>
      <c r="B281" s="79"/>
      <c r="C281" s="79"/>
      <c r="D281" s="79"/>
      <c r="E281" s="186"/>
      <c r="F281" s="187"/>
      <c r="G281" s="188"/>
      <c r="H281" s="93"/>
      <c r="I281" s="79"/>
      <c r="J281" s="79"/>
      <c r="K281" s="124"/>
      <c r="L281" s="85"/>
    </row>
    <row r="282" hidden="1">
      <c r="A282" s="68"/>
      <c r="B282" s="79"/>
      <c r="C282" s="79"/>
      <c r="D282" s="79"/>
      <c r="E282" s="186"/>
      <c r="F282" s="187"/>
      <c r="G282" s="188"/>
      <c r="H282" s="93"/>
      <c r="I282" s="79"/>
      <c r="J282" s="79"/>
      <c r="K282" s="124"/>
      <c r="L282" s="85"/>
    </row>
    <row r="283" hidden="1">
      <c r="A283" s="68"/>
      <c r="B283" s="79"/>
      <c r="C283" s="79"/>
      <c r="D283" s="79"/>
      <c r="E283" s="186"/>
      <c r="F283" s="187"/>
      <c r="G283" s="188"/>
      <c r="H283" s="93"/>
      <c r="I283" s="79"/>
      <c r="J283" s="79"/>
      <c r="K283" s="124"/>
      <c r="L283" s="85"/>
    </row>
    <row r="284" hidden="1">
      <c r="A284" s="68"/>
      <c r="B284" s="79"/>
      <c r="C284" s="79"/>
      <c r="D284" s="79"/>
      <c r="E284" s="186"/>
      <c r="F284" s="187"/>
      <c r="G284" s="188"/>
      <c r="H284" s="93"/>
      <c r="I284" s="79"/>
      <c r="J284" s="79"/>
      <c r="K284" s="124"/>
      <c r="L284" s="85"/>
    </row>
    <row r="285" hidden="1">
      <c r="A285" s="68"/>
      <c r="B285" s="79"/>
      <c r="C285" s="79"/>
      <c r="D285" s="79"/>
      <c r="E285" s="186"/>
      <c r="F285" s="187"/>
      <c r="G285" s="188"/>
      <c r="H285" s="93"/>
      <c r="I285" s="79"/>
      <c r="J285" s="79"/>
      <c r="K285" s="124"/>
      <c r="L285" s="85"/>
    </row>
    <row r="286" hidden="1">
      <c r="A286" s="68"/>
      <c r="B286" s="79"/>
      <c r="C286" s="79"/>
      <c r="D286" s="79"/>
      <c r="E286" s="186"/>
      <c r="F286" s="187"/>
      <c r="G286" s="188"/>
      <c r="H286" s="93"/>
      <c r="I286" s="79"/>
      <c r="J286" s="79"/>
      <c r="K286" s="124"/>
      <c r="L286" s="85"/>
    </row>
    <row r="287" hidden="1">
      <c r="A287" s="68"/>
      <c r="B287" s="79"/>
      <c r="C287" s="79"/>
      <c r="D287" s="79"/>
      <c r="E287" s="186"/>
      <c r="F287" s="187"/>
      <c r="G287" s="188"/>
      <c r="H287" s="93"/>
      <c r="I287" s="79"/>
      <c r="J287" s="79"/>
      <c r="K287" s="124"/>
      <c r="L287" s="85"/>
    </row>
    <row r="288" hidden="1">
      <c r="A288" s="68"/>
      <c r="B288" s="79"/>
      <c r="C288" s="79"/>
      <c r="D288" s="79"/>
      <c r="E288" s="186"/>
      <c r="F288" s="187"/>
      <c r="G288" s="188"/>
      <c r="H288" s="93"/>
      <c r="I288" s="79"/>
      <c r="J288" s="79"/>
      <c r="K288" s="124"/>
      <c r="L288" s="85"/>
    </row>
    <row r="289" hidden="1">
      <c r="A289" s="68"/>
      <c r="B289" s="79"/>
      <c r="C289" s="79"/>
      <c r="D289" s="79"/>
      <c r="E289" s="186"/>
      <c r="F289" s="187"/>
      <c r="G289" s="188"/>
      <c r="H289" s="93"/>
      <c r="I289" s="79"/>
      <c r="J289" s="79"/>
      <c r="K289" s="124"/>
      <c r="L289" s="85"/>
    </row>
    <row r="290" hidden="1">
      <c r="A290" s="68"/>
      <c r="B290" s="79"/>
      <c r="C290" s="79"/>
      <c r="D290" s="79"/>
      <c r="E290" s="186"/>
      <c r="F290" s="187"/>
      <c r="G290" s="188"/>
      <c r="H290" s="93"/>
      <c r="I290" s="79"/>
      <c r="J290" s="79"/>
      <c r="K290" s="124"/>
      <c r="L290" s="85"/>
    </row>
    <row r="291" hidden="1">
      <c r="A291" s="68"/>
      <c r="B291" s="79"/>
      <c r="C291" s="79"/>
      <c r="D291" s="79"/>
      <c r="E291" s="186"/>
      <c r="F291" s="187"/>
      <c r="G291" s="188"/>
      <c r="H291" s="93"/>
      <c r="I291" s="79"/>
      <c r="J291" s="79"/>
      <c r="K291" s="124"/>
      <c r="L291" s="85"/>
    </row>
    <row r="292" hidden="1">
      <c r="A292" s="68"/>
      <c r="B292" s="79"/>
      <c r="C292" s="79"/>
      <c r="D292" s="79"/>
      <c r="E292" s="186"/>
      <c r="F292" s="187"/>
      <c r="G292" s="188"/>
      <c r="H292" s="93"/>
      <c r="I292" s="79"/>
      <c r="J292" s="79"/>
      <c r="K292" s="124"/>
      <c r="L292" s="85"/>
    </row>
    <row r="293" hidden="1">
      <c r="A293" s="68"/>
      <c r="B293" s="79"/>
      <c r="C293" s="79"/>
      <c r="D293" s="79"/>
      <c r="E293" s="186"/>
      <c r="F293" s="187"/>
      <c r="G293" s="188"/>
      <c r="H293" s="93"/>
      <c r="I293" s="79"/>
      <c r="J293" s="79"/>
      <c r="K293" s="124"/>
      <c r="L293" s="85"/>
    </row>
    <row r="294" hidden="1">
      <c r="A294" s="68"/>
      <c r="B294" s="79"/>
      <c r="C294" s="79"/>
      <c r="D294" s="79"/>
      <c r="E294" s="186"/>
      <c r="F294" s="187"/>
      <c r="G294" s="188"/>
      <c r="H294" s="93"/>
      <c r="I294" s="79"/>
      <c r="J294" s="79"/>
      <c r="K294" s="124"/>
      <c r="L294" s="85"/>
    </row>
    <row r="295" hidden="1">
      <c r="A295" s="68"/>
      <c r="B295" s="79"/>
      <c r="C295" s="79"/>
      <c r="D295" s="79"/>
      <c r="E295" s="186"/>
      <c r="F295" s="187"/>
      <c r="G295" s="188"/>
      <c r="H295" s="93"/>
      <c r="I295" s="79"/>
      <c r="J295" s="79"/>
      <c r="K295" s="124"/>
      <c r="L295" s="85"/>
    </row>
    <row r="296" hidden="1">
      <c r="A296" s="68"/>
      <c r="B296" s="79"/>
      <c r="C296" s="79"/>
      <c r="D296" s="79"/>
      <c r="E296" s="186"/>
      <c r="F296" s="187"/>
      <c r="G296" s="188"/>
      <c r="H296" s="93"/>
      <c r="I296" s="79"/>
      <c r="J296" s="79"/>
      <c r="K296" s="124"/>
      <c r="L296" s="85"/>
    </row>
    <row r="297" hidden="1">
      <c r="A297" s="68"/>
      <c r="B297" s="79"/>
      <c r="C297" s="79"/>
      <c r="D297" s="79"/>
      <c r="E297" s="186"/>
      <c r="F297" s="187"/>
      <c r="G297" s="188"/>
      <c r="H297" s="93"/>
      <c r="I297" s="79"/>
      <c r="J297" s="79"/>
      <c r="K297" s="124"/>
      <c r="L297" s="85"/>
    </row>
    <row r="298" hidden="1">
      <c r="A298" s="68"/>
      <c r="B298" s="79"/>
      <c r="C298" s="79"/>
      <c r="D298" s="79"/>
      <c r="E298" s="186"/>
      <c r="F298" s="187"/>
      <c r="G298" s="188"/>
      <c r="H298" s="93"/>
      <c r="I298" s="79"/>
      <c r="J298" s="79"/>
      <c r="K298" s="124"/>
      <c r="L298" s="85"/>
    </row>
    <row r="299" hidden="1">
      <c r="A299" s="68"/>
      <c r="B299" s="79"/>
      <c r="C299" s="79"/>
      <c r="D299" s="79"/>
      <c r="E299" s="186"/>
      <c r="F299" s="187"/>
      <c r="G299" s="188"/>
      <c r="H299" s="93"/>
      <c r="I299" s="79"/>
      <c r="J299" s="79"/>
      <c r="K299" s="124"/>
      <c r="L299" s="85"/>
    </row>
    <row r="300" hidden="1">
      <c r="A300" s="68"/>
      <c r="B300" s="79"/>
      <c r="C300" s="79"/>
      <c r="D300" s="79"/>
      <c r="E300" s="186"/>
      <c r="F300" s="187"/>
      <c r="G300" s="188"/>
      <c r="H300" s="93"/>
      <c r="I300" s="79"/>
      <c r="J300" s="79"/>
      <c r="K300" s="124"/>
      <c r="L300" s="85"/>
    </row>
    <row r="301" hidden="1">
      <c r="A301" s="68"/>
      <c r="B301" s="79"/>
      <c r="C301" s="79"/>
      <c r="D301" s="79"/>
      <c r="E301" s="186"/>
      <c r="F301" s="187"/>
      <c r="G301" s="188"/>
      <c r="H301" s="93"/>
      <c r="I301" s="79"/>
      <c r="J301" s="79"/>
      <c r="K301" s="124"/>
      <c r="L301" s="85"/>
    </row>
    <row r="302" hidden="1">
      <c r="A302" s="68"/>
      <c r="B302" s="79"/>
      <c r="C302" s="79"/>
      <c r="D302" s="79"/>
      <c r="E302" s="186"/>
      <c r="F302" s="187"/>
      <c r="G302" s="188"/>
      <c r="H302" s="93"/>
      <c r="I302" s="79"/>
      <c r="J302" s="79"/>
      <c r="K302" s="124"/>
      <c r="L302" s="85"/>
    </row>
    <row r="303" hidden="1">
      <c r="A303" s="68"/>
      <c r="B303" s="79"/>
      <c r="C303" s="79"/>
      <c r="D303" s="79"/>
      <c r="E303" s="186"/>
      <c r="F303" s="187"/>
      <c r="G303" s="188"/>
      <c r="H303" s="93"/>
      <c r="I303" s="79"/>
      <c r="J303" s="79"/>
      <c r="K303" s="124"/>
      <c r="L303" s="85"/>
    </row>
    <row r="304" hidden="1">
      <c r="A304" s="68"/>
      <c r="B304" s="79"/>
      <c r="C304" s="79"/>
      <c r="D304" s="79"/>
      <c r="E304" s="186"/>
      <c r="F304" s="187"/>
      <c r="G304" s="188"/>
      <c r="H304" s="93"/>
      <c r="I304" s="79"/>
      <c r="J304" s="79"/>
      <c r="K304" s="124"/>
      <c r="L304" s="85"/>
    </row>
    <row r="305" hidden="1">
      <c r="A305" s="68"/>
      <c r="B305" s="79"/>
      <c r="C305" s="79"/>
      <c r="D305" s="79"/>
      <c r="E305" s="186"/>
      <c r="F305" s="187"/>
      <c r="G305" s="188"/>
      <c r="H305" s="93"/>
      <c r="I305" s="79"/>
      <c r="J305" s="79"/>
      <c r="K305" s="124"/>
      <c r="L305" s="85"/>
    </row>
    <row r="306" hidden="1">
      <c r="A306" s="68"/>
      <c r="B306" s="79"/>
      <c r="C306" s="79"/>
      <c r="D306" s="79"/>
      <c r="E306" s="186"/>
      <c r="F306" s="187"/>
      <c r="G306" s="188"/>
      <c r="H306" s="93"/>
      <c r="I306" s="79"/>
      <c r="J306" s="79"/>
      <c r="K306" s="124"/>
      <c r="L306" s="85"/>
    </row>
    <row r="307" hidden="1">
      <c r="A307" s="68"/>
      <c r="B307" s="79"/>
      <c r="C307" s="79"/>
      <c r="D307" s="79"/>
      <c r="E307" s="186"/>
      <c r="F307" s="187"/>
      <c r="G307" s="188"/>
      <c r="H307" s="93"/>
      <c r="I307" s="79"/>
      <c r="J307" s="79"/>
      <c r="K307" s="124"/>
      <c r="L307" s="85"/>
    </row>
    <row r="308" hidden="1">
      <c r="A308" s="68"/>
      <c r="B308" s="79"/>
      <c r="C308" s="79"/>
      <c r="D308" s="79"/>
      <c r="E308" s="186"/>
      <c r="F308" s="187"/>
      <c r="G308" s="188"/>
      <c r="H308" s="93"/>
      <c r="I308" s="79"/>
      <c r="J308" s="79"/>
      <c r="K308" s="124"/>
      <c r="L308" s="85"/>
    </row>
    <row r="309" hidden="1">
      <c r="A309" s="68"/>
      <c r="B309" s="79"/>
      <c r="C309" s="79"/>
      <c r="D309" s="79"/>
      <c r="E309" s="186"/>
      <c r="F309" s="187"/>
      <c r="G309" s="188"/>
      <c r="H309" s="93"/>
      <c r="I309" s="79"/>
      <c r="J309" s="79"/>
      <c r="K309" s="124"/>
      <c r="L309" s="85"/>
    </row>
    <row r="310" hidden="1">
      <c r="A310" s="68"/>
      <c r="B310" s="79"/>
      <c r="C310" s="79"/>
      <c r="D310" s="79"/>
      <c r="E310" s="186"/>
      <c r="F310" s="187"/>
      <c r="G310" s="188"/>
      <c r="H310" s="93"/>
      <c r="I310" s="79"/>
      <c r="J310" s="79"/>
      <c r="K310" s="124"/>
      <c r="L310" s="85"/>
    </row>
    <row r="311" hidden="1">
      <c r="A311" s="68"/>
      <c r="B311" s="79"/>
      <c r="C311" s="79"/>
      <c r="D311" s="79"/>
      <c r="E311" s="186"/>
      <c r="F311" s="187"/>
      <c r="G311" s="188"/>
      <c r="H311" s="93"/>
      <c r="I311" s="79"/>
      <c r="J311" s="79"/>
      <c r="K311" s="124"/>
      <c r="L311" s="85"/>
    </row>
    <row r="312" hidden="1">
      <c r="A312" s="68"/>
      <c r="B312" s="79"/>
      <c r="C312" s="79"/>
      <c r="D312" s="79"/>
      <c r="E312" s="186"/>
      <c r="F312" s="187"/>
      <c r="G312" s="188"/>
      <c r="H312" s="93"/>
      <c r="I312" s="79"/>
      <c r="J312" s="79"/>
      <c r="K312" s="124"/>
      <c r="L312" s="85"/>
    </row>
    <row r="313" hidden="1">
      <c r="A313" s="68"/>
      <c r="B313" s="79"/>
      <c r="C313" s="79"/>
      <c r="D313" s="79"/>
      <c r="E313" s="186"/>
      <c r="F313" s="187"/>
      <c r="G313" s="188"/>
      <c r="H313" s="93"/>
      <c r="I313" s="79"/>
      <c r="J313" s="79"/>
      <c r="K313" s="124"/>
      <c r="L313" s="85"/>
    </row>
    <row r="314" hidden="1">
      <c r="A314" s="68"/>
      <c r="B314" s="79"/>
      <c r="C314" s="79"/>
      <c r="D314" s="79"/>
      <c r="E314" s="186"/>
      <c r="F314" s="187"/>
      <c r="G314" s="188"/>
      <c r="H314" s="93"/>
      <c r="I314" s="79"/>
      <c r="J314" s="79"/>
      <c r="K314" s="124"/>
      <c r="L314" s="85"/>
    </row>
    <row r="315" hidden="1">
      <c r="A315" s="68"/>
      <c r="B315" s="79"/>
      <c r="C315" s="79"/>
      <c r="D315" s="79"/>
      <c r="E315" s="186"/>
      <c r="F315" s="187"/>
      <c r="G315" s="188"/>
      <c r="H315" s="93"/>
      <c r="I315" s="79"/>
      <c r="J315" s="79"/>
      <c r="K315" s="124"/>
      <c r="L315" s="85"/>
    </row>
    <row r="316" hidden="1">
      <c r="A316" s="68"/>
      <c r="B316" s="79"/>
      <c r="C316" s="79"/>
      <c r="D316" s="79"/>
      <c r="E316" s="186"/>
      <c r="F316" s="187"/>
      <c r="G316" s="188"/>
      <c r="H316" s="93"/>
      <c r="I316" s="79"/>
      <c r="J316" s="79"/>
      <c r="K316" s="124"/>
      <c r="L316" s="85"/>
    </row>
    <row r="317" hidden="1">
      <c r="A317" s="68"/>
      <c r="B317" s="79"/>
      <c r="C317" s="79"/>
      <c r="D317" s="79"/>
      <c r="E317" s="186"/>
      <c r="F317" s="187"/>
      <c r="G317" s="188"/>
      <c r="H317" s="93"/>
      <c r="I317" s="79"/>
      <c r="J317" s="79"/>
      <c r="K317" s="124"/>
      <c r="L317" s="85"/>
    </row>
    <row r="318" hidden="1">
      <c r="A318" s="68"/>
      <c r="B318" s="79"/>
      <c r="C318" s="79"/>
      <c r="D318" s="79"/>
      <c r="E318" s="186"/>
      <c r="F318" s="187"/>
      <c r="G318" s="188"/>
      <c r="H318" s="93"/>
      <c r="I318" s="79"/>
      <c r="J318" s="79"/>
      <c r="K318" s="124"/>
      <c r="L318" s="85"/>
    </row>
    <row r="319" hidden="1">
      <c r="A319" s="68"/>
      <c r="B319" s="79"/>
      <c r="C319" s="79"/>
      <c r="D319" s="79"/>
      <c r="E319" s="186"/>
      <c r="F319" s="187"/>
      <c r="G319" s="188"/>
      <c r="H319" s="93"/>
      <c r="I319" s="79"/>
      <c r="J319" s="79"/>
      <c r="K319" s="124"/>
      <c r="L319" s="85"/>
    </row>
    <row r="320" hidden="1">
      <c r="A320" s="68"/>
      <c r="B320" s="79"/>
      <c r="C320" s="79"/>
      <c r="D320" s="79"/>
      <c r="E320" s="186"/>
      <c r="F320" s="187"/>
      <c r="G320" s="188"/>
      <c r="H320" s="93"/>
      <c r="I320" s="79"/>
      <c r="J320" s="79"/>
      <c r="K320" s="124"/>
      <c r="L320" s="85"/>
    </row>
    <row r="321" hidden="1">
      <c r="A321" s="68"/>
      <c r="B321" s="79"/>
      <c r="C321" s="79"/>
      <c r="D321" s="79"/>
      <c r="E321" s="186"/>
      <c r="F321" s="187"/>
      <c r="G321" s="188"/>
      <c r="H321" s="93"/>
      <c r="I321" s="79"/>
      <c r="J321" s="79"/>
      <c r="K321" s="124"/>
      <c r="L321" s="85"/>
    </row>
    <row r="322" hidden="1">
      <c r="A322" s="68"/>
      <c r="B322" s="79"/>
      <c r="C322" s="79"/>
      <c r="D322" s="79"/>
      <c r="E322" s="186"/>
      <c r="F322" s="187"/>
      <c r="G322" s="188"/>
      <c r="H322" s="93"/>
      <c r="I322" s="79"/>
      <c r="J322" s="79"/>
      <c r="K322" s="124"/>
      <c r="L322" s="85"/>
    </row>
    <row r="323" hidden="1">
      <c r="A323" s="68"/>
      <c r="B323" s="79"/>
      <c r="C323" s="79"/>
      <c r="D323" s="79"/>
      <c r="E323" s="186"/>
      <c r="F323" s="187"/>
      <c r="G323" s="188"/>
      <c r="H323" s="93"/>
      <c r="I323" s="79"/>
      <c r="J323" s="79"/>
      <c r="K323" s="124"/>
      <c r="L323" s="85"/>
    </row>
    <row r="324" hidden="1">
      <c r="A324" s="68"/>
      <c r="B324" s="79"/>
      <c r="C324" s="79"/>
      <c r="D324" s="79"/>
      <c r="E324" s="186"/>
      <c r="F324" s="187"/>
      <c r="G324" s="188"/>
      <c r="H324" s="93"/>
      <c r="I324" s="79"/>
      <c r="J324" s="79"/>
      <c r="K324" s="124"/>
      <c r="L324" s="85"/>
    </row>
    <row r="325" hidden="1">
      <c r="A325" s="68"/>
      <c r="B325" s="79"/>
      <c r="C325" s="79"/>
      <c r="D325" s="79"/>
      <c r="E325" s="186"/>
      <c r="F325" s="187"/>
      <c r="G325" s="188"/>
      <c r="H325" s="93"/>
      <c r="I325" s="79"/>
      <c r="J325" s="79"/>
      <c r="K325" s="124"/>
      <c r="L325" s="85"/>
    </row>
    <row r="326" hidden="1">
      <c r="A326" s="68"/>
      <c r="B326" s="79"/>
      <c r="C326" s="79"/>
      <c r="D326" s="79"/>
      <c r="E326" s="186"/>
      <c r="F326" s="187"/>
      <c r="G326" s="188"/>
      <c r="H326" s="93"/>
      <c r="I326" s="79"/>
      <c r="J326" s="79"/>
      <c r="K326" s="124"/>
      <c r="L326" s="85"/>
    </row>
    <row r="327" hidden="1">
      <c r="A327" s="68"/>
      <c r="B327" s="79"/>
      <c r="C327" s="79"/>
      <c r="D327" s="79"/>
      <c r="E327" s="186"/>
      <c r="F327" s="187"/>
      <c r="G327" s="188"/>
      <c r="H327" s="93"/>
      <c r="I327" s="79"/>
      <c r="J327" s="79"/>
      <c r="K327" s="124"/>
      <c r="L327" s="85"/>
    </row>
    <row r="328" hidden="1">
      <c r="A328" s="68"/>
      <c r="B328" s="79"/>
      <c r="C328" s="79"/>
      <c r="D328" s="79"/>
      <c r="E328" s="186"/>
      <c r="F328" s="187"/>
      <c r="G328" s="188"/>
      <c r="H328" s="93"/>
      <c r="I328" s="79"/>
      <c r="J328" s="79"/>
      <c r="K328" s="124"/>
      <c r="L328" s="85"/>
    </row>
    <row r="329" hidden="1">
      <c r="A329" s="68"/>
      <c r="B329" s="79"/>
      <c r="C329" s="79"/>
      <c r="D329" s="79"/>
      <c r="E329" s="186"/>
      <c r="F329" s="187"/>
      <c r="G329" s="188"/>
      <c r="H329" s="93"/>
      <c r="I329" s="79"/>
      <c r="J329" s="79"/>
      <c r="K329" s="124"/>
      <c r="L329" s="85"/>
    </row>
    <row r="330" hidden="1">
      <c r="A330" s="68"/>
      <c r="B330" s="79"/>
      <c r="C330" s="79"/>
      <c r="D330" s="79"/>
      <c r="E330" s="186"/>
      <c r="F330" s="187"/>
      <c r="G330" s="188"/>
      <c r="H330" s="93"/>
      <c r="I330" s="79"/>
      <c r="J330" s="79"/>
      <c r="K330" s="124"/>
      <c r="L330" s="85"/>
    </row>
    <row r="331" hidden="1">
      <c r="A331" s="68"/>
      <c r="B331" s="79"/>
      <c r="C331" s="79"/>
      <c r="D331" s="79"/>
      <c r="E331" s="186"/>
      <c r="F331" s="187"/>
      <c r="G331" s="188"/>
      <c r="H331" s="93"/>
      <c r="I331" s="79"/>
      <c r="J331" s="79"/>
      <c r="K331" s="124"/>
      <c r="L331" s="85"/>
    </row>
    <row r="332" hidden="1">
      <c r="A332" s="68"/>
      <c r="B332" s="79"/>
      <c r="C332" s="79"/>
      <c r="D332" s="79"/>
      <c r="E332" s="186"/>
      <c r="F332" s="187"/>
      <c r="G332" s="188"/>
      <c r="H332" s="93"/>
      <c r="I332" s="79"/>
      <c r="J332" s="79"/>
      <c r="K332" s="124"/>
      <c r="L332" s="85"/>
    </row>
    <row r="333" hidden="1">
      <c r="A333" s="68"/>
      <c r="B333" s="79"/>
      <c r="C333" s="79"/>
      <c r="D333" s="79"/>
      <c r="E333" s="186"/>
      <c r="F333" s="187"/>
      <c r="G333" s="188"/>
      <c r="H333" s="93"/>
      <c r="I333" s="79"/>
      <c r="J333" s="79"/>
      <c r="K333" s="124"/>
      <c r="L333" s="85"/>
    </row>
    <row r="334" hidden="1">
      <c r="A334" s="68"/>
      <c r="B334" s="79"/>
      <c r="C334" s="79"/>
      <c r="D334" s="79"/>
      <c r="E334" s="186"/>
      <c r="F334" s="187"/>
      <c r="G334" s="188"/>
      <c r="H334" s="93"/>
      <c r="I334" s="79"/>
      <c r="J334" s="79"/>
      <c r="K334" s="124"/>
      <c r="L334" s="85"/>
    </row>
    <row r="335" hidden="1">
      <c r="A335" s="68"/>
      <c r="B335" s="79"/>
      <c r="C335" s="79"/>
      <c r="D335" s="79"/>
      <c r="E335" s="186"/>
      <c r="F335" s="187"/>
      <c r="G335" s="188"/>
      <c r="H335" s="93"/>
      <c r="I335" s="79"/>
      <c r="J335" s="79"/>
      <c r="K335" s="124"/>
      <c r="L335" s="85"/>
    </row>
    <row r="336" hidden="1">
      <c r="A336" s="68"/>
      <c r="B336" s="79"/>
      <c r="C336" s="79"/>
      <c r="D336" s="79"/>
      <c r="E336" s="186"/>
      <c r="F336" s="187"/>
      <c r="G336" s="188"/>
      <c r="H336" s="93"/>
      <c r="I336" s="79"/>
      <c r="J336" s="79"/>
      <c r="K336" s="124"/>
      <c r="L336" s="85"/>
    </row>
    <row r="337" hidden="1">
      <c r="A337" s="68"/>
      <c r="B337" s="79"/>
      <c r="C337" s="79"/>
      <c r="D337" s="79"/>
      <c r="E337" s="186"/>
      <c r="F337" s="187"/>
      <c r="G337" s="188"/>
      <c r="H337" s="93"/>
      <c r="I337" s="79"/>
      <c r="J337" s="79"/>
      <c r="K337" s="124"/>
      <c r="L337" s="85"/>
    </row>
    <row r="338" hidden="1">
      <c r="A338" s="68"/>
      <c r="B338" s="79"/>
      <c r="C338" s="79"/>
      <c r="D338" s="79"/>
      <c r="E338" s="186"/>
      <c r="F338" s="187"/>
      <c r="G338" s="188"/>
      <c r="H338" s="93"/>
      <c r="I338" s="79"/>
      <c r="J338" s="79"/>
      <c r="K338" s="124"/>
      <c r="L338" s="85"/>
    </row>
    <row r="339" hidden="1">
      <c r="A339" s="68"/>
      <c r="B339" s="79"/>
      <c r="C339" s="79"/>
      <c r="D339" s="79"/>
      <c r="E339" s="186"/>
      <c r="F339" s="187"/>
      <c r="G339" s="188"/>
      <c r="H339" s="93"/>
      <c r="I339" s="79"/>
      <c r="J339" s="79"/>
      <c r="K339" s="124"/>
      <c r="L339" s="85"/>
    </row>
    <row r="340" hidden="1">
      <c r="A340" s="68"/>
      <c r="B340" s="79"/>
      <c r="C340" s="79"/>
      <c r="D340" s="79"/>
      <c r="E340" s="186"/>
      <c r="F340" s="187"/>
      <c r="G340" s="188"/>
      <c r="H340" s="93"/>
      <c r="I340" s="79"/>
      <c r="J340" s="79"/>
      <c r="K340" s="124"/>
      <c r="L340" s="85"/>
    </row>
    <row r="341" hidden="1">
      <c r="A341" s="68"/>
      <c r="B341" s="79"/>
      <c r="C341" s="79"/>
      <c r="D341" s="79"/>
      <c r="E341" s="186"/>
      <c r="F341" s="187"/>
      <c r="G341" s="188"/>
      <c r="H341" s="93"/>
      <c r="I341" s="79"/>
      <c r="J341" s="79"/>
      <c r="K341" s="124"/>
      <c r="L341" s="85"/>
    </row>
    <row r="342" hidden="1">
      <c r="A342" s="68"/>
      <c r="B342" s="79"/>
      <c r="C342" s="79"/>
      <c r="D342" s="79"/>
      <c r="E342" s="186"/>
      <c r="F342" s="187"/>
      <c r="G342" s="188"/>
      <c r="H342" s="93"/>
      <c r="I342" s="79"/>
      <c r="J342" s="79"/>
      <c r="K342" s="124"/>
      <c r="L342" s="85"/>
    </row>
    <row r="343" hidden="1">
      <c r="A343" s="68"/>
      <c r="B343" s="79"/>
      <c r="C343" s="79"/>
      <c r="D343" s="79"/>
      <c r="E343" s="186"/>
      <c r="F343" s="187"/>
      <c r="G343" s="188"/>
      <c r="H343" s="93"/>
      <c r="I343" s="79"/>
      <c r="J343" s="79"/>
      <c r="K343" s="124"/>
      <c r="L343" s="85"/>
    </row>
    <row r="344" hidden="1">
      <c r="A344" s="68"/>
      <c r="B344" s="79"/>
      <c r="C344" s="79"/>
      <c r="D344" s="79"/>
      <c r="E344" s="186"/>
      <c r="F344" s="187"/>
      <c r="G344" s="188"/>
      <c r="H344" s="93"/>
      <c r="I344" s="79"/>
      <c r="J344" s="79"/>
      <c r="K344" s="124"/>
      <c r="L344" s="85"/>
    </row>
    <row r="345" hidden="1">
      <c r="A345" s="68"/>
      <c r="B345" s="79"/>
      <c r="C345" s="79"/>
      <c r="D345" s="79"/>
      <c r="E345" s="186"/>
      <c r="F345" s="187"/>
      <c r="G345" s="188"/>
      <c r="H345" s="93"/>
      <c r="I345" s="79"/>
      <c r="J345" s="79"/>
      <c r="K345" s="124"/>
      <c r="L345" s="85"/>
    </row>
    <row r="346" hidden="1">
      <c r="A346" s="68"/>
      <c r="B346" s="79"/>
      <c r="C346" s="79"/>
      <c r="D346" s="79"/>
      <c r="E346" s="186"/>
      <c r="F346" s="187"/>
      <c r="G346" s="188"/>
      <c r="H346" s="93"/>
      <c r="I346" s="79"/>
      <c r="J346" s="79"/>
      <c r="K346" s="124"/>
      <c r="L346" s="85"/>
    </row>
    <row r="347" hidden="1">
      <c r="A347" s="68"/>
      <c r="B347" s="79"/>
      <c r="C347" s="79"/>
      <c r="D347" s="79"/>
      <c r="E347" s="186"/>
      <c r="F347" s="187"/>
      <c r="G347" s="188"/>
      <c r="H347" s="93"/>
      <c r="I347" s="79"/>
      <c r="J347" s="79"/>
      <c r="K347" s="124"/>
      <c r="L347" s="85"/>
    </row>
    <row r="348" hidden="1">
      <c r="A348" s="68"/>
      <c r="B348" s="79"/>
      <c r="C348" s="79"/>
      <c r="D348" s="79"/>
      <c r="E348" s="186"/>
      <c r="F348" s="187"/>
      <c r="G348" s="188"/>
      <c r="H348" s="93"/>
      <c r="I348" s="79"/>
      <c r="J348" s="79"/>
      <c r="K348" s="124"/>
      <c r="L348" s="85"/>
    </row>
    <row r="349" hidden="1">
      <c r="A349" s="68"/>
      <c r="B349" s="79"/>
      <c r="C349" s="79"/>
      <c r="D349" s="79"/>
      <c r="E349" s="186"/>
      <c r="F349" s="187"/>
      <c r="G349" s="188"/>
      <c r="H349" s="93"/>
      <c r="I349" s="79"/>
      <c r="J349" s="79"/>
      <c r="K349" s="124"/>
      <c r="L349" s="85"/>
    </row>
    <row r="350" hidden="1">
      <c r="A350" s="68"/>
      <c r="B350" s="79"/>
      <c r="C350" s="79"/>
      <c r="D350" s="79"/>
      <c r="E350" s="186"/>
      <c r="F350" s="187"/>
      <c r="G350" s="188"/>
      <c r="H350" s="93"/>
      <c r="I350" s="79"/>
      <c r="J350" s="79"/>
      <c r="K350" s="124"/>
      <c r="L350" s="85"/>
    </row>
    <row r="351" hidden="1">
      <c r="A351" s="68"/>
      <c r="B351" s="79"/>
      <c r="C351" s="79"/>
      <c r="D351" s="79"/>
      <c r="E351" s="186"/>
      <c r="F351" s="187"/>
      <c r="G351" s="188"/>
      <c r="H351" s="93"/>
      <c r="I351" s="79"/>
      <c r="J351" s="79"/>
      <c r="K351" s="124"/>
      <c r="L351" s="85"/>
    </row>
    <row r="352" hidden="1">
      <c r="A352" s="68"/>
      <c r="B352" s="79"/>
      <c r="C352" s="79"/>
      <c r="D352" s="79"/>
      <c r="E352" s="186"/>
      <c r="F352" s="187"/>
      <c r="G352" s="188"/>
      <c r="H352" s="93"/>
      <c r="I352" s="79"/>
      <c r="J352" s="79"/>
      <c r="K352" s="124"/>
      <c r="L352" s="85"/>
    </row>
    <row r="353" hidden="1">
      <c r="A353" s="68"/>
      <c r="B353" s="79"/>
      <c r="C353" s="79"/>
      <c r="D353" s="79"/>
      <c r="E353" s="186"/>
      <c r="F353" s="187"/>
      <c r="G353" s="188"/>
      <c r="H353" s="93"/>
      <c r="I353" s="79"/>
      <c r="J353" s="79"/>
      <c r="K353" s="124"/>
      <c r="L353" s="85"/>
    </row>
    <row r="354" hidden="1">
      <c r="A354" s="68"/>
      <c r="B354" s="79"/>
      <c r="C354" s="79"/>
      <c r="D354" s="79"/>
      <c r="E354" s="186"/>
      <c r="F354" s="187"/>
      <c r="G354" s="188"/>
      <c r="H354" s="93"/>
      <c r="I354" s="79"/>
      <c r="J354" s="79"/>
      <c r="K354" s="124"/>
      <c r="L354" s="85"/>
    </row>
    <row r="355" hidden="1">
      <c r="A355" s="68"/>
      <c r="B355" s="79"/>
      <c r="C355" s="79"/>
      <c r="D355" s="79"/>
      <c r="E355" s="186"/>
      <c r="F355" s="187"/>
      <c r="G355" s="188"/>
      <c r="H355" s="93"/>
      <c r="I355" s="79"/>
      <c r="J355" s="79"/>
      <c r="K355" s="124"/>
      <c r="L355" s="85"/>
    </row>
    <row r="356" hidden="1">
      <c r="A356" s="68"/>
      <c r="B356" s="79"/>
      <c r="C356" s="79"/>
      <c r="D356" s="79"/>
      <c r="E356" s="186"/>
      <c r="F356" s="187"/>
      <c r="G356" s="188"/>
      <c r="H356" s="93"/>
      <c r="I356" s="79"/>
      <c r="J356" s="79"/>
      <c r="K356" s="124"/>
      <c r="L356" s="85"/>
    </row>
    <row r="357" hidden="1">
      <c r="A357" s="68"/>
      <c r="B357" s="79"/>
      <c r="C357" s="79"/>
      <c r="D357" s="79"/>
      <c r="E357" s="186"/>
      <c r="F357" s="187"/>
      <c r="G357" s="188"/>
      <c r="H357" s="93"/>
      <c r="I357" s="79"/>
      <c r="J357" s="79"/>
      <c r="K357" s="124"/>
      <c r="L357" s="85"/>
    </row>
    <row r="358" hidden="1">
      <c r="A358" s="68"/>
      <c r="B358" s="79"/>
      <c r="C358" s="79"/>
      <c r="D358" s="79"/>
      <c r="E358" s="186"/>
      <c r="F358" s="187"/>
      <c r="G358" s="188"/>
      <c r="H358" s="93"/>
      <c r="I358" s="79"/>
      <c r="J358" s="79"/>
      <c r="K358" s="124"/>
      <c r="L358" s="85"/>
    </row>
    <row r="359" hidden="1">
      <c r="A359" s="68"/>
      <c r="B359" s="79"/>
      <c r="C359" s="79"/>
      <c r="D359" s="79"/>
      <c r="E359" s="186"/>
      <c r="F359" s="187"/>
      <c r="G359" s="188"/>
      <c r="H359" s="93"/>
      <c r="I359" s="79"/>
      <c r="J359" s="79"/>
      <c r="K359" s="124"/>
      <c r="L359" s="85"/>
    </row>
    <row r="360" hidden="1">
      <c r="A360" s="68"/>
      <c r="B360" s="79"/>
      <c r="C360" s="79"/>
      <c r="D360" s="79"/>
      <c r="E360" s="186"/>
      <c r="F360" s="187"/>
      <c r="G360" s="188"/>
      <c r="H360" s="93"/>
      <c r="I360" s="79"/>
      <c r="J360" s="79"/>
      <c r="K360" s="124"/>
      <c r="L360" s="85"/>
    </row>
    <row r="361" hidden="1">
      <c r="A361" s="68"/>
      <c r="B361" s="79"/>
      <c r="C361" s="79"/>
      <c r="D361" s="79"/>
      <c r="E361" s="186"/>
      <c r="F361" s="187"/>
      <c r="G361" s="188"/>
      <c r="H361" s="93"/>
      <c r="I361" s="79"/>
      <c r="J361" s="79"/>
      <c r="K361" s="124"/>
      <c r="L361" s="85"/>
    </row>
    <row r="362" hidden="1">
      <c r="A362" s="68"/>
      <c r="B362" s="79"/>
      <c r="C362" s="79"/>
      <c r="D362" s="79"/>
      <c r="E362" s="186"/>
      <c r="F362" s="187"/>
      <c r="G362" s="188"/>
      <c r="H362" s="93"/>
      <c r="I362" s="79"/>
      <c r="J362" s="79"/>
      <c r="K362" s="124"/>
      <c r="L362" s="85"/>
    </row>
    <row r="363" hidden="1">
      <c r="A363" s="68"/>
      <c r="B363" s="79"/>
      <c r="C363" s="79"/>
      <c r="D363" s="79"/>
      <c r="E363" s="186"/>
      <c r="F363" s="187"/>
      <c r="G363" s="188"/>
      <c r="H363" s="93"/>
      <c r="I363" s="79"/>
      <c r="J363" s="79"/>
      <c r="K363" s="124"/>
      <c r="L363" s="85"/>
    </row>
    <row r="364" hidden="1">
      <c r="A364" s="68"/>
      <c r="B364" s="79"/>
      <c r="C364" s="79"/>
      <c r="D364" s="79"/>
      <c r="E364" s="186"/>
      <c r="F364" s="187"/>
      <c r="G364" s="188"/>
      <c r="H364" s="93"/>
      <c r="I364" s="79"/>
      <c r="J364" s="79"/>
      <c r="K364" s="124"/>
      <c r="L364" s="85"/>
    </row>
    <row r="365" hidden="1">
      <c r="A365" s="68"/>
      <c r="B365" s="79"/>
      <c r="C365" s="79"/>
      <c r="D365" s="79"/>
      <c r="E365" s="186"/>
      <c r="F365" s="187"/>
      <c r="G365" s="188"/>
      <c r="H365" s="93"/>
      <c r="I365" s="79"/>
      <c r="J365" s="79"/>
      <c r="K365" s="124"/>
      <c r="L365" s="85"/>
    </row>
    <row r="366" hidden="1">
      <c r="A366" s="68"/>
      <c r="B366" s="79"/>
      <c r="C366" s="79"/>
      <c r="D366" s="79"/>
      <c r="E366" s="186"/>
      <c r="F366" s="187"/>
      <c r="G366" s="188"/>
      <c r="H366" s="93"/>
      <c r="I366" s="79"/>
      <c r="J366" s="79"/>
      <c r="K366" s="124"/>
      <c r="L366" s="85"/>
    </row>
    <row r="367" hidden="1">
      <c r="A367" s="68"/>
      <c r="B367" s="79"/>
      <c r="C367" s="79"/>
      <c r="D367" s="79"/>
      <c r="E367" s="186"/>
      <c r="F367" s="187"/>
      <c r="G367" s="188"/>
      <c r="H367" s="93"/>
      <c r="I367" s="79"/>
      <c r="J367" s="79"/>
      <c r="K367" s="124"/>
      <c r="L367" s="85"/>
    </row>
    <row r="368" hidden="1">
      <c r="A368" s="68"/>
      <c r="B368" s="79"/>
      <c r="C368" s="79"/>
      <c r="D368" s="79"/>
      <c r="E368" s="186"/>
      <c r="F368" s="187"/>
      <c r="G368" s="188"/>
      <c r="H368" s="93"/>
      <c r="I368" s="79"/>
      <c r="J368" s="79"/>
      <c r="K368" s="124"/>
      <c r="L368" s="85"/>
    </row>
    <row r="369" hidden="1">
      <c r="A369" s="68"/>
      <c r="B369" s="79"/>
      <c r="C369" s="79"/>
      <c r="D369" s="79"/>
      <c r="E369" s="186"/>
      <c r="F369" s="187"/>
      <c r="G369" s="188"/>
      <c r="H369" s="93"/>
      <c r="I369" s="79"/>
      <c r="J369" s="79"/>
      <c r="K369" s="124"/>
      <c r="L369" s="85"/>
    </row>
    <row r="370" hidden="1">
      <c r="A370" s="68"/>
      <c r="B370" s="79"/>
      <c r="C370" s="79"/>
      <c r="D370" s="79"/>
      <c r="E370" s="186"/>
      <c r="F370" s="187"/>
      <c r="G370" s="188"/>
      <c r="H370" s="93"/>
      <c r="I370" s="79"/>
      <c r="J370" s="79"/>
      <c r="K370" s="124"/>
      <c r="L370" s="85"/>
    </row>
    <row r="371" hidden="1">
      <c r="A371" s="68"/>
      <c r="B371" s="79"/>
      <c r="C371" s="79"/>
      <c r="D371" s="79"/>
      <c r="E371" s="186"/>
      <c r="F371" s="187"/>
      <c r="G371" s="188"/>
      <c r="H371" s="93"/>
      <c r="I371" s="79"/>
      <c r="J371" s="79"/>
      <c r="K371" s="124"/>
      <c r="L371" s="85"/>
    </row>
    <row r="372" hidden="1">
      <c r="A372" s="68"/>
      <c r="B372" s="79"/>
      <c r="C372" s="79"/>
      <c r="D372" s="79"/>
      <c r="E372" s="186"/>
      <c r="F372" s="187"/>
      <c r="G372" s="188"/>
      <c r="H372" s="93"/>
      <c r="I372" s="79"/>
      <c r="J372" s="79"/>
      <c r="K372" s="124"/>
      <c r="L372" s="85"/>
    </row>
    <row r="373" hidden="1">
      <c r="A373" s="68"/>
      <c r="B373" s="79"/>
      <c r="C373" s="79"/>
      <c r="D373" s="79"/>
      <c r="E373" s="186"/>
      <c r="F373" s="187"/>
      <c r="G373" s="188"/>
      <c r="H373" s="93"/>
      <c r="I373" s="79"/>
      <c r="J373" s="79"/>
      <c r="K373" s="124"/>
      <c r="L373" s="85"/>
    </row>
    <row r="374" hidden="1">
      <c r="A374" s="68"/>
      <c r="B374" s="79"/>
      <c r="C374" s="79"/>
      <c r="D374" s="79"/>
      <c r="E374" s="186"/>
      <c r="F374" s="187"/>
      <c r="G374" s="188"/>
      <c r="H374" s="93"/>
      <c r="I374" s="79"/>
      <c r="J374" s="79"/>
      <c r="K374" s="124"/>
      <c r="L374" s="85"/>
    </row>
    <row r="375" hidden="1">
      <c r="A375" s="68"/>
      <c r="B375" s="79"/>
      <c r="C375" s="79"/>
      <c r="D375" s="79"/>
      <c r="E375" s="186"/>
      <c r="F375" s="187"/>
      <c r="G375" s="188"/>
      <c r="H375" s="93"/>
      <c r="I375" s="79"/>
      <c r="J375" s="79"/>
      <c r="K375" s="124"/>
      <c r="L375" s="85"/>
    </row>
    <row r="376" hidden="1">
      <c r="A376" s="68"/>
      <c r="B376" s="79"/>
      <c r="C376" s="79"/>
      <c r="D376" s="79"/>
      <c r="E376" s="186"/>
      <c r="F376" s="187"/>
      <c r="G376" s="188"/>
      <c r="H376" s="93"/>
      <c r="I376" s="79"/>
      <c r="J376" s="79"/>
      <c r="K376" s="124"/>
      <c r="L376" s="85"/>
    </row>
    <row r="377" hidden="1">
      <c r="A377" s="68"/>
      <c r="B377" s="79"/>
      <c r="C377" s="79"/>
      <c r="D377" s="79"/>
      <c r="E377" s="186"/>
      <c r="F377" s="187"/>
      <c r="G377" s="188"/>
      <c r="H377" s="93"/>
      <c r="I377" s="79"/>
      <c r="J377" s="79"/>
      <c r="K377" s="124"/>
      <c r="L377" s="85"/>
    </row>
    <row r="378" hidden="1">
      <c r="A378" s="68"/>
      <c r="B378" s="79"/>
      <c r="C378" s="79"/>
      <c r="D378" s="79"/>
      <c r="E378" s="186"/>
      <c r="F378" s="187"/>
      <c r="G378" s="188"/>
      <c r="H378" s="93"/>
      <c r="I378" s="79"/>
      <c r="J378" s="79"/>
      <c r="K378" s="124"/>
      <c r="L378" s="85"/>
    </row>
    <row r="379" hidden="1">
      <c r="A379" s="68"/>
      <c r="B379" s="79"/>
      <c r="C379" s="79"/>
      <c r="D379" s="79"/>
      <c r="E379" s="186"/>
      <c r="F379" s="187"/>
      <c r="G379" s="188"/>
      <c r="H379" s="93"/>
      <c r="I379" s="79"/>
      <c r="J379" s="79"/>
      <c r="K379" s="124"/>
      <c r="L379" s="85"/>
    </row>
    <row r="380" hidden="1">
      <c r="A380" s="68"/>
      <c r="B380" s="79"/>
      <c r="C380" s="79"/>
      <c r="D380" s="79"/>
      <c r="E380" s="186"/>
      <c r="F380" s="187"/>
      <c r="G380" s="188"/>
      <c r="H380" s="93"/>
      <c r="I380" s="79"/>
      <c r="J380" s="79"/>
      <c r="K380" s="124"/>
      <c r="L380" s="85"/>
    </row>
    <row r="381" hidden="1">
      <c r="A381" s="68"/>
      <c r="B381" s="79"/>
      <c r="C381" s="79"/>
      <c r="D381" s="79"/>
      <c r="E381" s="186"/>
      <c r="F381" s="187"/>
      <c r="G381" s="188"/>
      <c r="H381" s="93"/>
      <c r="I381" s="79"/>
      <c r="J381" s="79"/>
      <c r="K381" s="124"/>
      <c r="L381" s="85"/>
    </row>
    <row r="382" hidden="1">
      <c r="A382" s="68"/>
      <c r="B382" s="79"/>
      <c r="C382" s="79"/>
      <c r="D382" s="79"/>
      <c r="E382" s="186"/>
      <c r="F382" s="187"/>
      <c r="G382" s="188"/>
      <c r="H382" s="93"/>
      <c r="I382" s="79"/>
      <c r="J382" s="79"/>
      <c r="K382" s="124"/>
      <c r="L382" s="85"/>
    </row>
    <row r="383" hidden="1">
      <c r="A383" s="68"/>
      <c r="B383" s="79"/>
      <c r="C383" s="79"/>
      <c r="D383" s="79"/>
      <c r="E383" s="186"/>
      <c r="F383" s="187"/>
      <c r="G383" s="188"/>
      <c r="H383" s="93"/>
      <c r="I383" s="79"/>
      <c r="J383" s="79"/>
      <c r="K383" s="124"/>
      <c r="L383" s="85"/>
    </row>
    <row r="384" hidden="1">
      <c r="A384" s="68"/>
      <c r="B384" s="79"/>
      <c r="C384" s="79"/>
      <c r="D384" s="79"/>
      <c r="E384" s="186"/>
      <c r="F384" s="187"/>
      <c r="G384" s="188"/>
      <c r="H384" s="93"/>
      <c r="I384" s="79"/>
      <c r="J384" s="79"/>
      <c r="K384" s="124"/>
      <c r="L384" s="85"/>
    </row>
    <row r="385" hidden="1">
      <c r="A385" s="68"/>
      <c r="B385" s="79"/>
      <c r="C385" s="79"/>
      <c r="D385" s="79"/>
      <c r="E385" s="186"/>
      <c r="F385" s="187"/>
      <c r="G385" s="188"/>
      <c r="H385" s="93"/>
      <c r="I385" s="79"/>
      <c r="J385" s="79"/>
      <c r="K385" s="124"/>
      <c r="L385" s="85"/>
    </row>
    <row r="386" hidden="1">
      <c r="A386" s="68"/>
      <c r="B386" s="79"/>
      <c r="C386" s="79"/>
      <c r="D386" s="79"/>
      <c r="E386" s="186"/>
      <c r="F386" s="187"/>
      <c r="G386" s="188"/>
      <c r="H386" s="93"/>
      <c r="I386" s="79"/>
      <c r="J386" s="79"/>
      <c r="K386" s="124"/>
      <c r="L386" s="85"/>
    </row>
    <row r="387" hidden="1">
      <c r="A387" s="68"/>
      <c r="B387" s="79"/>
      <c r="C387" s="79"/>
      <c r="D387" s="79"/>
      <c r="E387" s="186"/>
      <c r="F387" s="187"/>
      <c r="G387" s="188"/>
      <c r="H387" s="93"/>
      <c r="I387" s="79"/>
      <c r="J387" s="79"/>
      <c r="K387" s="124"/>
      <c r="L387" s="85"/>
    </row>
    <row r="388" hidden="1">
      <c r="A388" s="68"/>
      <c r="B388" s="79"/>
      <c r="C388" s="79"/>
      <c r="D388" s="79"/>
      <c r="E388" s="186"/>
      <c r="F388" s="187"/>
      <c r="G388" s="188"/>
      <c r="H388" s="93"/>
      <c r="I388" s="79"/>
      <c r="J388" s="79"/>
      <c r="K388" s="124"/>
      <c r="L388" s="85"/>
    </row>
    <row r="389" hidden="1">
      <c r="A389" s="68"/>
      <c r="B389" s="79"/>
      <c r="C389" s="79"/>
      <c r="D389" s="79"/>
      <c r="E389" s="186"/>
      <c r="F389" s="187"/>
      <c r="G389" s="188"/>
      <c r="H389" s="93"/>
      <c r="I389" s="79"/>
      <c r="J389" s="79"/>
      <c r="K389" s="124"/>
      <c r="L389" s="85"/>
    </row>
    <row r="390" hidden="1">
      <c r="A390" s="68"/>
      <c r="B390" s="79"/>
      <c r="C390" s="79"/>
      <c r="D390" s="79"/>
      <c r="E390" s="186"/>
      <c r="F390" s="187"/>
      <c r="G390" s="188"/>
      <c r="H390" s="93"/>
      <c r="I390" s="79"/>
      <c r="J390" s="79"/>
      <c r="K390" s="124"/>
      <c r="L390" s="85"/>
    </row>
    <row r="391" hidden="1">
      <c r="A391" s="68"/>
      <c r="B391" s="79"/>
      <c r="C391" s="79"/>
      <c r="D391" s="79"/>
      <c r="E391" s="186"/>
      <c r="F391" s="187"/>
      <c r="G391" s="188"/>
      <c r="H391" s="93"/>
      <c r="I391" s="79"/>
      <c r="J391" s="79"/>
      <c r="K391" s="124"/>
      <c r="L391" s="85"/>
    </row>
    <row r="392" hidden="1">
      <c r="A392" s="68"/>
      <c r="B392" s="79"/>
      <c r="C392" s="79"/>
      <c r="D392" s="79"/>
      <c r="E392" s="186"/>
      <c r="F392" s="187"/>
      <c r="G392" s="188"/>
      <c r="H392" s="93"/>
      <c r="I392" s="79"/>
      <c r="J392" s="79"/>
      <c r="K392" s="124"/>
      <c r="L392" s="85"/>
    </row>
    <row r="393" hidden="1">
      <c r="A393" s="68"/>
      <c r="B393" s="79"/>
      <c r="C393" s="79"/>
      <c r="D393" s="79"/>
      <c r="E393" s="186"/>
      <c r="F393" s="187"/>
      <c r="G393" s="188"/>
      <c r="H393" s="93"/>
      <c r="I393" s="79"/>
      <c r="J393" s="79"/>
      <c r="K393" s="124"/>
      <c r="L393" s="85"/>
    </row>
    <row r="394" hidden="1">
      <c r="A394" s="68"/>
      <c r="B394" s="79"/>
      <c r="C394" s="79"/>
      <c r="D394" s="79"/>
      <c r="E394" s="186"/>
      <c r="F394" s="187"/>
      <c r="G394" s="188"/>
      <c r="H394" s="93"/>
      <c r="I394" s="79"/>
      <c r="J394" s="79"/>
      <c r="K394" s="124"/>
      <c r="L394" s="85"/>
    </row>
    <row r="395" hidden="1">
      <c r="A395" s="68"/>
      <c r="B395" s="79"/>
      <c r="C395" s="79"/>
      <c r="D395" s="79"/>
      <c r="E395" s="186"/>
      <c r="F395" s="187"/>
      <c r="G395" s="188"/>
      <c r="H395" s="93"/>
      <c r="I395" s="79"/>
      <c r="J395" s="79"/>
      <c r="K395" s="124"/>
      <c r="L395" s="85"/>
    </row>
    <row r="396" hidden="1">
      <c r="A396" s="68"/>
      <c r="B396" s="79"/>
      <c r="C396" s="79"/>
      <c r="D396" s="79"/>
      <c r="E396" s="186"/>
      <c r="F396" s="187"/>
      <c r="G396" s="188"/>
      <c r="H396" s="93"/>
      <c r="I396" s="79"/>
      <c r="J396" s="79"/>
      <c r="K396" s="124"/>
      <c r="L396" s="85"/>
    </row>
    <row r="397" hidden="1">
      <c r="A397" s="68"/>
      <c r="B397" s="79"/>
      <c r="C397" s="79"/>
      <c r="D397" s="79"/>
      <c r="E397" s="186"/>
      <c r="F397" s="187"/>
      <c r="G397" s="188"/>
      <c r="H397" s="93"/>
      <c r="I397" s="79"/>
      <c r="J397" s="79"/>
      <c r="K397" s="124"/>
      <c r="L397" s="85"/>
    </row>
    <row r="398" hidden="1">
      <c r="A398" s="68"/>
      <c r="B398" s="79"/>
      <c r="C398" s="79"/>
      <c r="D398" s="79"/>
      <c r="E398" s="186"/>
      <c r="F398" s="187"/>
      <c r="G398" s="188"/>
      <c r="H398" s="93"/>
      <c r="I398" s="79"/>
      <c r="J398" s="79"/>
      <c r="K398" s="124"/>
      <c r="L398" s="85"/>
    </row>
    <row r="399" hidden="1">
      <c r="A399" s="68"/>
      <c r="B399" s="79"/>
      <c r="C399" s="79"/>
      <c r="D399" s="79"/>
      <c r="E399" s="186"/>
      <c r="F399" s="187"/>
      <c r="G399" s="188"/>
      <c r="H399" s="93"/>
      <c r="I399" s="79"/>
      <c r="J399" s="79"/>
      <c r="K399" s="124"/>
      <c r="L399" s="85"/>
    </row>
    <row r="400" hidden="1">
      <c r="A400" s="68"/>
      <c r="B400" s="79"/>
      <c r="C400" s="79"/>
      <c r="D400" s="79"/>
      <c r="E400" s="186"/>
      <c r="F400" s="187"/>
      <c r="G400" s="188"/>
      <c r="H400" s="93"/>
      <c r="I400" s="79"/>
      <c r="J400" s="79"/>
      <c r="K400" s="124"/>
      <c r="L400" s="85"/>
    </row>
    <row r="401" hidden="1">
      <c r="A401" s="68"/>
      <c r="B401" s="79"/>
      <c r="C401" s="79"/>
      <c r="D401" s="79"/>
      <c r="E401" s="186"/>
      <c r="F401" s="187"/>
      <c r="G401" s="188"/>
      <c r="H401" s="93"/>
      <c r="I401" s="79"/>
      <c r="J401" s="79"/>
      <c r="K401" s="124"/>
      <c r="L401" s="85"/>
    </row>
    <row r="402" hidden="1">
      <c r="A402" s="68"/>
      <c r="B402" s="79"/>
      <c r="C402" s="79"/>
      <c r="D402" s="79"/>
      <c r="E402" s="186"/>
      <c r="F402" s="187"/>
      <c r="G402" s="188"/>
      <c r="H402" s="93"/>
      <c r="I402" s="79"/>
      <c r="J402" s="79"/>
      <c r="K402" s="124"/>
      <c r="L402" s="85"/>
    </row>
    <row r="403" hidden="1">
      <c r="A403" s="68"/>
      <c r="B403" s="79"/>
      <c r="C403" s="79"/>
      <c r="D403" s="79"/>
      <c r="E403" s="186"/>
      <c r="F403" s="187"/>
      <c r="G403" s="188"/>
      <c r="H403" s="93"/>
      <c r="I403" s="79"/>
      <c r="J403" s="79"/>
      <c r="K403" s="124"/>
      <c r="L403" s="85"/>
    </row>
    <row r="404" hidden="1">
      <c r="A404" s="68"/>
      <c r="B404" s="79"/>
      <c r="C404" s="79"/>
      <c r="D404" s="79"/>
      <c r="E404" s="186"/>
      <c r="F404" s="187"/>
      <c r="G404" s="188"/>
      <c r="H404" s="93"/>
      <c r="I404" s="79"/>
      <c r="J404" s="79"/>
      <c r="K404" s="124"/>
      <c r="L404" s="85"/>
    </row>
    <row r="405" hidden="1">
      <c r="A405" s="68"/>
      <c r="B405" s="79"/>
      <c r="C405" s="79"/>
      <c r="D405" s="79"/>
      <c r="E405" s="186"/>
      <c r="F405" s="187"/>
      <c r="G405" s="188"/>
      <c r="H405" s="93"/>
      <c r="I405" s="79"/>
      <c r="J405" s="79"/>
      <c r="K405" s="124"/>
      <c r="L405" s="85"/>
    </row>
    <row r="406" hidden="1">
      <c r="A406" s="68"/>
      <c r="B406" s="79"/>
      <c r="C406" s="79"/>
      <c r="D406" s="79"/>
      <c r="E406" s="186"/>
      <c r="F406" s="187"/>
      <c r="G406" s="188"/>
      <c r="H406" s="93"/>
      <c r="I406" s="79"/>
      <c r="J406" s="79"/>
      <c r="K406" s="124"/>
      <c r="L406" s="85"/>
    </row>
    <row r="407" hidden="1">
      <c r="A407" s="68"/>
      <c r="B407" s="79"/>
      <c r="C407" s="79"/>
      <c r="D407" s="79"/>
      <c r="E407" s="186"/>
      <c r="F407" s="187"/>
      <c r="G407" s="188"/>
      <c r="H407" s="93"/>
      <c r="I407" s="79"/>
      <c r="J407" s="79"/>
      <c r="K407" s="124"/>
      <c r="L407" s="85"/>
    </row>
    <row r="408" hidden="1">
      <c r="A408" s="68"/>
      <c r="B408" s="79"/>
      <c r="C408" s="79"/>
      <c r="D408" s="79"/>
      <c r="E408" s="186"/>
      <c r="F408" s="187"/>
      <c r="G408" s="188"/>
      <c r="H408" s="93"/>
      <c r="I408" s="79"/>
      <c r="J408" s="79"/>
      <c r="K408" s="124"/>
      <c r="L408" s="85"/>
    </row>
    <row r="409" hidden="1">
      <c r="A409" s="68"/>
      <c r="B409" s="79"/>
      <c r="C409" s="79"/>
      <c r="D409" s="79"/>
      <c r="E409" s="186"/>
      <c r="F409" s="187"/>
      <c r="G409" s="188"/>
      <c r="H409" s="93"/>
      <c r="I409" s="79"/>
      <c r="J409" s="79"/>
      <c r="K409" s="124"/>
      <c r="L409" s="85"/>
    </row>
    <row r="410" hidden="1">
      <c r="A410" s="68"/>
      <c r="B410" s="79"/>
      <c r="C410" s="79"/>
      <c r="D410" s="79"/>
      <c r="E410" s="186"/>
      <c r="F410" s="187"/>
      <c r="G410" s="188"/>
      <c r="H410" s="93"/>
      <c r="I410" s="79"/>
      <c r="J410" s="79"/>
      <c r="K410" s="124"/>
      <c r="L410" s="85"/>
    </row>
    <row r="411" hidden="1">
      <c r="A411" s="68"/>
      <c r="B411" s="79"/>
      <c r="C411" s="79"/>
      <c r="D411" s="79"/>
      <c r="E411" s="186"/>
      <c r="F411" s="187"/>
      <c r="G411" s="188"/>
      <c r="H411" s="93"/>
      <c r="I411" s="79"/>
      <c r="J411" s="79"/>
      <c r="K411" s="124"/>
      <c r="L411" s="85"/>
    </row>
    <row r="412" hidden="1">
      <c r="A412" s="68"/>
      <c r="B412" s="79"/>
      <c r="C412" s="79"/>
      <c r="D412" s="79"/>
      <c r="E412" s="186"/>
      <c r="F412" s="187"/>
      <c r="G412" s="188"/>
      <c r="H412" s="93"/>
      <c r="I412" s="79"/>
      <c r="J412" s="79"/>
      <c r="K412" s="124"/>
      <c r="L412" s="85"/>
    </row>
    <row r="413" hidden="1">
      <c r="A413" s="68"/>
      <c r="B413" s="79"/>
      <c r="C413" s="79"/>
      <c r="D413" s="79"/>
      <c r="E413" s="186"/>
      <c r="F413" s="187"/>
      <c r="G413" s="188"/>
      <c r="H413" s="93"/>
      <c r="I413" s="79"/>
      <c r="J413" s="79"/>
      <c r="K413" s="124"/>
      <c r="L413" s="85"/>
    </row>
    <row r="414" hidden="1">
      <c r="A414" s="68"/>
      <c r="B414" s="79"/>
      <c r="C414" s="79"/>
      <c r="D414" s="79"/>
      <c r="E414" s="186"/>
      <c r="F414" s="187"/>
      <c r="G414" s="188"/>
      <c r="H414" s="93"/>
      <c r="I414" s="79"/>
      <c r="J414" s="79"/>
      <c r="K414" s="124"/>
      <c r="L414" s="85"/>
    </row>
    <row r="415" hidden="1">
      <c r="A415" s="68"/>
      <c r="B415" s="79"/>
      <c r="C415" s="79"/>
      <c r="D415" s="79"/>
      <c r="E415" s="186"/>
      <c r="F415" s="187"/>
      <c r="G415" s="188"/>
      <c r="H415" s="93"/>
      <c r="I415" s="79"/>
      <c r="J415" s="79"/>
      <c r="K415" s="124"/>
      <c r="L415" s="85"/>
    </row>
    <row r="416" hidden="1">
      <c r="A416" s="68"/>
      <c r="B416" s="79"/>
      <c r="C416" s="79"/>
      <c r="D416" s="79"/>
      <c r="E416" s="186"/>
      <c r="F416" s="187"/>
      <c r="G416" s="188"/>
      <c r="H416" s="93"/>
      <c r="I416" s="79"/>
      <c r="J416" s="79"/>
      <c r="K416" s="124"/>
      <c r="L416" s="85"/>
    </row>
    <row r="417" hidden="1">
      <c r="A417" s="68"/>
      <c r="B417" s="79"/>
      <c r="C417" s="79"/>
      <c r="D417" s="79"/>
      <c r="E417" s="186"/>
      <c r="F417" s="187"/>
      <c r="G417" s="188"/>
      <c r="H417" s="93"/>
      <c r="I417" s="79"/>
      <c r="J417" s="79"/>
      <c r="K417" s="124"/>
      <c r="L417" s="85"/>
    </row>
    <row r="418" hidden="1">
      <c r="A418" s="68"/>
      <c r="B418" s="79"/>
      <c r="C418" s="79"/>
      <c r="D418" s="79"/>
      <c r="E418" s="186"/>
      <c r="F418" s="187"/>
      <c r="G418" s="188"/>
      <c r="H418" s="93"/>
      <c r="I418" s="79"/>
      <c r="J418" s="79"/>
      <c r="K418" s="124"/>
      <c r="L418" s="85"/>
    </row>
    <row r="419" hidden="1">
      <c r="A419" s="68"/>
      <c r="B419" s="79"/>
      <c r="C419" s="79"/>
      <c r="D419" s="79"/>
      <c r="E419" s="186"/>
      <c r="F419" s="187"/>
      <c r="G419" s="188"/>
      <c r="H419" s="93"/>
      <c r="I419" s="79"/>
      <c r="J419" s="79"/>
      <c r="K419" s="124"/>
      <c r="L419" s="85"/>
    </row>
    <row r="420" hidden="1">
      <c r="A420" s="68"/>
      <c r="B420" s="79"/>
      <c r="C420" s="79"/>
      <c r="D420" s="79"/>
      <c r="E420" s="186"/>
      <c r="F420" s="187"/>
      <c r="G420" s="188"/>
      <c r="H420" s="93"/>
      <c r="I420" s="79"/>
      <c r="J420" s="79"/>
      <c r="K420" s="124"/>
      <c r="L420" s="85"/>
    </row>
    <row r="421" hidden="1">
      <c r="A421" s="68"/>
      <c r="B421" s="79"/>
      <c r="C421" s="79"/>
      <c r="D421" s="79"/>
      <c r="E421" s="186"/>
      <c r="F421" s="187"/>
      <c r="G421" s="188"/>
      <c r="H421" s="93"/>
      <c r="I421" s="79"/>
      <c r="J421" s="79"/>
      <c r="K421" s="124"/>
      <c r="L421" s="85"/>
    </row>
    <row r="422" hidden="1">
      <c r="A422" s="68"/>
      <c r="B422" s="79"/>
      <c r="C422" s="79"/>
      <c r="D422" s="79"/>
      <c r="E422" s="186"/>
      <c r="F422" s="187"/>
      <c r="G422" s="188"/>
      <c r="H422" s="93"/>
      <c r="I422" s="79"/>
      <c r="J422" s="79"/>
      <c r="K422" s="124"/>
      <c r="L422" s="85"/>
    </row>
    <row r="423" hidden="1">
      <c r="A423" s="68"/>
      <c r="B423" s="79"/>
      <c r="C423" s="79"/>
      <c r="D423" s="79"/>
      <c r="E423" s="186"/>
      <c r="F423" s="187"/>
      <c r="G423" s="188"/>
      <c r="H423" s="93"/>
      <c r="I423" s="79"/>
      <c r="J423" s="79"/>
      <c r="K423" s="124"/>
      <c r="L423" s="85"/>
    </row>
    <row r="424" hidden="1">
      <c r="A424" s="68"/>
      <c r="B424" s="79"/>
      <c r="C424" s="79"/>
      <c r="D424" s="79"/>
      <c r="E424" s="186"/>
      <c r="F424" s="187"/>
      <c r="G424" s="188"/>
      <c r="H424" s="93"/>
      <c r="I424" s="79"/>
      <c r="J424" s="79"/>
      <c r="K424" s="124"/>
      <c r="L424" s="85"/>
    </row>
    <row r="425" hidden="1">
      <c r="A425" s="68"/>
      <c r="B425" s="79"/>
      <c r="C425" s="79"/>
      <c r="D425" s="79"/>
      <c r="E425" s="186"/>
      <c r="F425" s="187"/>
      <c r="G425" s="188"/>
      <c r="H425" s="93"/>
      <c r="I425" s="79"/>
      <c r="J425" s="79"/>
      <c r="K425" s="124"/>
      <c r="L425" s="85"/>
    </row>
    <row r="426" hidden="1">
      <c r="A426" s="68"/>
      <c r="B426" s="79"/>
      <c r="C426" s="79"/>
      <c r="D426" s="79"/>
      <c r="E426" s="186"/>
      <c r="F426" s="187"/>
      <c r="G426" s="188"/>
      <c r="H426" s="93"/>
      <c r="I426" s="79"/>
      <c r="J426" s="79"/>
      <c r="K426" s="124"/>
      <c r="L426" s="85"/>
    </row>
    <row r="427" hidden="1">
      <c r="A427" s="68"/>
      <c r="B427" s="79"/>
      <c r="C427" s="79"/>
      <c r="D427" s="79"/>
      <c r="E427" s="186"/>
      <c r="F427" s="187"/>
      <c r="G427" s="188"/>
      <c r="H427" s="93"/>
      <c r="I427" s="79"/>
      <c r="J427" s="79"/>
      <c r="K427" s="124"/>
      <c r="L427" s="85"/>
    </row>
    <row r="428" hidden="1">
      <c r="A428" s="68"/>
      <c r="B428" s="79"/>
      <c r="C428" s="79"/>
      <c r="D428" s="79"/>
      <c r="E428" s="186"/>
      <c r="F428" s="187"/>
      <c r="G428" s="188"/>
      <c r="H428" s="93"/>
      <c r="I428" s="79"/>
      <c r="J428" s="79"/>
      <c r="K428" s="124"/>
      <c r="L428" s="85"/>
    </row>
    <row r="429" hidden="1">
      <c r="A429" s="68"/>
      <c r="B429" s="79"/>
      <c r="C429" s="79"/>
      <c r="D429" s="79"/>
      <c r="E429" s="186"/>
      <c r="F429" s="187"/>
      <c r="G429" s="188"/>
      <c r="H429" s="93"/>
      <c r="I429" s="79"/>
      <c r="J429" s="79"/>
      <c r="K429" s="124"/>
      <c r="L429" s="85"/>
    </row>
    <row r="430" hidden="1">
      <c r="A430" s="68"/>
      <c r="B430" s="79"/>
      <c r="C430" s="79"/>
      <c r="D430" s="79"/>
      <c r="E430" s="186"/>
      <c r="F430" s="187"/>
      <c r="G430" s="188"/>
      <c r="H430" s="93"/>
      <c r="I430" s="79"/>
      <c r="J430" s="79"/>
      <c r="K430" s="124"/>
      <c r="L430" s="85"/>
    </row>
    <row r="431" hidden="1">
      <c r="A431" s="68"/>
      <c r="B431" s="79"/>
      <c r="C431" s="79"/>
      <c r="D431" s="79"/>
      <c r="E431" s="186"/>
      <c r="F431" s="187"/>
      <c r="G431" s="188"/>
      <c r="H431" s="93"/>
      <c r="I431" s="79"/>
      <c r="J431" s="79"/>
      <c r="K431" s="124"/>
      <c r="L431" s="85"/>
    </row>
    <row r="432" hidden="1">
      <c r="A432" s="68"/>
      <c r="B432" s="79"/>
      <c r="C432" s="79"/>
      <c r="D432" s="79"/>
      <c r="E432" s="186"/>
      <c r="F432" s="187"/>
      <c r="G432" s="188"/>
      <c r="H432" s="93"/>
      <c r="I432" s="79"/>
      <c r="J432" s="79"/>
      <c r="K432" s="124"/>
      <c r="L432" s="85"/>
    </row>
    <row r="433" hidden="1">
      <c r="A433" s="68"/>
      <c r="B433" s="79"/>
      <c r="C433" s="79"/>
      <c r="D433" s="79"/>
      <c r="E433" s="186"/>
      <c r="F433" s="187"/>
      <c r="G433" s="188"/>
      <c r="H433" s="93"/>
      <c r="I433" s="79"/>
      <c r="J433" s="79"/>
      <c r="K433" s="124"/>
      <c r="L433" s="85"/>
    </row>
    <row r="434" hidden="1">
      <c r="A434" s="68"/>
      <c r="B434" s="79"/>
      <c r="C434" s="79"/>
      <c r="D434" s="79"/>
      <c r="E434" s="186"/>
      <c r="F434" s="187"/>
      <c r="G434" s="188"/>
      <c r="H434" s="93"/>
      <c r="I434" s="79"/>
      <c r="J434" s="79"/>
      <c r="K434" s="124"/>
      <c r="L434" s="85"/>
    </row>
    <row r="435" hidden="1">
      <c r="A435" s="68"/>
      <c r="B435" s="79"/>
      <c r="C435" s="79"/>
      <c r="D435" s="79"/>
      <c r="E435" s="186"/>
      <c r="F435" s="187"/>
      <c r="G435" s="188"/>
      <c r="H435" s="93"/>
      <c r="I435" s="79"/>
      <c r="J435" s="79"/>
      <c r="K435" s="124"/>
      <c r="L435" s="85"/>
    </row>
    <row r="436" hidden="1">
      <c r="A436" s="68"/>
      <c r="B436" s="79"/>
      <c r="C436" s="79"/>
      <c r="D436" s="79"/>
      <c r="E436" s="186"/>
      <c r="F436" s="187"/>
      <c r="G436" s="188"/>
      <c r="H436" s="93"/>
      <c r="I436" s="79"/>
      <c r="J436" s="79"/>
      <c r="K436" s="124"/>
      <c r="L436" s="85"/>
    </row>
    <row r="437" hidden="1">
      <c r="A437" s="68"/>
      <c r="B437" s="79"/>
      <c r="C437" s="79"/>
      <c r="D437" s="79"/>
      <c r="E437" s="186"/>
      <c r="F437" s="187"/>
      <c r="G437" s="188"/>
      <c r="H437" s="93"/>
      <c r="I437" s="79"/>
      <c r="J437" s="79"/>
      <c r="K437" s="124"/>
      <c r="L437" s="85"/>
    </row>
    <row r="438" hidden="1">
      <c r="A438" s="68"/>
      <c r="B438" s="79"/>
      <c r="C438" s="79"/>
      <c r="D438" s="79"/>
      <c r="E438" s="186"/>
      <c r="F438" s="187"/>
      <c r="G438" s="188"/>
      <c r="H438" s="93"/>
      <c r="I438" s="79"/>
      <c r="J438" s="79"/>
      <c r="K438" s="124"/>
      <c r="L438" s="85"/>
    </row>
    <row r="439" hidden="1">
      <c r="A439" s="68"/>
      <c r="B439" s="79"/>
      <c r="C439" s="79"/>
      <c r="D439" s="79"/>
      <c r="E439" s="186"/>
      <c r="F439" s="187"/>
      <c r="G439" s="188"/>
      <c r="H439" s="93"/>
      <c r="I439" s="79"/>
      <c r="J439" s="79"/>
      <c r="K439" s="124"/>
      <c r="L439" s="85"/>
    </row>
    <row r="440" hidden="1">
      <c r="A440" s="68"/>
      <c r="B440" s="79"/>
      <c r="C440" s="79"/>
      <c r="D440" s="79"/>
      <c r="E440" s="186"/>
      <c r="F440" s="187"/>
      <c r="G440" s="188"/>
      <c r="H440" s="93"/>
      <c r="I440" s="79"/>
      <c r="J440" s="79"/>
      <c r="K440" s="124"/>
      <c r="L440" s="85"/>
    </row>
    <row r="441" hidden="1">
      <c r="A441" s="68"/>
      <c r="B441" s="79"/>
      <c r="C441" s="79"/>
      <c r="D441" s="79"/>
      <c r="E441" s="186"/>
      <c r="F441" s="187"/>
      <c r="G441" s="188"/>
      <c r="H441" s="93"/>
      <c r="I441" s="79"/>
      <c r="J441" s="79"/>
      <c r="K441" s="124"/>
      <c r="L441" s="85"/>
    </row>
    <row r="442" hidden="1">
      <c r="A442" s="68"/>
      <c r="B442" s="79"/>
      <c r="C442" s="79"/>
      <c r="D442" s="79"/>
      <c r="E442" s="186"/>
      <c r="F442" s="187"/>
      <c r="G442" s="188"/>
      <c r="H442" s="93"/>
      <c r="I442" s="79"/>
      <c r="J442" s="79"/>
      <c r="K442" s="124"/>
      <c r="L442" s="85"/>
    </row>
    <row r="443" hidden="1">
      <c r="A443" s="68"/>
      <c r="B443" s="79"/>
      <c r="C443" s="79"/>
      <c r="D443" s="79"/>
      <c r="E443" s="186"/>
      <c r="F443" s="187"/>
      <c r="G443" s="188"/>
      <c r="H443" s="93"/>
      <c r="I443" s="79"/>
      <c r="J443" s="79"/>
      <c r="K443" s="124"/>
      <c r="L443" s="85"/>
    </row>
    <row r="444" hidden="1">
      <c r="A444" s="68"/>
      <c r="B444" s="79"/>
      <c r="C444" s="79"/>
      <c r="D444" s="79"/>
      <c r="E444" s="186"/>
      <c r="F444" s="187"/>
      <c r="G444" s="188"/>
      <c r="H444" s="93"/>
      <c r="I444" s="79"/>
      <c r="J444" s="79"/>
      <c r="K444" s="124"/>
      <c r="L444" s="85"/>
    </row>
    <row r="445" hidden="1">
      <c r="A445" s="68"/>
      <c r="B445" s="79"/>
      <c r="C445" s="79"/>
      <c r="D445" s="79"/>
      <c r="E445" s="186"/>
      <c r="F445" s="187"/>
      <c r="G445" s="188"/>
      <c r="H445" s="93"/>
      <c r="I445" s="79"/>
      <c r="J445" s="79"/>
      <c r="K445" s="124"/>
      <c r="L445" s="85"/>
    </row>
    <row r="446" hidden="1">
      <c r="A446" s="68"/>
      <c r="B446" s="79"/>
      <c r="C446" s="79"/>
      <c r="D446" s="79"/>
      <c r="E446" s="186"/>
      <c r="F446" s="187"/>
      <c r="G446" s="188"/>
      <c r="H446" s="93"/>
      <c r="I446" s="79"/>
      <c r="J446" s="79"/>
      <c r="K446" s="124"/>
      <c r="L446" s="85"/>
    </row>
    <row r="447" hidden="1">
      <c r="A447" s="68"/>
      <c r="B447" s="79"/>
      <c r="C447" s="79"/>
      <c r="D447" s="79"/>
      <c r="E447" s="186"/>
      <c r="F447" s="187"/>
      <c r="G447" s="188"/>
      <c r="H447" s="93"/>
      <c r="I447" s="79"/>
      <c r="J447" s="79"/>
      <c r="K447" s="124"/>
      <c r="L447" s="85"/>
    </row>
    <row r="448" hidden="1">
      <c r="A448" s="68"/>
      <c r="B448" s="79"/>
      <c r="C448" s="79"/>
      <c r="D448" s="79"/>
      <c r="E448" s="186"/>
      <c r="F448" s="187"/>
      <c r="G448" s="188"/>
      <c r="H448" s="93"/>
      <c r="I448" s="79"/>
      <c r="J448" s="79"/>
      <c r="K448" s="124"/>
      <c r="L448" s="85"/>
    </row>
    <row r="449" hidden="1">
      <c r="A449" s="68"/>
      <c r="B449" s="79"/>
      <c r="C449" s="79"/>
      <c r="D449" s="79"/>
      <c r="E449" s="186"/>
      <c r="F449" s="187"/>
      <c r="G449" s="188"/>
      <c r="H449" s="93"/>
      <c r="I449" s="79"/>
      <c r="J449" s="79"/>
      <c r="K449" s="124"/>
      <c r="L449" s="85"/>
    </row>
    <row r="450" hidden="1">
      <c r="A450" s="68"/>
      <c r="B450" s="79"/>
      <c r="C450" s="79"/>
      <c r="D450" s="79"/>
      <c r="E450" s="186"/>
      <c r="F450" s="187"/>
      <c r="G450" s="188"/>
      <c r="H450" s="93"/>
      <c r="I450" s="79"/>
      <c r="J450" s="79"/>
      <c r="K450" s="124"/>
      <c r="L450" s="85"/>
    </row>
    <row r="451" hidden="1">
      <c r="A451" s="68"/>
      <c r="B451" s="79"/>
      <c r="C451" s="79"/>
      <c r="D451" s="79"/>
      <c r="E451" s="186"/>
      <c r="F451" s="187"/>
      <c r="G451" s="188"/>
      <c r="H451" s="93"/>
      <c r="I451" s="79"/>
      <c r="J451" s="79"/>
      <c r="K451" s="124"/>
      <c r="L451" s="85"/>
    </row>
    <row r="452" hidden="1">
      <c r="A452" s="68"/>
      <c r="B452" s="79"/>
      <c r="C452" s="79"/>
      <c r="D452" s="79"/>
      <c r="E452" s="186"/>
      <c r="F452" s="187"/>
      <c r="G452" s="188"/>
      <c r="H452" s="93"/>
      <c r="I452" s="79"/>
      <c r="J452" s="79"/>
      <c r="K452" s="124"/>
      <c r="L452" s="85"/>
    </row>
    <row r="453" hidden="1">
      <c r="A453" s="68"/>
      <c r="B453" s="79"/>
      <c r="C453" s="79"/>
      <c r="D453" s="79"/>
      <c r="E453" s="186"/>
      <c r="F453" s="187"/>
      <c r="G453" s="188"/>
      <c r="H453" s="93"/>
      <c r="I453" s="79"/>
      <c r="J453" s="79"/>
      <c r="K453" s="124"/>
      <c r="L453" s="85"/>
    </row>
    <row r="454" hidden="1">
      <c r="A454" s="68"/>
      <c r="B454" s="79"/>
      <c r="C454" s="79"/>
      <c r="D454" s="79"/>
      <c r="E454" s="186"/>
      <c r="F454" s="187"/>
      <c r="G454" s="188"/>
      <c r="H454" s="93"/>
      <c r="I454" s="79"/>
      <c r="J454" s="79"/>
      <c r="K454" s="124"/>
      <c r="L454" s="85"/>
    </row>
    <row r="455" hidden="1">
      <c r="A455" s="68"/>
      <c r="B455" s="79"/>
      <c r="C455" s="79"/>
      <c r="D455" s="79"/>
      <c r="E455" s="186"/>
      <c r="F455" s="187"/>
      <c r="G455" s="188"/>
      <c r="H455" s="93"/>
      <c r="I455" s="79"/>
      <c r="J455" s="79"/>
      <c r="K455" s="124"/>
      <c r="L455" s="85"/>
    </row>
    <row r="456" hidden="1">
      <c r="A456" s="68"/>
      <c r="B456" s="79"/>
      <c r="C456" s="79"/>
      <c r="D456" s="79"/>
      <c r="E456" s="186"/>
      <c r="F456" s="187"/>
      <c r="G456" s="188"/>
      <c r="H456" s="93"/>
      <c r="I456" s="79"/>
      <c r="J456" s="79"/>
      <c r="K456" s="124"/>
      <c r="L456" s="85"/>
    </row>
    <row r="457" hidden="1">
      <c r="A457" s="68"/>
      <c r="B457" s="79"/>
      <c r="C457" s="79"/>
      <c r="D457" s="79"/>
      <c r="E457" s="186"/>
      <c r="F457" s="187"/>
      <c r="G457" s="188"/>
      <c r="H457" s="93"/>
      <c r="I457" s="79"/>
      <c r="J457" s="79"/>
      <c r="K457" s="124"/>
      <c r="L457" s="85"/>
    </row>
    <row r="458" hidden="1">
      <c r="A458" s="68"/>
      <c r="B458" s="79"/>
      <c r="C458" s="79"/>
      <c r="D458" s="79"/>
      <c r="E458" s="186"/>
      <c r="F458" s="187"/>
      <c r="G458" s="188"/>
      <c r="H458" s="93"/>
      <c r="I458" s="79"/>
      <c r="J458" s="79"/>
      <c r="K458" s="124"/>
      <c r="L458" s="85"/>
    </row>
    <row r="459" hidden="1">
      <c r="A459" s="68"/>
      <c r="B459" s="79"/>
      <c r="C459" s="79"/>
      <c r="D459" s="79"/>
      <c r="E459" s="186"/>
      <c r="F459" s="187"/>
      <c r="G459" s="188"/>
      <c r="H459" s="93"/>
      <c r="I459" s="79"/>
      <c r="J459" s="79"/>
      <c r="K459" s="124"/>
      <c r="L459" s="85"/>
    </row>
    <row r="460" hidden="1">
      <c r="A460" s="68"/>
      <c r="B460" s="79"/>
      <c r="C460" s="79"/>
      <c r="D460" s="79"/>
      <c r="E460" s="186"/>
      <c r="F460" s="187"/>
      <c r="G460" s="188"/>
      <c r="H460" s="93"/>
      <c r="I460" s="79"/>
      <c r="J460" s="79"/>
      <c r="K460" s="124"/>
      <c r="L460" s="85"/>
    </row>
    <row r="461" hidden="1">
      <c r="A461" s="68"/>
      <c r="B461" s="79"/>
      <c r="C461" s="79"/>
      <c r="D461" s="79"/>
      <c r="E461" s="186"/>
      <c r="F461" s="187"/>
      <c r="G461" s="188"/>
      <c r="H461" s="93"/>
      <c r="I461" s="79"/>
      <c r="J461" s="79"/>
      <c r="K461" s="124"/>
      <c r="L461" s="85"/>
    </row>
    <row r="462" hidden="1">
      <c r="A462" s="68"/>
      <c r="B462" s="79"/>
      <c r="C462" s="79"/>
      <c r="D462" s="79"/>
      <c r="E462" s="186"/>
      <c r="F462" s="187"/>
      <c r="G462" s="188"/>
      <c r="H462" s="93"/>
      <c r="I462" s="79"/>
      <c r="J462" s="79"/>
      <c r="K462" s="124"/>
      <c r="L462" s="85"/>
    </row>
    <row r="463" hidden="1">
      <c r="A463" s="68"/>
      <c r="B463" s="79"/>
      <c r="C463" s="79"/>
      <c r="D463" s="79"/>
      <c r="E463" s="186"/>
      <c r="F463" s="187"/>
      <c r="G463" s="188"/>
      <c r="H463" s="93"/>
      <c r="I463" s="79"/>
      <c r="J463" s="79"/>
      <c r="K463" s="124"/>
      <c r="L463" s="85"/>
    </row>
    <row r="464" hidden="1">
      <c r="A464" s="68"/>
      <c r="B464" s="79"/>
      <c r="C464" s="79"/>
      <c r="D464" s="79"/>
      <c r="E464" s="186"/>
      <c r="F464" s="187"/>
      <c r="G464" s="188"/>
      <c r="H464" s="93"/>
      <c r="I464" s="79"/>
      <c r="J464" s="79"/>
      <c r="K464" s="124"/>
      <c r="L464" s="85"/>
    </row>
    <row r="465" hidden="1">
      <c r="A465" s="68"/>
      <c r="B465" s="79"/>
      <c r="C465" s="79"/>
      <c r="D465" s="79"/>
      <c r="E465" s="186"/>
      <c r="F465" s="187"/>
      <c r="G465" s="188"/>
      <c r="H465" s="93"/>
      <c r="I465" s="79"/>
      <c r="J465" s="79"/>
      <c r="K465" s="124"/>
      <c r="L465" s="85"/>
    </row>
    <row r="466" hidden="1">
      <c r="A466" s="68"/>
      <c r="B466" s="79"/>
      <c r="C466" s="79"/>
      <c r="D466" s="79"/>
      <c r="E466" s="186"/>
      <c r="F466" s="187"/>
      <c r="G466" s="188"/>
      <c r="H466" s="93"/>
      <c r="I466" s="79"/>
      <c r="J466" s="79"/>
      <c r="K466" s="124"/>
      <c r="L466" s="85"/>
    </row>
    <row r="467" hidden="1">
      <c r="A467" s="68"/>
      <c r="B467" s="79"/>
      <c r="C467" s="79"/>
      <c r="D467" s="79"/>
      <c r="E467" s="186"/>
      <c r="F467" s="187"/>
      <c r="G467" s="188"/>
      <c r="H467" s="93"/>
      <c r="I467" s="79"/>
      <c r="J467" s="79"/>
      <c r="K467" s="124"/>
      <c r="L467" s="85"/>
    </row>
    <row r="468" hidden="1">
      <c r="A468" s="68"/>
      <c r="B468" s="79"/>
      <c r="C468" s="79"/>
      <c r="D468" s="79"/>
      <c r="E468" s="186"/>
      <c r="F468" s="187"/>
      <c r="G468" s="188"/>
      <c r="H468" s="93"/>
      <c r="I468" s="79"/>
      <c r="J468" s="79"/>
      <c r="K468" s="124"/>
      <c r="L468" s="85"/>
    </row>
    <row r="469" hidden="1">
      <c r="A469" s="68"/>
      <c r="B469" s="79"/>
      <c r="C469" s="79"/>
      <c r="D469" s="79"/>
      <c r="E469" s="186"/>
      <c r="F469" s="187"/>
      <c r="G469" s="188"/>
      <c r="H469" s="93"/>
      <c r="I469" s="79"/>
      <c r="J469" s="79"/>
      <c r="K469" s="124"/>
      <c r="L469" s="85"/>
    </row>
    <row r="470" hidden="1">
      <c r="A470" s="68"/>
      <c r="B470" s="79"/>
      <c r="C470" s="79"/>
      <c r="D470" s="79"/>
      <c r="E470" s="186"/>
      <c r="F470" s="187"/>
      <c r="G470" s="188"/>
      <c r="H470" s="93"/>
      <c r="I470" s="79"/>
      <c r="J470" s="79"/>
      <c r="K470" s="124"/>
      <c r="L470" s="85"/>
    </row>
    <row r="471" hidden="1">
      <c r="A471" s="68"/>
      <c r="B471" s="79"/>
      <c r="C471" s="79"/>
      <c r="D471" s="79"/>
      <c r="E471" s="186"/>
      <c r="F471" s="187"/>
      <c r="G471" s="188"/>
      <c r="H471" s="93"/>
      <c r="I471" s="79"/>
      <c r="J471" s="79"/>
      <c r="K471" s="124"/>
      <c r="L471" s="85"/>
    </row>
    <row r="472" hidden="1">
      <c r="A472" s="68"/>
      <c r="B472" s="79"/>
      <c r="C472" s="79"/>
      <c r="D472" s="79"/>
      <c r="E472" s="186"/>
      <c r="F472" s="187"/>
      <c r="G472" s="188"/>
      <c r="H472" s="93"/>
      <c r="I472" s="79"/>
      <c r="J472" s="79"/>
      <c r="K472" s="124"/>
      <c r="L472" s="85"/>
    </row>
    <row r="473" hidden="1">
      <c r="A473" s="68"/>
      <c r="B473" s="79"/>
      <c r="C473" s="79"/>
      <c r="D473" s="79"/>
      <c r="E473" s="186"/>
      <c r="F473" s="187"/>
      <c r="G473" s="188"/>
      <c r="H473" s="93"/>
      <c r="I473" s="79"/>
      <c r="J473" s="79"/>
      <c r="K473" s="124"/>
      <c r="L473" s="85"/>
    </row>
    <row r="474" hidden="1">
      <c r="A474" s="68"/>
      <c r="B474" s="79"/>
      <c r="C474" s="79"/>
      <c r="D474" s="79"/>
      <c r="E474" s="186"/>
      <c r="F474" s="187"/>
      <c r="G474" s="188"/>
      <c r="H474" s="93"/>
      <c r="I474" s="79"/>
      <c r="J474" s="79"/>
      <c r="K474" s="124"/>
      <c r="L474" s="85"/>
    </row>
    <row r="475" hidden="1">
      <c r="A475" s="68"/>
      <c r="B475" s="79"/>
      <c r="C475" s="79"/>
      <c r="D475" s="79"/>
      <c r="E475" s="186"/>
      <c r="F475" s="187"/>
      <c r="G475" s="188"/>
      <c r="H475" s="93"/>
      <c r="I475" s="79"/>
      <c r="J475" s="79"/>
      <c r="K475" s="124"/>
      <c r="L475" s="85"/>
    </row>
    <row r="476" hidden="1">
      <c r="A476" s="68"/>
      <c r="B476" s="79"/>
      <c r="C476" s="79"/>
      <c r="D476" s="79"/>
      <c r="E476" s="186"/>
      <c r="F476" s="187"/>
      <c r="G476" s="188"/>
      <c r="H476" s="93"/>
      <c r="I476" s="79"/>
      <c r="J476" s="79"/>
      <c r="K476" s="124"/>
      <c r="L476" s="85"/>
    </row>
    <row r="477" hidden="1">
      <c r="A477" s="68"/>
      <c r="B477" s="79"/>
      <c r="C477" s="79"/>
      <c r="D477" s="79"/>
      <c r="E477" s="186"/>
      <c r="F477" s="187"/>
      <c r="G477" s="188"/>
      <c r="H477" s="93"/>
      <c r="I477" s="79"/>
      <c r="J477" s="79"/>
      <c r="K477" s="124"/>
      <c r="L477" s="85"/>
    </row>
    <row r="478" hidden="1">
      <c r="A478" s="68"/>
      <c r="B478" s="79"/>
      <c r="C478" s="79"/>
      <c r="D478" s="79"/>
      <c r="E478" s="186"/>
      <c r="F478" s="187"/>
      <c r="G478" s="188"/>
      <c r="H478" s="93"/>
      <c r="I478" s="79"/>
      <c r="J478" s="79"/>
      <c r="K478" s="124"/>
      <c r="L478" s="85"/>
    </row>
    <row r="479" hidden="1">
      <c r="A479" s="68"/>
      <c r="B479" s="79"/>
      <c r="C479" s="79"/>
      <c r="D479" s="79"/>
      <c r="E479" s="186"/>
      <c r="F479" s="187"/>
      <c r="G479" s="188"/>
      <c r="H479" s="93"/>
      <c r="I479" s="79"/>
      <c r="J479" s="79"/>
      <c r="K479" s="124"/>
      <c r="L479" s="85"/>
    </row>
    <row r="480" hidden="1">
      <c r="A480" s="68"/>
      <c r="B480" s="79"/>
      <c r="C480" s="79"/>
      <c r="D480" s="79"/>
      <c r="E480" s="186"/>
      <c r="F480" s="187"/>
      <c r="G480" s="188"/>
      <c r="H480" s="93"/>
      <c r="I480" s="79"/>
      <c r="J480" s="79"/>
      <c r="K480" s="124"/>
      <c r="L480" s="85"/>
    </row>
    <row r="481" hidden="1">
      <c r="A481" s="68"/>
      <c r="B481" s="79"/>
      <c r="C481" s="79"/>
      <c r="D481" s="79"/>
      <c r="E481" s="186"/>
      <c r="F481" s="187"/>
      <c r="G481" s="188"/>
      <c r="H481" s="93"/>
      <c r="I481" s="79"/>
      <c r="J481" s="79"/>
      <c r="K481" s="124"/>
      <c r="L481" s="85"/>
    </row>
    <row r="482" hidden="1">
      <c r="A482" s="68"/>
      <c r="B482" s="79"/>
      <c r="C482" s="79"/>
      <c r="D482" s="79"/>
      <c r="E482" s="186"/>
      <c r="F482" s="187"/>
      <c r="G482" s="188"/>
      <c r="H482" s="93"/>
      <c r="I482" s="79"/>
      <c r="J482" s="79"/>
      <c r="K482" s="124"/>
      <c r="L482" s="85"/>
    </row>
    <row r="483" hidden="1">
      <c r="A483" s="68"/>
      <c r="B483" s="79"/>
      <c r="C483" s="79"/>
      <c r="D483" s="79"/>
      <c r="E483" s="186"/>
      <c r="F483" s="187"/>
      <c r="G483" s="188"/>
      <c r="H483" s="93"/>
      <c r="I483" s="79"/>
      <c r="J483" s="79"/>
      <c r="K483" s="124"/>
      <c r="L483" s="85"/>
    </row>
    <row r="484" hidden="1">
      <c r="A484" s="68"/>
      <c r="B484" s="79"/>
      <c r="C484" s="79"/>
      <c r="D484" s="79"/>
      <c r="E484" s="186"/>
      <c r="F484" s="187"/>
      <c r="G484" s="188"/>
      <c r="H484" s="93"/>
      <c r="I484" s="79"/>
      <c r="J484" s="79"/>
      <c r="K484" s="124"/>
      <c r="L484" s="85"/>
    </row>
    <row r="485" hidden="1">
      <c r="A485" s="68"/>
      <c r="B485" s="79"/>
      <c r="C485" s="79"/>
      <c r="D485" s="79"/>
      <c r="E485" s="186"/>
      <c r="F485" s="187"/>
      <c r="G485" s="188"/>
      <c r="H485" s="93"/>
      <c r="I485" s="79"/>
      <c r="J485" s="79"/>
      <c r="K485" s="124"/>
      <c r="L485" s="85"/>
    </row>
    <row r="486" hidden="1">
      <c r="A486" s="68"/>
      <c r="B486" s="79"/>
      <c r="C486" s="79"/>
      <c r="D486" s="79"/>
      <c r="E486" s="186"/>
      <c r="F486" s="187"/>
      <c r="G486" s="188"/>
      <c r="H486" s="93"/>
      <c r="I486" s="79"/>
      <c r="J486" s="79"/>
      <c r="K486" s="124"/>
      <c r="L486" s="85"/>
    </row>
    <row r="487" hidden="1">
      <c r="A487" s="68"/>
      <c r="B487" s="79"/>
      <c r="C487" s="79"/>
      <c r="D487" s="79"/>
      <c r="E487" s="186"/>
      <c r="F487" s="187"/>
      <c r="G487" s="188"/>
      <c r="H487" s="93"/>
      <c r="I487" s="79"/>
      <c r="J487" s="79"/>
      <c r="K487" s="124"/>
      <c r="L487" s="85"/>
    </row>
    <row r="488" hidden="1">
      <c r="A488" s="68"/>
      <c r="B488" s="79"/>
      <c r="C488" s="79"/>
      <c r="D488" s="79"/>
      <c r="E488" s="186"/>
      <c r="F488" s="187"/>
      <c r="G488" s="188"/>
      <c r="H488" s="93"/>
      <c r="I488" s="79"/>
      <c r="J488" s="79"/>
      <c r="K488" s="124"/>
      <c r="L488" s="85"/>
    </row>
    <row r="489" hidden="1">
      <c r="A489" s="68"/>
      <c r="B489" s="79"/>
      <c r="C489" s="79"/>
      <c r="D489" s="79"/>
      <c r="E489" s="186"/>
      <c r="F489" s="187"/>
      <c r="G489" s="188"/>
      <c r="H489" s="93"/>
      <c r="I489" s="79"/>
      <c r="J489" s="79"/>
      <c r="K489" s="124"/>
      <c r="L489" s="85"/>
    </row>
    <row r="490" hidden="1">
      <c r="A490" s="68"/>
      <c r="B490" s="79"/>
      <c r="C490" s="79"/>
      <c r="D490" s="79"/>
      <c r="E490" s="186"/>
      <c r="F490" s="187"/>
      <c r="G490" s="188"/>
      <c r="H490" s="93"/>
      <c r="I490" s="79"/>
      <c r="J490" s="79"/>
      <c r="K490" s="124"/>
      <c r="L490" s="85"/>
    </row>
    <row r="491" hidden="1">
      <c r="A491" s="68"/>
      <c r="B491" s="79"/>
      <c r="C491" s="79"/>
      <c r="D491" s="79"/>
      <c r="E491" s="186"/>
      <c r="F491" s="187"/>
      <c r="G491" s="188"/>
      <c r="H491" s="93"/>
      <c r="I491" s="79"/>
      <c r="J491" s="79"/>
      <c r="K491" s="124"/>
      <c r="L491" s="85"/>
    </row>
    <row r="492" hidden="1">
      <c r="A492" s="68"/>
      <c r="B492" s="79"/>
      <c r="C492" s="79"/>
      <c r="D492" s="79"/>
      <c r="E492" s="186"/>
      <c r="F492" s="187"/>
      <c r="G492" s="188"/>
      <c r="H492" s="93"/>
      <c r="I492" s="79"/>
      <c r="J492" s="79"/>
      <c r="K492" s="124"/>
      <c r="L492" s="85"/>
    </row>
    <row r="493" hidden="1">
      <c r="A493" s="68"/>
      <c r="B493" s="79"/>
      <c r="C493" s="79"/>
      <c r="D493" s="79"/>
      <c r="E493" s="186"/>
      <c r="F493" s="187"/>
      <c r="G493" s="188"/>
      <c r="H493" s="93"/>
      <c r="I493" s="79"/>
      <c r="J493" s="79"/>
      <c r="K493" s="124"/>
      <c r="L493" s="85"/>
    </row>
    <row r="494" hidden="1">
      <c r="A494" s="68"/>
      <c r="B494" s="79"/>
      <c r="C494" s="79"/>
      <c r="D494" s="79"/>
      <c r="E494" s="186"/>
      <c r="F494" s="187"/>
      <c r="G494" s="188"/>
      <c r="H494" s="93"/>
      <c r="I494" s="79"/>
      <c r="J494" s="79"/>
      <c r="K494" s="124"/>
      <c r="L494" s="85"/>
    </row>
    <row r="495" hidden="1">
      <c r="A495" s="68"/>
      <c r="B495" s="79"/>
      <c r="C495" s="79"/>
      <c r="D495" s="79"/>
      <c r="E495" s="186"/>
      <c r="F495" s="187"/>
      <c r="G495" s="188"/>
      <c r="H495" s="93"/>
      <c r="I495" s="79"/>
      <c r="J495" s="79"/>
      <c r="K495" s="124"/>
      <c r="L495" s="85"/>
    </row>
    <row r="496" hidden="1">
      <c r="A496" s="68"/>
      <c r="B496" s="79"/>
      <c r="C496" s="79"/>
      <c r="D496" s="79"/>
      <c r="E496" s="186"/>
      <c r="F496" s="187"/>
      <c r="G496" s="188"/>
      <c r="H496" s="93"/>
      <c r="I496" s="79"/>
      <c r="J496" s="79"/>
      <c r="K496" s="124"/>
      <c r="L496" s="85"/>
    </row>
    <row r="497" hidden="1">
      <c r="A497" s="68"/>
      <c r="B497" s="79"/>
      <c r="C497" s="79"/>
      <c r="D497" s="79"/>
      <c r="E497" s="186"/>
      <c r="F497" s="187"/>
      <c r="G497" s="188"/>
      <c r="H497" s="93"/>
      <c r="I497" s="79"/>
      <c r="J497" s="79"/>
      <c r="K497" s="124"/>
      <c r="L497" s="85"/>
    </row>
    <row r="498" hidden="1">
      <c r="A498" s="68"/>
      <c r="B498" s="79"/>
      <c r="C498" s="79"/>
      <c r="D498" s="79"/>
      <c r="E498" s="186"/>
      <c r="F498" s="187"/>
      <c r="G498" s="188"/>
      <c r="H498" s="93"/>
      <c r="I498" s="79"/>
      <c r="J498" s="79"/>
      <c r="K498" s="124"/>
      <c r="L498" s="85"/>
    </row>
    <row r="499" hidden="1">
      <c r="A499" s="68"/>
      <c r="B499" s="79"/>
      <c r="C499" s="79"/>
      <c r="D499" s="79"/>
      <c r="E499" s="186"/>
      <c r="F499" s="187"/>
      <c r="G499" s="188"/>
      <c r="H499" s="93"/>
      <c r="I499" s="79"/>
      <c r="J499" s="79"/>
      <c r="K499" s="124"/>
      <c r="L499" s="85"/>
    </row>
    <row r="500" hidden="1">
      <c r="A500" s="68"/>
      <c r="B500" s="79"/>
      <c r="C500" s="79"/>
      <c r="D500" s="79"/>
      <c r="E500" s="186"/>
      <c r="F500" s="187"/>
      <c r="G500" s="188"/>
      <c r="H500" s="93"/>
      <c r="I500" s="79"/>
      <c r="J500" s="79"/>
      <c r="K500" s="124"/>
      <c r="L500" s="85"/>
    </row>
    <row r="501" hidden="1">
      <c r="A501" s="68"/>
      <c r="B501" s="79"/>
      <c r="C501" s="79"/>
      <c r="D501" s="79"/>
      <c r="E501" s="186"/>
      <c r="F501" s="187"/>
      <c r="G501" s="188"/>
      <c r="H501" s="93"/>
      <c r="I501" s="79"/>
      <c r="J501" s="79"/>
      <c r="K501" s="124"/>
      <c r="L501" s="85"/>
    </row>
    <row r="502" hidden="1">
      <c r="A502" s="68"/>
      <c r="B502" s="79"/>
      <c r="C502" s="79"/>
      <c r="D502" s="79"/>
      <c r="E502" s="186"/>
      <c r="F502" s="187"/>
      <c r="G502" s="188"/>
      <c r="H502" s="93"/>
      <c r="I502" s="79"/>
      <c r="J502" s="79"/>
      <c r="K502" s="124"/>
      <c r="L502" s="85"/>
    </row>
    <row r="503" hidden="1">
      <c r="A503" s="68"/>
      <c r="B503" s="79"/>
      <c r="C503" s="79"/>
      <c r="D503" s="79"/>
      <c r="E503" s="186"/>
      <c r="F503" s="187"/>
      <c r="G503" s="188"/>
      <c r="H503" s="93"/>
      <c r="I503" s="79"/>
      <c r="J503" s="79"/>
      <c r="K503" s="124"/>
      <c r="L503" s="85"/>
    </row>
    <row r="504" hidden="1">
      <c r="A504" s="68"/>
      <c r="B504" s="79"/>
      <c r="C504" s="79"/>
      <c r="D504" s="79"/>
      <c r="E504" s="186"/>
      <c r="F504" s="187"/>
      <c r="G504" s="188"/>
      <c r="H504" s="93"/>
      <c r="I504" s="79"/>
      <c r="J504" s="79"/>
      <c r="K504" s="124"/>
      <c r="L504" s="85"/>
    </row>
    <row r="505" hidden="1">
      <c r="A505" s="68"/>
      <c r="B505" s="79"/>
      <c r="C505" s="79"/>
      <c r="D505" s="79"/>
      <c r="E505" s="186"/>
      <c r="F505" s="187"/>
      <c r="G505" s="188"/>
      <c r="H505" s="93"/>
      <c r="I505" s="79"/>
      <c r="J505" s="79"/>
      <c r="K505" s="124"/>
      <c r="L505" s="85"/>
    </row>
    <row r="506" hidden="1">
      <c r="A506" s="68"/>
      <c r="B506" s="79"/>
      <c r="C506" s="79"/>
      <c r="D506" s="79"/>
      <c r="E506" s="186"/>
      <c r="F506" s="187"/>
      <c r="G506" s="188"/>
      <c r="H506" s="93"/>
      <c r="I506" s="79"/>
      <c r="J506" s="79"/>
      <c r="K506" s="124"/>
      <c r="L506" s="85"/>
    </row>
    <row r="507" hidden="1">
      <c r="A507" s="68"/>
      <c r="B507" s="79"/>
      <c r="C507" s="79"/>
      <c r="D507" s="79"/>
      <c r="E507" s="186"/>
      <c r="F507" s="187"/>
      <c r="G507" s="188"/>
      <c r="H507" s="93"/>
      <c r="I507" s="79"/>
      <c r="J507" s="79"/>
      <c r="K507" s="124"/>
      <c r="L507" s="85"/>
    </row>
    <row r="508" hidden="1">
      <c r="A508" s="68"/>
      <c r="B508" s="79"/>
      <c r="C508" s="79"/>
      <c r="D508" s="79"/>
      <c r="E508" s="186"/>
      <c r="F508" s="187"/>
      <c r="G508" s="188"/>
      <c r="H508" s="93"/>
      <c r="I508" s="79"/>
      <c r="J508" s="79"/>
      <c r="K508" s="124"/>
      <c r="L508" s="85"/>
    </row>
    <row r="509" hidden="1">
      <c r="A509" s="68"/>
      <c r="B509" s="79"/>
      <c r="C509" s="79"/>
      <c r="D509" s="79"/>
      <c r="E509" s="186"/>
      <c r="F509" s="187"/>
      <c r="G509" s="188"/>
      <c r="H509" s="93"/>
      <c r="I509" s="79"/>
      <c r="J509" s="79"/>
      <c r="K509" s="124"/>
      <c r="L509" s="85"/>
    </row>
    <row r="510" hidden="1">
      <c r="A510" s="68"/>
      <c r="B510" s="79"/>
      <c r="C510" s="79"/>
      <c r="D510" s="79"/>
      <c r="E510" s="186"/>
      <c r="F510" s="187"/>
      <c r="G510" s="188"/>
      <c r="H510" s="93"/>
      <c r="I510" s="79"/>
      <c r="J510" s="79"/>
      <c r="K510" s="124"/>
      <c r="L510" s="85"/>
    </row>
    <row r="511" hidden="1">
      <c r="A511" s="68"/>
      <c r="B511" s="79"/>
      <c r="C511" s="79"/>
      <c r="D511" s="79"/>
      <c r="E511" s="186"/>
      <c r="F511" s="187"/>
      <c r="G511" s="188"/>
      <c r="H511" s="93"/>
      <c r="I511" s="79"/>
      <c r="J511" s="79"/>
      <c r="K511" s="124"/>
      <c r="L511" s="85"/>
    </row>
    <row r="512" hidden="1">
      <c r="A512" s="68"/>
      <c r="B512" s="79"/>
      <c r="C512" s="79"/>
      <c r="D512" s="79"/>
      <c r="E512" s="186"/>
      <c r="F512" s="187"/>
      <c r="G512" s="188"/>
      <c r="H512" s="93"/>
      <c r="I512" s="79"/>
      <c r="J512" s="79"/>
      <c r="K512" s="124"/>
      <c r="L512" s="85"/>
    </row>
    <row r="513" hidden="1">
      <c r="A513" s="68"/>
      <c r="B513" s="79"/>
      <c r="C513" s="79"/>
      <c r="D513" s="79"/>
      <c r="E513" s="186"/>
      <c r="F513" s="187"/>
      <c r="G513" s="188"/>
      <c r="H513" s="93"/>
      <c r="I513" s="79"/>
      <c r="J513" s="79"/>
      <c r="K513" s="124"/>
      <c r="L513" s="85"/>
    </row>
    <row r="514" hidden="1">
      <c r="A514" s="68"/>
      <c r="B514" s="79"/>
      <c r="C514" s="79"/>
      <c r="D514" s="79"/>
      <c r="E514" s="186"/>
      <c r="F514" s="187"/>
      <c r="G514" s="188"/>
      <c r="H514" s="93"/>
      <c r="I514" s="79"/>
      <c r="J514" s="79"/>
      <c r="K514" s="124"/>
      <c r="L514" s="85"/>
    </row>
    <row r="515" hidden="1">
      <c r="A515" s="68"/>
      <c r="B515" s="79"/>
      <c r="C515" s="79"/>
      <c r="D515" s="79"/>
      <c r="E515" s="186"/>
      <c r="F515" s="187"/>
      <c r="G515" s="188"/>
      <c r="H515" s="93"/>
      <c r="I515" s="79"/>
      <c r="J515" s="79"/>
      <c r="K515" s="124"/>
      <c r="L515" s="85"/>
    </row>
    <row r="516" hidden="1">
      <c r="A516" s="68"/>
      <c r="B516" s="79"/>
      <c r="C516" s="79"/>
      <c r="D516" s="79"/>
      <c r="E516" s="186"/>
      <c r="F516" s="187"/>
      <c r="G516" s="188"/>
      <c r="H516" s="93"/>
      <c r="I516" s="79"/>
      <c r="J516" s="79"/>
      <c r="K516" s="124"/>
      <c r="L516" s="85"/>
    </row>
    <row r="517" hidden="1">
      <c r="A517" s="68"/>
      <c r="B517" s="79"/>
      <c r="C517" s="79"/>
      <c r="D517" s="79"/>
      <c r="E517" s="186"/>
      <c r="F517" s="187"/>
      <c r="G517" s="188"/>
      <c r="H517" s="93"/>
      <c r="I517" s="79"/>
      <c r="J517" s="79"/>
      <c r="K517" s="124"/>
      <c r="L517" s="85"/>
    </row>
    <row r="518" hidden="1">
      <c r="A518" s="68"/>
      <c r="B518" s="79"/>
      <c r="C518" s="79"/>
      <c r="D518" s="79"/>
      <c r="E518" s="186"/>
      <c r="F518" s="187"/>
      <c r="G518" s="188"/>
      <c r="H518" s="93"/>
      <c r="I518" s="79"/>
      <c r="J518" s="79"/>
      <c r="K518" s="124"/>
      <c r="L518" s="85"/>
    </row>
    <row r="519" hidden="1">
      <c r="A519" s="68"/>
      <c r="B519" s="79"/>
      <c r="C519" s="79"/>
      <c r="D519" s="79"/>
      <c r="E519" s="186"/>
      <c r="F519" s="187"/>
      <c r="G519" s="188"/>
      <c r="H519" s="93"/>
      <c r="I519" s="79"/>
      <c r="J519" s="79"/>
      <c r="K519" s="124"/>
      <c r="L519" s="85"/>
    </row>
    <row r="520" hidden="1">
      <c r="A520" s="68"/>
      <c r="B520" s="79"/>
      <c r="C520" s="79"/>
      <c r="D520" s="79"/>
      <c r="E520" s="186"/>
      <c r="F520" s="187"/>
      <c r="G520" s="188"/>
      <c r="H520" s="93"/>
      <c r="I520" s="79"/>
      <c r="J520" s="79"/>
      <c r="K520" s="124"/>
      <c r="L520" s="85"/>
    </row>
    <row r="521" hidden="1">
      <c r="A521" s="68"/>
      <c r="B521" s="79"/>
      <c r="C521" s="79"/>
      <c r="D521" s="79"/>
      <c r="E521" s="186"/>
      <c r="F521" s="187"/>
      <c r="G521" s="188"/>
      <c r="H521" s="93"/>
      <c r="I521" s="79"/>
      <c r="J521" s="79"/>
      <c r="K521" s="124"/>
      <c r="L521" s="85"/>
    </row>
    <row r="522" hidden="1">
      <c r="A522" s="68"/>
      <c r="B522" s="79"/>
      <c r="C522" s="79"/>
      <c r="D522" s="79"/>
      <c r="E522" s="186"/>
      <c r="F522" s="187"/>
      <c r="G522" s="188"/>
      <c r="H522" s="93"/>
      <c r="I522" s="79"/>
      <c r="J522" s="79"/>
      <c r="K522" s="124"/>
      <c r="L522" s="85"/>
    </row>
    <row r="523" hidden="1">
      <c r="A523" s="68"/>
      <c r="B523" s="79"/>
      <c r="C523" s="79"/>
      <c r="D523" s="79"/>
      <c r="E523" s="186"/>
      <c r="F523" s="187"/>
      <c r="G523" s="188"/>
      <c r="H523" s="93"/>
      <c r="I523" s="79"/>
      <c r="J523" s="79"/>
      <c r="K523" s="124"/>
      <c r="L523" s="85"/>
    </row>
    <row r="524" hidden="1">
      <c r="A524" s="68"/>
      <c r="B524" s="79"/>
      <c r="C524" s="79"/>
      <c r="D524" s="79"/>
      <c r="E524" s="186"/>
      <c r="F524" s="187"/>
      <c r="G524" s="188"/>
      <c r="H524" s="93"/>
      <c r="I524" s="79"/>
      <c r="J524" s="79"/>
      <c r="K524" s="124"/>
      <c r="L524" s="85"/>
    </row>
    <row r="525" hidden="1">
      <c r="A525" s="68"/>
      <c r="B525" s="79"/>
      <c r="C525" s="79"/>
      <c r="D525" s="79"/>
      <c r="E525" s="186"/>
      <c r="F525" s="187"/>
      <c r="G525" s="188"/>
      <c r="H525" s="93"/>
      <c r="I525" s="79"/>
      <c r="J525" s="79"/>
      <c r="K525" s="124"/>
      <c r="L525" s="85"/>
    </row>
    <row r="526" hidden="1">
      <c r="A526" s="68"/>
      <c r="B526" s="79"/>
      <c r="C526" s="79"/>
      <c r="D526" s="79"/>
      <c r="E526" s="186"/>
      <c r="F526" s="187"/>
      <c r="G526" s="188"/>
      <c r="H526" s="93"/>
      <c r="I526" s="79"/>
      <c r="J526" s="79"/>
      <c r="K526" s="124"/>
      <c r="L526" s="85"/>
    </row>
    <row r="527" hidden="1">
      <c r="A527" s="68"/>
      <c r="B527" s="79"/>
      <c r="C527" s="79"/>
      <c r="D527" s="79"/>
      <c r="E527" s="186"/>
      <c r="F527" s="187"/>
      <c r="G527" s="188"/>
      <c r="H527" s="93"/>
      <c r="I527" s="79"/>
      <c r="J527" s="79"/>
      <c r="K527" s="124"/>
      <c r="L527" s="85"/>
    </row>
    <row r="528" hidden="1">
      <c r="A528" s="68"/>
      <c r="B528" s="79"/>
      <c r="C528" s="79"/>
      <c r="D528" s="79"/>
      <c r="E528" s="186"/>
      <c r="F528" s="187"/>
      <c r="G528" s="188"/>
      <c r="H528" s="93"/>
      <c r="I528" s="79"/>
      <c r="J528" s="79"/>
      <c r="K528" s="124"/>
      <c r="L528" s="85"/>
    </row>
    <row r="529" hidden="1">
      <c r="A529" s="68"/>
      <c r="B529" s="79"/>
      <c r="C529" s="79"/>
      <c r="D529" s="79"/>
      <c r="E529" s="186"/>
      <c r="F529" s="187"/>
      <c r="G529" s="188"/>
      <c r="H529" s="93"/>
      <c r="I529" s="79"/>
      <c r="J529" s="79"/>
      <c r="K529" s="124"/>
      <c r="L529" s="85"/>
    </row>
    <row r="530" hidden="1">
      <c r="A530" s="68"/>
      <c r="B530" s="79"/>
      <c r="C530" s="79"/>
      <c r="D530" s="79"/>
      <c r="E530" s="186"/>
      <c r="F530" s="187"/>
      <c r="G530" s="188"/>
      <c r="H530" s="93"/>
      <c r="I530" s="79"/>
      <c r="J530" s="79"/>
      <c r="K530" s="124"/>
      <c r="L530" s="85"/>
    </row>
    <row r="531" hidden="1">
      <c r="A531" s="68"/>
      <c r="B531" s="79"/>
      <c r="C531" s="79"/>
      <c r="D531" s="79"/>
      <c r="E531" s="186"/>
      <c r="F531" s="187"/>
      <c r="G531" s="188"/>
      <c r="H531" s="93"/>
      <c r="I531" s="79"/>
      <c r="J531" s="79"/>
      <c r="K531" s="124"/>
      <c r="L531" s="85"/>
    </row>
    <row r="532" hidden="1">
      <c r="A532" s="68"/>
      <c r="B532" s="79"/>
      <c r="C532" s="79"/>
      <c r="D532" s="79"/>
      <c r="E532" s="186"/>
      <c r="F532" s="187"/>
      <c r="G532" s="188"/>
      <c r="H532" s="93"/>
      <c r="I532" s="79"/>
      <c r="J532" s="79"/>
      <c r="K532" s="124"/>
      <c r="L532" s="85"/>
    </row>
    <row r="533" hidden="1">
      <c r="A533" s="68"/>
      <c r="B533" s="79"/>
      <c r="C533" s="79"/>
      <c r="D533" s="79"/>
      <c r="E533" s="186"/>
      <c r="F533" s="187"/>
      <c r="G533" s="188"/>
      <c r="H533" s="93"/>
      <c r="I533" s="79"/>
      <c r="J533" s="79"/>
      <c r="K533" s="124"/>
      <c r="L533" s="85"/>
    </row>
    <row r="534" hidden="1">
      <c r="A534" s="68"/>
      <c r="B534" s="79"/>
      <c r="C534" s="79"/>
      <c r="D534" s="79"/>
      <c r="E534" s="186"/>
      <c r="F534" s="187"/>
      <c r="G534" s="188"/>
      <c r="H534" s="93"/>
      <c r="I534" s="79"/>
      <c r="J534" s="79"/>
      <c r="K534" s="124"/>
      <c r="L534" s="85"/>
    </row>
    <row r="535" hidden="1">
      <c r="A535" s="68"/>
      <c r="B535" s="79"/>
      <c r="C535" s="79"/>
      <c r="D535" s="79"/>
      <c r="E535" s="186"/>
      <c r="F535" s="187"/>
      <c r="G535" s="188"/>
      <c r="H535" s="93"/>
      <c r="I535" s="79"/>
      <c r="J535" s="79"/>
      <c r="K535" s="124"/>
      <c r="L535" s="85"/>
    </row>
    <row r="536" hidden="1">
      <c r="A536" s="68"/>
      <c r="B536" s="79"/>
      <c r="C536" s="79"/>
      <c r="D536" s="79"/>
      <c r="E536" s="186"/>
      <c r="F536" s="187"/>
      <c r="G536" s="188"/>
      <c r="H536" s="93"/>
      <c r="I536" s="79"/>
      <c r="J536" s="79"/>
      <c r="K536" s="124"/>
      <c r="L536" s="85"/>
    </row>
    <row r="537" hidden="1">
      <c r="A537" s="68"/>
      <c r="B537" s="79"/>
      <c r="C537" s="79"/>
      <c r="D537" s="79"/>
      <c r="E537" s="186"/>
      <c r="F537" s="187"/>
      <c r="G537" s="188"/>
      <c r="H537" s="93"/>
      <c r="I537" s="79"/>
      <c r="J537" s="79"/>
      <c r="K537" s="124"/>
      <c r="L537" s="85"/>
    </row>
    <row r="538" hidden="1">
      <c r="A538" s="68"/>
      <c r="B538" s="79"/>
      <c r="C538" s="79"/>
      <c r="D538" s="79"/>
      <c r="E538" s="186"/>
      <c r="F538" s="187"/>
      <c r="G538" s="188"/>
      <c r="H538" s="93"/>
      <c r="I538" s="79"/>
      <c r="J538" s="79"/>
      <c r="K538" s="124"/>
      <c r="L538" s="85"/>
    </row>
    <row r="539" hidden="1">
      <c r="A539" s="68"/>
      <c r="B539" s="79"/>
      <c r="C539" s="79"/>
      <c r="D539" s="79"/>
      <c r="E539" s="186"/>
      <c r="F539" s="187"/>
      <c r="G539" s="188"/>
      <c r="H539" s="93"/>
      <c r="I539" s="79"/>
      <c r="J539" s="79"/>
      <c r="K539" s="124"/>
      <c r="L539" s="85"/>
    </row>
    <row r="540" hidden="1">
      <c r="A540" s="68"/>
      <c r="B540" s="79"/>
      <c r="C540" s="79"/>
      <c r="D540" s="79"/>
      <c r="E540" s="186"/>
      <c r="F540" s="187"/>
      <c r="G540" s="188"/>
      <c r="H540" s="93"/>
      <c r="I540" s="79"/>
      <c r="J540" s="79"/>
      <c r="K540" s="124"/>
      <c r="L540" s="85"/>
    </row>
    <row r="541" hidden="1">
      <c r="A541" s="68"/>
      <c r="B541" s="79"/>
      <c r="C541" s="79"/>
      <c r="D541" s="79"/>
      <c r="E541" s="186"/>
      <c r="F541" s="187"/>
      <c r="G541" s="188"/>
      <c r="H541" s="93"/>
      <c r="I541" s="79"/>
      <c r="J541" s="79"/>
      <c r="K541" s="124"/>
      <c r="L541" s="85"/>
    </row>
    <row r="542" hidden="1">
      <c r="A542" s="68"/>
      <c r="B542" s="79"/>
      <c r="C542" s="79"/>
      <c r="D542" s="79"/>
      <c r="E542" s="186"/>
      <c r="F542" s="187"/>
      <c r="G542" s="188"/>
      <c r="H542" s="93"/>
      <c r="I542" s="79"/>
      <c r="J542" s="79"/>
      <c r="K542" s="124"/>
      <c r="L542" s="85"/>
    </row>
    <row r="543" hidden="1">
      <c r="A543" s="68"/>
      <c r="B543" s="79"/>
      <c r="C543" s="79"/>
      <c r="D543" s="79"/>
      <c r="E543" s="186"/>
      <c r="F543" s="187"/>
      <c r="G543" s="188"/>
      <c r="H543" s="93"/>
      <c r="I543" s="79"/>
      <c r="J543" s="79"/>
      <c r="K543" s="124"/>
      <c r="L543" s="85"/>
    </row>
    <row r="544" hidden="1">
      <c r="A544" s="68"/>
      <c r="B544" s="79"/>
      <c r="C544" s="79"/>
      <c r="D544" s="79"/>
      <c r="E544" s="186"/>
      <c r="F544" s="187"/>
      <c r="G544" s="188"/>
      <c r="H544" s="93"/>
      <c r="I544" s="79"/>
      <c r="J544" s="79"/>
      <c r="K544" s="124"/>
      <c r="L544" s="85"/>
    </row>
    <row r="545" hidden="1">
      <c r="A545" s="68"/>
      <c r="B545" s="79"/>
      <c r="C545" s="79"/>
      <c r="D545" s="79"/>
      <c r="E545" s="186"/>
      <c r="F545" s="187"/>
      <c r="G545" s="188"/>
      <c r="H545" s="93"/>
      <c r="I545" s="79"/>
      <c r="J545" s="79"/>
      <c r="K545" s="124"/>
      <c r="L545" s="85"/>
    </row>
    <row r="546" hidden="1">
      <c r="A546" s="68"/>
      <c r="B546" s="79"/>
      <c r="C546" s="79"/>
      <c r="D546" s="79"/>
      <c r="E546" s="186"/>
      <c r="F546" s="187"/>
      <c r="G546" s="188"/>
      <c r="H546" s="93"/>
      <c r="I546" s="79"/>
      <c r="J546" s="79"/>
      <c r="K546" s="124"/>
      <c r="L546" s="85"/>
    </row>
    <row r="547" hidden="1">
      <c r="A547" s="68"/>
      <c r="B547" s="79"/>
      <c r="C547" s="79"/>
      <c r="D547" s="79"/>
      <c r="E547" s="186"/>
      <c r="F547" s="187"/>
      <c r="G547" s="188"/>
      <c r="H547" s="93"/>
      <c r="I547" s="79"/>
      <c r="J547" s="79"/>
      <c r="K547" s="124"/>
      <c r="L547" s="85"/>
    </row>
    <row r="548" hidden="1">
      <c r="A548" s="68"/>
      <c r="B548" s="79"/>
      <c r="C548" s="79"/>
      <c r="D548" s="79"/>
      <c r="E548" s="186"/>
      <c r="F548" s="187"/>
      <c r="G548" s="188"/>
      <c r="H548" s="93"/>
      <c r="I548" s="79"/>
      <c r="J548" s="79"/>
      <c r="K548" s="124"/>
      <c r="L548" s="85"/>
    </row>
    <row r="549" hidden="1">
      <c r="A549" s="68"/>
      <c r="B549" s="79"/>
      <c r="C549" s="79"/>
      <c r="D549" s="79"/>
      <c r="E549" s="186"/>
      <c r="F549" s="187"/>
      <c r="G549" s="188"/>
      <c r="H549" s="93"/>
      <c r="I549" s="79"/>
      <c r="J549" s="79"/>
      <c r="K549" s="124"/>
      <c r="L549" s="85"/>
    </row>
    <row r="550" hidden="1">
      <c r="A550" s="68"/>
      <c r="B550" s="79"/>
      <c r="C550" s="79"/>
      <c r="D550" s="79"/>
      <c r="E550" s="186"/>
      <c r="F550" s="187"/>
      <c r="G550" s="188"/>
      <c r="H550" s="93"/>
      <c r="I550" s="79"/>
      <c r="J550" s="79"/>
      <c r="K550" s="124"/>
      <c r="L550" s="85"/>
    </row>
    <row r="551" hidden="1">
      <c r="A551" s="68"/>
      <c r="B551" s="79"/>
      <c r="C551" s="79"/>
      <c r="D551" s="79"/>
      <c r="E551" s="186"/>
      <c r="F551" s="187"/>
      <c r="G551" s="188"/>
      <c r="H551" s="93"/>
      <c r="I551" s="79"/>
      <c r="J551" s="79"/>
      <c r="K551" s="124"/>
      <c r="L551" s="85"/>
    </row>
    <row r="552" hidden="1">
      <c r="A552" s="68"/>
      <c r="B552" s="79"/>
      <c r="C552" s="79"/>
      <c r="D552" s="79"/>
      <c r="E552" s="186"/>
      <c r="F552" s="187"/>
      <c r="G552" s="188"/>
      <c r="H552" s="93"/>
      <c r="I552" s="79"/>
      <c r="J552" s="79"/>
      <c r="K552" s="124"/>
      <c r="L552" s="85"/>
    </row>
    <row r="553" hidden="1">
      <c r="A553" s="68"/>
      <c r="B553" s="79"/>
      <c r="C553" s="79"/>
      <c r="D553" s="79"/>
      <c r="E553" s="186"/>
      <c r="F553" s="187"/>
      <c r="G553" s="188"/>
      <c r="H553" s="93"/>
      <c r="I553" s="79"/>
      <c r="J553" s="79"/>
      <c r="K553" s="124"/>
      <c r="L553" s="85"/>
    </row>
    <row r="554" hidden="1">
      <c r="A554" s="68"/>
      <c r="B554" s="79"/>
      <c r="C554" s="79"/>
      <c r="D554" s="79"/>
      <c r="E554" s="186"/>
      <c r="F554" s="187"/>
      <c r="G554" s="188"/>
      <c r="H554" s="93"/>
      <c r="I554" s="79"/>
      <c r="J554" s="79"/>
      <c r="K554" s="124"/>
      <c r="L554" s="85"/>
    </row>
    <row r="555" hidden="1">
      <c r="A555" s="68"/>
      <c r="B555" s="79"/>
      <c r="C555" s="79"/>
      <c r="D555" s="79"/>
      <c r="E555" s="186"/>
      <c r="F555" s="187"/>
      <c r="G555" s="188"/>
      <c r="H555" s="93"/>
      <c r="I555" s="79"/>
      <c r="J555" s="79"/>
      <c r="K555" s="124"/>
      <c r="L555" s="85"/>
    </row>
    <row r="556" hidden="1">
      <c r="A556" s="68"/>
      <c r="B556" s="79"/>
      <c r="C556" s="79"/>
      <c r="D556" s="79"/>
      <c r="E556" s="186"/>
      <c r="F556" s="187"/>
      <c r="G556" s="188"/>
      <c r="H556" s="93"/>
      <c r="I556" s="79"/>
      <c r="J556" s="79"/>
      <c r="K556" s="124"/>
      <c r="L556" s="85"/>
    </row>
    <row r="557" hidden="1">
      <c r="A557" s="68"/>
      <c r="B557" s="79"/>
      <c r="C557" s="79"/>
      <c r="D557" s="79"/>
      <c r="E557" s="186"/>
      <c r="F557" s="187"/>
      <c r="G557" s="188"/>
      <c r="H557" s="93"/>
      <c r="I557" s="79"/>
      <c r="J557" s="79"/>
      <c r="K557" s="124"/>
      <c r="L557" s="85"/>
    </row>
    <row r="558" hidden="1">
      <c r="A558" s="68"/>
      <c r="B558" s="79"/>
      <c r="C558" s="79"/>
      <c r="D558" s="79"/>
      <c r="E558" s="186"/>
      <c r="F558" s="187"/>
      <c r="G558" s="188"/>
      <c r="H558" s="93"/>
      <c r="I558" s="79"/>
      <c r="J558" s="79"/>
      <c r="K558" s="124"/>
      <c r="L558" s="85"/>
    </row>
    <row r="559" hidden="1">
      <c r="A559" s="68"/>
      <c r="B559" s="79"/>
      <c r="C559" s="79"/>
      <c r="D559" s="79"/>
      <c r="E559" s="186"/>
      <c r="F559" s="187"/>
      <c r="G559" s="188"/>
      <c r="H559" s="93"/>
      <c r="I559" s="79"/>
      <c r="J559" s="79"/>
      <c r="K559" s="124"/>
      <c r="L559" s="85"/>
    </row>
    <row r="560" hidden="1">
      <c r="A560" s="68"/>
      <c r="B560" s="79"/>
      <c r="C560" s="79"/>
      <c r="D560" s="79"/>
      <c r="E560" s="186"/>
      <c r="F560" s="187"/>
      <c r="G560" s="188"/>
      <c r="H560" s="93"/>
      <c r="I560" s="79"/>
      <c r="J560" s="79"/>
      <c r="K560" s="124"/>
      <c r="L560" s="85"/>
    </row>
    <row r="561" hidden="1">
      <c r="A561" s="68"/>
      <c r="B561" s="79"/>
      <c r="C561" s="79"/>
      <c r="D561" s="79"/>
      <c r="E561" s="186"/>
      <c r="F561" s="187"/>
      <c r="G561" s="188"/>
      <c r="H561" s="93"/>
      <c r="I561" s="79"/>
      <c r="J561" s="79"/>
      <c r="K561" s="124"/>
      <c r="L561" s="85"/>
    </row>
    <row r="562" hidden="1">
      <c r="A562" s="68"/>
      <c r="B562" s="79"/>
      <c r="C562" s="79"/>
      <c r="D562" s="79"/>
      <c r="E562" s="186"/>
      <c r="F562" s="187"/>
      <c r="G562" s="188"/>
      <c r="H562" s="93"/>
      <c r="I562" s="79"/>
      <c r="J562" s="79"/>
      <c r="K562" s="124"/>
      <c r="L562" s="85"/>
    </row>
    <row r="563" hidden="1">
      <c r="A563" s="68"/>
      <c r="B563" s="79"/>
      <c r="C563" s="79"/>
      <c r="D563" s="79"/>
      <c r="E563" s="186"/>
      <c r="F563" s="187"/>
      <c r="G563" s="188"/>
      <c r="H563" s="93"/>
      <c r="I563" s="79"/>
      <c r="J563" s="79"/>
      <c r="K563" s="124"/>
      <c r="L563" s="85"/>
    </row>
    <row r="564" hidden="1">
      <c r="A564" s="68"/>
      <c r="B564" s="79"/>
      <c r="C564" s="79"/>
      <c r="D564" s="79"/>
      <c r="E564" s="186"/>
      <c r="F564" s="187"/>
      <c r="G564" s="188"/>
      <c r="H564" s="93"/>
      <c r="I564" s="79"/>
      <c r="J564" s="79"/>
      <c r="K564" s="124"/>
      <c r="L564" s="85"/>
    </row>
    <row r="565" hidden="1">
      <c r="A565" s="68"/>
      <c r="B565" s="79"/>
      <c r="C565" s="79"/>
      <c r="D565" s="79"/>
      <c r="E565" s="186"/>
      <c r="F565" s="187"/>
      <c r="G565" s="188"/>
      <c r="H565" s="93"/>
      <c r="I565" s="79"/>
      <c r="J565" s="79"/>
      <c r="K565" s="124"/>
      <c r="L565" s="85"/>
    </row>
    <row r="566" hidden="1">
      <c r="A566" s="68"/>
      <c r="B566" s="79"/>
      <c r="C566" s="79"/>
      <c r="D566" s="79"/>
      <c r="E566" s="186"/>
      <c r="F566" s="187"/>
      <c r="G566" s="188"/>
      <c r="H566" s="93"/>
      <c r="I566" s="79"/>
      <c r="J566" s="79"/>
      <c r="K566" s="124"/>
      <c r="L566" s="85"/>
    </row>
    <row r="567" hidden="1">
      <c r="A567" s="68"/>
      <c r="B567" s="79"/>
      <c r="C567" s="79"/>
      <c r="D567" s="79"/>
      <c r="E567" s="186"/>
      <c r="F567" s="187"/>
      <c r="G567" s="188"/>
      <c r="H567" s="93"/>
      <c r="I567" s="79"/>
      <c r="J567" s="79"/>
      <c r="K567" s="124"/>
      <c r="L567" s="85"/>
    </row>
    <row r="568" hidden="1">
      <c r="A568" s="68"/>
      <c r="B568" s="79"/>
      <c r="C568" s="79"/>
      <c r="D568" s="79"/>
      <c r="E568" s="186"/>
      <c r="F568" s="187"/>
      <c r="G568" s="188"/>
      <c r="H568" s="93"/>
      <c r="I568" s="79"/>
      <c r="J568" s="79"/>
      <c r="K568" s="124"/>
      <c r="L568" s="85"/>
    </row>
    <row r="569" hidden="1">
      <c r="A569" s="68"/>
      <c r="B569" s="79"/>
      <c r="C569" s="79"/>
      <c r="D569" s="79"/>
      <c r="E569" s="186"/>
      <c r="F569" s="187"/>
      <c r="G569" s="188"/>
      <c r="H569" s="93"/>
      <c r="I569" s="79"/>
      <c r="J569" s="79"/>
      <c r="K569" s="124"/>
      <c r="L569" s="85"/>
    </row>
    <row r="570" hidden="1">
      <c r="A570" s="68"/>
      <c r="B570" s="79"/>
      <c r="C570" s="79"/>
      <c r="D570" s="79"/>
      <c r="E570" s="186"/>
      <c r="F570" s="187"/>
      <c r="G570" s="188"/>
      <c r="H570" s="93"/>
      <c r="I570" s="79"/>
      <c r="J570" s="79"/>
      <c r="K570" s="124"/>
      <c r="L570" s="85"/>
    </row>
    <row r="571" hidden="1">
      <c r="A571" s="68"/>
      <c r="B571" s="79"/>
      <c r="C571" s="79"/>
      <c r="D571" s="79"/>
      <c r="E571" s="186"/>
      <c r="F571" s="187"/>
      <c r="G571" s="188"/>
      <c r="H571" s="93"/>
      <c r="I571" s="79"/>
      <c r="J571" s="79"/>
      <c r="K571" s="124"/>
      <c r="L571" s="85"/>
    </row>
    <row r="572" hidden="1">
      <c r="A572" s="68"/>
      <c r="B572" s="79"/>
      <c r="C572" s="79"/>
      <c r="D572" s="79"/>
      <c r="E572" s="186"/>
      <c r="F572" s="187"/>
      <c r="G572" s="188"/>
      <c r="H572" s="93"/>
      <c r="I572" s="79"/>
      <c r="J572" s="79"/>
      <c r="K572" s="124"/>
      <c r="L572" s="85"/>
    </row>
    <row r="573" hidden="1">
      <c r="A573" s="68"/>
      <c r="B573" s="79"/>
      <c r="C573" s="79"/>
      <c r="D573" s="79"/>
      <c r="E573" s="186"/>
      <c r="F573" s="187"/>
      <c r="G573" s="188"/>
      <c r="H573" s="93"/>
      <c r="I573" s="79"/>
      <c r="J573" s="79"/>
      <c r="K573" s="124"/>
      <c r="L573" s="85"/>
    </row>
    <row r="574" hidden="1">
      <c r="A574" s="68"/>
      <c r="B574" s="79"/>
      <c r="C574" s="79"/>
      <c r="D574" s="79"/>
      <c r="E574" s="186"/>
      <c r="F574" s="187"/>
      <c r="G574" s="188"/>
      <c r="H574" s="93"/>
      <c r="I574" s="79"/>
      <c r="J574" s="79"/>
      <c r="K574" s="124"/>
      <c r="L574" s="85"/>
    </row>
    <row r="575" hidden="1">
      <c r="A575" s="68"/>
      <c r="B575" s="79"/>
      <c r="C575" s="79"/>
      <c r="D575" s="79"/>
      <c r="E575" s="186"/>
      <c r="F575" s="187"/>
      <c r="G575" s="188"/>
      <c r="H575" s="93"/>
      <c r="I575" s="79"/>
      <c r="J575" s="79"/>
      <c r="K575" s="124"/>
      <c r="L575" s="85"/>
    </row>
    <row r="576" hidden="1">
      <c r="A576" s="68"/>
      <c r="B576" s="79"/>
      <c r="C576" s="79"/>
      <c r="D576" s="79"/>
      <c r="E576" s="186"/>
      <c r="F576" s="187"/>
      <c r="G576" s="188"/>
      <c r="H576" s="93"/>
      <c r="I576" s="79"/>
      <c r="J576" s="79"/>
      <c r="K576" s="124"/>
      <c r="L576" s="85"/>
    </row>
    <row r="577" hidden="1">
      <c r="A577" s="68"/>
      <c r="B577" s="79"/>
      <c r="C577" s="79"/>
      <c r="D577" s="79"/>
      <c r="E577" s="186"/>
      <c r="F577" s="187"/>
      <c r="G577" s="188"/>
      <c r="H577" s="93"/>
      <c r="I577" s="79"/>
      <c r="J577" s="79"/>
      <c r="K577" s="124"/>
      <c r="L577" s="85"/>
    </row>
    <row r="578" hidden="1">
      <c r="A578" s="68"/>
      <c r="B578" s="79"/>
      <c r="C578" s="79"/>
      <c r="D578" s="79"/>
      <c r="E578" s="186"/>
      <c r="F578" s="187"/>
      <c r="G578" s="188"/>
      <c r="H578" s="93"/>
      <c r="I578" s="79"/>
      <c r="J578" s="79"/>
      <c r="K578" s="124"/>
      <c r="L578" s="85"/>
    </row>
    <row r="579" hidden="1">
      <c r="A579" s="68"/>
      <c r="B579" s="79"/>
      <c r="C579" s="79"/>
      <c r="D579" s="79"/>
      <c r="E579" s="186"/>
      <c r="F579" s="187"/>
      <c r="G579" s="188"/>
      <c r="H579" s="93"/>
      <c r="I579" s="79"/>
      <c r="J579" s="79"/>
      <c r="K579" s="124"/>
      <c r="L579" s="85"/>
    </row>
  </sheetData>
  <autoFilter ref="$A$11:$L$579">
    <filterColumn colId="1">
      <filters>
        <filter val="Notify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9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3" max="3" width="6.38"/>
    <col customWidth="1" min="4" max="4" width="2.0"/>
    <col customWidth="1" min="5" max="5" width="18.88"/>
    <col customWidth="1" min="8" max="9" width="2.0"/>
    <col customWidth="1" min="10" max="10" width="6.38"/>
    <col customWidth="1" min="11" max="11" width="2.0"/>
    <col customWidth="1" min="13" max="13" width="2.63"/>
    <col customWidth="1" min="14" max="14" width="2.75"/>
  </cols>
  <sheetData>
    <row r="1" ht="11.25" customHeight="1">
      <c r="A1" s="71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>
      <c r="A2" s="73"/>
      <c r="B2" s="69" t="s">
        <v>377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>
      <c r="A3" s="73"/>
      <c r="B3" s="70" t="s">
        <v>57</v>
      </c>
      <c r="C3" s="73"/>
      <c r="D3" s="73"/>
      <c r="E3" s="73"/>
      <c r="F3" s="73"/>
      <c r="G3" s="73"/>
      <c r="N3" s="73"/>
    </row>
    <row r="4">
      <c r="A4" s="73"/>
      <c r="B4" s="71" t="s">
        <v>378</v>
      </c>
      <c r="C4" s="73"/>
      <c r="D4" s="73"/>
      <c r="E4" s="73"/>
      <c r="F4" s="73"/>
      <c r="G4" s="73"/>
      <c r="H4" s="73"/>
      <c r="I4" s="196"/>
      <c r="J4" s="124" t="s">
        <v>63</v>
      </c>
      <c r="K4" s="73"/>
      <c r="L4" s="73"/>
      <c r="M4" s="197" t="b">
        <v>1</v>
      </c>
      <c r="N4" s="73"/>
    </row>
    <row r="5">
      <c r="A5" s="73"/>
      <c r="B5" s="72" t="s">
        <v>379</v>
      </c>
      <c r="G5" s="73"/>
      <c r="H5" s="73"/>
      <c r="I5" s="196"/>
      <c r="J5" s="124" t="s">
        <v>64</v>
      </c>
      <c r="K5" s="73"/>
      <c r="L5" s="73"/>
      <c r="M5" s="197" t="b">
        <v>0</v>
      </c>
      <c r="N5" s="73"/>
    </row>
    <row r="6">
      <c r="A6" s="73"/>
      <c r="G6" s="73"/>
      <c r="H6" s="73"/>
      <c r="I6" s="196"/>
      <c r="J6" s="124" t="s">
        <v>65</v>
      </c>
      <c r="K6" s="73"/>
      <c r="L6" s="73"/>
      <c r="M6" s="197" t="b">
        <v>0</v>
      </c>
      <c r="N6" s="73"/>
    </row>
    <row r="7">
      <c r="A7" s="73"/>
      <c r="B7" s="73"/>
      <c r="C7" s="73"/>
      <c r="D7" s="73"/>
      <c r="E7" s="73"/>
      <c r="F7" s="73"/>
      <c r="G7" s="73"/>
      <c r="H7" s="73"/>
      <c r="I7" s="73"/>
      <c r="J7" s="124"/>
      <c r="K7" s="73"/>
      <c r="L7" s="73"/>
      <c r="M7" s="73"/>
      <c r="N7" s="73"/>
    </row>
    <row r="8">
      <c r="A8" s="73"/>
      <c r="B8" s="69" t="s">
        <v>60</v>
      </c>
      <c r="C8" s="73"/>
      <c r="D8" s="73"/>
      <c r="E8" s="73"/>
      <c r="F8" s="73"/>
      <c r="G8" s="73"/>
      <c r="H8" s="73"/>
      <c r="N8" s="73"/>
    </row>
    <row r="9">
      <c r="A9" s="73"/>
      <c r="B9" s="70" t="s">
        <v>380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</row>
    <row r="10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</row>
    <row r="11">
      <c r="A11" s="73"/>
      <c r="B11" s="198" t="s">
        <v>381</v>
      </c>
      <c r="C11" s="199"/>
      <c r="D11" s="200"/>
      <c r="E11" s="201" t="s">
        <v>382</v>
      </c>
      <c r="H11" s="73"/>
      <c r="I11" s="73"/>
      <c r="J11" s="73"/>
      <c r="K11" s="73"/>
      <c r="L11" s="73"/>
      <c r="M11" s="73"/>
      <c r="N11" s="73"/>
    </row>
    <row r="12">
      <c r="A12" s="73"/>
      <c r="B12" s="200"/>
      <c r="C12" s="200"/>
      <c r="D12" s="200"/>
      <c r="E12" s="200"/>
      <c r="F12" s="200"/>
      <c r="G12" s="200"/>
      <c r="H12" s="73"/>
      <c r="I12" s="196"/>
      <c r="J12" s="124" t="s">
        <v>383</v>
      </c>
      <c r="K12" s="85"/>
      <c r="L12" s="85"/>
      <c r="M12" s="202" t="s">
        <v>384</v>
      </c>
      <c r="N12" s="73"/>
    </row>
    <row r="13">
      <c r="A13" s="73"/>
      <c r="B13" s="203" t="s">
        <v>385</v>
      </c>
      <c r="C13" s="199"/>
      <c r="D13" s="200"/>
      <c r="E13" s="204" t="s">
        <v>386</v>
      </c>
      <c r="G13" s="205"/>
      <c r="H13" s="73"/>
      <c r="I13" s="196"/>
      <c r="J13" s="124" t="s">
        <v>387</v>
      </c>
      <c r="K13" s="85"/>
      <c r="L13" s="85"/>
      <c r="M13" s="202" t="s">
        <v>384</v>
      </c>
      <c r="N13" s="73"/>
    </row>
    <row r="14">
      <c r="A14" s="73"/>
      <c r="B14" s="200"/>
      <c r="C14" s="200"/>
      <c r="D14" s="200"/>
      <c r="E14" s="200"/>
      <c r="F14" s="200"/>
      <c r="G14" s="200"/>
      <c r="H14" s="73"/>
      <c r="I14" s="196"/>
      <c r="J14" s="124" t="s">
        <v>386</v>
      </c>
      <c r="K14" s="85"/>
      <c r="L14" s="85"/>
      <c r="M14" s="202" t="s">
        <v>384</v>
      </c>
      <c r="N14" s="73"/>
    </row>
    <row r="15">
      <c r="A15" s="73"/>
      <c r="B15" s="203" t="s">
        <v>388</v>
      </c>
      <c r="C15" s="199"/>
      <c r="D15" s="200"/>
      <c r="E15" s="206" t="s">
        <v>389</v>
      </c>
      <c r="H15" s="207"/>
      <c r="I15" s="207"/>
      <c r="J15" s="208"/>
      <c r="K15" s="208"/>
      <c r="L15" s="208"/>
      <c r="M15" s="208"/>
      <c r="N15" s="73"/>
    </row>
    <row r="16">
      <c r="A16" s="73"/>
      <c r="B16" s="200"/>
      <c r="C16" s="200"/>
      <c r="D16" s="200"/>
      <c r="E16" s="200"/>
      <c r="F16" s="200"/>
      <c r="G16" s="200"/>
      <c r="H16" s="73"/>
      <c r="I16" s="196"/>
      <c r="J16" s="124" t="s">
        <v>390</v>
      </c>
      <c r="K16" s="85"/>
      <c r="L16" s="85"/>
      <c r="M16" s="202" t="s">
        <v>384</v>
      </c>
      <c r="N16" s="73"/>
    </row>
    <row r="17">
      <c r="A17" s="73"/>
      <c r="B17" s="203" t="s">
        <v>391</v>
      </c>
      <c r="C17" s="199"/>
      <c r="D17" s="200"/>
      <c r="E17" s="209" t="s">
        <v>390</v>
      </c>
      <c r="G17" s="205"/>
      <c r="H17" s="73"/>
      <c r="I17" s="196"/>
      <c r="J17" s="124" t="s">
        <v>392</v>
      </c>
      <c r="K17" s="85"/>
      <c r="L17" s="85"/>
      <c r="M17" s="202" t="s">
        <v>384</v>
      </c>
      <c r="N17" s="73"/>
    </row>
    <row r="18">
      <c r="A18" s="73"/>
      <c r="B18" s="210"/>
      <c r="C18" s="205"/>
      <c r="D18" s="205"/>
      <c r="E18" s="205"/>
      <c r="F18" s="200"/>
      <c r="G18" s="200"/>
      <c r="H18" s="73"/>
      <c r="I18" s="196"/>
      <c r="J18" s="211" t="s">
        <v>393</v>
      </c>
      <c r="K18" s="212"/>
      <c r="L18" s="212"/>
      <c r="M18" s="213" t="s">
        <v>384</v>
      </c>
      <c r="N18" s="73"/>
    </row>
    <row r="19">
      <c r="A19" s="73"/>
      <c r="B19" s="203" t="s">
        <v>394</v>
      </c>
      <c r="C19" s="199"/>
      <c r="D19" s="200"/>
      <c r="E19" s="206" t="s">
        <v>395</v>
      </c>
      <c r="H19" s="73"/>
      <c r="I19" s="73"/>
      <c r="J19" s="214" t="s">
        <v>396</v>
      </c>
      <c r="N19" s="73"/>
    </row>
    <row r="20">
      <c r="A20" s="73"/>
      <c r="B20" s="200"/>
      <c r="C20" s="200"/>
      <c r="D20" s="200"/>
      <c r="E20" s="200"/>
      <c r="F20" s="200"/>
      <c r="G20" s="200"/>
      <c r="H20" s="73"/>
      <c r="I20" s="196"/>
      <c r="J20" s="124" t="s">
        <v>397</v>
      </c>
      <c r="K20" s="85"/>
      <c r="L20" s="85"/>
      <c r="M20" s="202" t="s">
        <v>384</v>
      </c>
      <c r="N20" s="73"/>
    </row>
    <row r="21">
      <c r="A21" s="73"/>
      <c r="B21" s="203" t="s">
        <v>398</v>
      </c>
      <c r="C21" s="199"/>
      <c r="D21" s="200"/>
      <c r="E21" s="209" t="s">
        <v>397</v>
      </c>
      <c r="G21" s="205"/>
      <c r="H21" s="73"/>
      <c r="I21" s="196"/>
      <c r="J21" s="124" t="s">
        <v>399</v>
      </c>
      <c r="K21" s="85"/>
      <c r="L21" s="85"/>
      <c r="M21" s="202" t="s">
        <v>384</v>
      </c>
      <c r="N21" s="73"/>
    </row>
    <row r="22">
      <c r="A22" s="73"/>
      <c r="B22" s="200"/>
      <c r="C22" s="200"/>
      <c r="D22" s="200"/>
      <c r="E22" s="200"/>
      <c r="F22" s="200"/>
      <c r="G22" s="200"/>
      <c r="H22" s="73"/>
      <c r="I22" s="196"/>
      <c r="J22" s="124" t="s">
        <v>400</v>
      </c>
      <c r="K22" s="85"/>
      <c r="L22" s="85"/>
      <c r="M22" s="202" t="s">
        <v>384</v>
      </c>
      <c r="N22" s="73"/>
    </row>
    <row r="23">
      <c r="A23" s="73"/>
      <c r="B23" s="203" t="s">
        <v>401</v>
      </c>
      <c r="C23" s="199"/>
      <c r="D23" s="200"/>
      <c r="E23" s="206" t="s">
        <v>402</v>
      </c>
      <c r="H23" s="73"/>
      <c r="I23" s="73"/>
      <c r="J23" s="73"/>
      <c r="K23" s="73"/>
      <c r="L23" s="73"/>
      <c r="M23" s="73"/>
      <c r="N23" s="73"/>
    </row>
    <row r="24">
      <c r="A24" s="73"/>
      <c r="B24" s="200"/>
      <c r="C24" s="200"/>
      <c r="D24" s="200"/>
      <c r="E24" s="200"/>
      <c r="F24" s="200"/>
      <c r="G24" s="200"/>
      <c r="H24" s="73"/>
      <c r="I24" s="73"/>
      <c r="J24" s="73"/>
      <c r="K24" s="73"/>
      <c r="L24" s="73"/>
      <c r="M24" s="73"/>
      <c r="N24" s="73"/>
    </row>
    <row r="25">
      <c r="A25" s="73"/>
      <c r="B25" s="198" t="s">
        <v>403</v>
      </c>
      <c r="C25" s="199"/>
      <c r="D25" s="200"/>
      <c r="E25" s="206" t="s">
        <v>404</v>
      </c>
      <c r="H25" s="73"/>
      <c r="I25" s="73"/>
      <c r="J25" s="73"/>
      <c r="K25" s="73"/>
      <c r="L25" s="73"/>
      <c r="M25" s="73"/>
      <c r="N25" s="73"/>
    </row>
    <row r="26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</row>
    <row r="27">
      <c r="A27" s="73"/>
      <c r="B27" s="215" t="s">
        <v>405</v>
      </c>
      <c r="C27" s="73"/>
      <c r="D27" s="196"/>
      <c r="E27" s="216" t="s">
        <v>188</v>
      </c>
      <c r="F27" s="217" t="s">
        <v>406</v>
      </c>
      <c r="G27" s="216" t="s">
        <v>407</v>
      </c>
      <c r="H27" s="218" t="s">
        <v>408</v>
      </c>
      <c r="I27" s="219"/>
      <c r="J27" s="220"/>
      <c r="K27" s="220"/>
      <c r="L27" s="221"/>
      <c r="M27" s="73"/>
      <c r="N27" s="73"/>
    </row>
    <row r="28">
      <c r="A28" s="73"/>
      <c r="B28" s="222" t="s">
        <v>409</v>
      </c>
      <c r="D28" s="196"/>
      <c r="E28" s="223" t="s">
        <v>97</v>
      </c>
      <c r="F28" s="224" t="s">
        <v>210</v>
      </c>
      <c r="G28" s="225" t="s">
        <v>410</v>
      </c>
      <c r="H28" s="77"/>
      <c r="J28" s="220"/>
      <c r="K28" s="196"/>
      <c r="L28" s="124" t="s">
        <v>39</v>
      </c>
      <c r="M28" s="202" t="s">
        <v>384</v>
      </c>
      <c r="N28" s="73"/>
    </row>
    <row r="29">
      <c r="A29" s="73"/>
      <c r="D29" s="196"/>
      <c r="E29" s="226" t="s">
        <v>94</v>
      </c>
      <c r="F29" s="227" t="s">
        <v>210</v>
      </c>
      <c r="G29" s="227" t="s">
        <v>39</v>
      </c>
      <c r="H29" s="77"/>
      <c r="J29" s="220"/>
      <c r="K29" s="196"/>
      <c r="L29" s="124" t="s">
        <v>410</v>
      </c>
      <c r="M29" s="73"/>
      <c r="N29" s="73"/>
    </row>
    <row r="30">
      <c r="A30" s="73"/>
      <c r="B30" s="73"/>
      <c r="C30" s="73"/>
      <c r="D30" s="196"/>
      <c r="E30" s="226" t="s">
        <v>89</v>
      </c>
      <c r="F30" s="228" t="s">
        <v>216</v>
      </c>
      <c r="G30" s="227" t="s">
        <v>410</v>
      </c>
      <c r="H30" s="77"/>
      <c r="J30" s="220"/>
      <c r="K30" s="196"/>
      <c r="L30" s="124" t="s">
        <v>411</v>
      </c>
      <c r="M30" s="73"/>
      <c r="N30" s="73"/>
    </row>
    <row r="31">
      <c r="A31" s="73"/>
      <c r="B31" s="73"/>
      <c r="C31" s="73"/>
      <c r="D31" s="196"/>
      <c r="E31" s="229" t="s">
        <v>87</v>
      </c>
      <c r="F31" s="228" t="s">
        <v>210</v>
      </c>
      <c r="G31" s="227" t="s">
        <v>410</v>
      </c>
      <c r="H31" s="77"/>
      <c r="J31" s="220"/>
      <c r="K31" s="196"/>
      <c r="L31" s="124" t="s">
        <v>43</v>
      </c>
      <c r="M31" s="73"/>
      <c r="N31" s="73"/>
    </row>
    <row r="32">
      <c r="A32" s="73"/>
      <c r="B32" s="73"/>
      <c r="C32" s="73"/>
      <c r="D32" s="196"/>
      <c r="E32" s="226" t="s">
        <v>98</v>
      </c>
      <c r="F32" s="228" t="s">
        <v>210</v>
      </c>
      <c r="G32" s="227" t="s">
        <v>39</v>
      </c>
      <c r="H32" s="77"/>
      <c r="J32" s="73"/>
      <c r="K32" s="196"/>
      <c r="L32" s="124" t="s">
        <v>44</v>
      </c>
      <c r="M32" s="73"/>
      <c r="N32" s="73"/>
    </row>
    <row r="33">
      <c r="A33" s="73"/>
      <c r="B33" s="73"/>
      <c r="C33" s="73"/>
      <c r="D33" s="196"/>
      <c r="E33" s="226" t="s">
        <v>92</v>
      </c>
      <c r="F33" s="227" t="s">
        <v>210</v>
      </c>
      <c r="G33" s="227" t="s">
        <v>410</v>
      </c>
      <c r="H33" s="77"/>
      <c r="J33" s="73"/>
      <c r="K33" s="73"/>
      <c r="L33" s="73"/>
      <c r="M33" s="73"/>
      <c r="N33" s="73"/>
    </row>
    <row r="34">
      <c r="A34" s="73"/>
      <c r="B34" s="73"/>
      <c r="C34" s="73"/>
      <c r="D34" s="196"/>
      <c r="E34" s="230" t="s">
        <v>99</v>
      </c>
      <c r="F34" s="227" t="s">
        <v>210</v>
      </c>
      <c r="G34" s="227" t="s">
        <v>410</v>
      </c>
      <c r="H34" s="77"/>
      <c r="J34" s="73"/>
      <c r="K34" s="73"/>
      <c r="L34" s="73"/>
      <c r="M34" s="73"/>
      <c r="N34" s="73"/>
    </row>
    <row r="35">
      <c r="A35" s="73"/>
      <c r="B35" s="215"/>
      <c r="C35" s="73"/>
      <c r="D35" s="196"/>
      <c r="E35" s="230" t="s">
        <v>95</v>
      </c>
      <c r="F35" s="227" t="s">
        <v>210</v>
      </c>
      <c r="G35" s="227" t="s">
        <v>410</v>
      </c>
      <c r="H35" s="77"/>
      <c r="J35" s="73"/>
      <c r="K35" s="73"/>
      <c r="L35" s="73"/>
      <c r="M35" s="73"/>
      <c r="N35" s="73"/>
    </row>
    <row r="36">
      <c r="A36" s="73"/>
      <c r="D36" s="196"/>
      <c r="E36" s="230" t="s">
        <v>101</v>
      </c>
      <c r="F36" s="227" t="s">
        <v>210</v>
      </c>
      <c r="G36" s="227" t="s">
        <v>411</v>
      </c>
      <c r="H36" s="77"/>
      <c r="J36" s="73"/>
      <c r="K36" s="73"/>
      <c r="L36" s="73"/>
      <c r="M36" s="73"/>
      <c r="N36" s="73"/>
    </row>
    <row r="37">
      <c r="A37" s="73"/>
      <c r="D37" s="196"/>
      <c r="E37" s="230" t="s">
        <v>103</v>
      </c>
      <c r="F37" s="227" t="s">
        <v>210</v>
      </c>
      <c r="G37" s="227" t="s">
        <v>410</v>
      </c>
      <c r="H37" s="77"/>
      <c r="J37" s="73"/>
      <c r="K37" s="73"/>
      <c r="L37" s="73"/>
      <c r="M37" s="73"/>
      <c r="N37" s="73"/>
    </row>
    <row r="38">
      <c r="A38" s="73"/>
      <c r="B38" s="73"/>
      <c r="C38" s="73"/>
      <c r="D38" s="196"/>
      <c r="E38" s="230" t="s">
        <v>89</v>
      </c>
      <c r="F38" s="231"/>
      <c r="G38" s="231"/>
      <c r="H38" s="77"/>
      <c r="J38" s="73"/>
      <c r="K38" s="73"/>
      <c r="L38" s="73"/>
      <c r="M38" s="73"/>
      <c r="N38" s="73"/>
    </row>
    <row r="39">
      <c r="A39" s="73"/>
      <c r="B39" s="73"/>
      <c r="C39" s="73"/>
      <c r="D39" s="196"/>
      <c r="E39" s="230" t="s">
        <v>124</v>
      </c>
      <c r="F39" s="231"/>
      <c r="G39" s="231"/>
      <c r="H39" s="77"/>
      <c r="J39" s="73"/>
      <c r="K39" s="73"/>
      <c r="L39" s="73"/>
      <c r="M39" s="73"/>
      <c r="N39" s="73"/>
    </row>
    <row r="40">
      <c r="A40" s="73"/>
      <c r="B40" s="73"/>
      <c r="C40" s="73"/>
      <c r="D40" s="196"/>
      <c r="E40" s="230" t="s">
        <v>95</v>
      </c>
      <c r="F40" s="231"/>
      <c r="G40" s="231"/>
      <c r="H40" s="77"/>
      <c r="J40" s="73"/>
      <c r="K40" s="73"/>
      <c r="L40" s="73"/>
      <c r="M40" s="73"/>
      <c r="N40" s="73"/>
    </row>
    <row r="41">
      <c r="A41" s="73"/>
      <c r="B41" s="73"/>
      <c r="C41" s="73"/>
      <c r="D41" s="196"/>
      <c r="E41" s="204" t="s">
        <v>132</v>
      </c>
      <c r="F41" s="231"/>
      <c r="G41" s="231"/>
      <c r="H41" s="77"/>
      <c r="J41" s="73"/>
      <c r="K41" s="73"/>
      <c r="L41" s="73"/>
      <c r="M41" s="73"/>
      <c r="N41" s="73"/>
    </row>
    <row r="42">
      <c r="A42" s="73"/>
      <c r="B42" s="73"/>
      <c r="C42" s="73"/>
      <c r="D42" s="73"/>
      <c r="E42" s="71" t="s">
        <v>135</v>
      </c>
      <c r="F42" s="73"/>
      <c r="G42" s="73"/>
      <c r="H42" s="73"/>
      <c r="I42" s="73"/>
      <c r="J42" s="73"/>
      <c r="K42" s="73"/>
      <c r="L42" s="73"/>
      <c r="M42" s="73"/>
      <c r="N42" s="73"/>
    </row>
    <row r="43">
      <c r="A43" s="73"/>
      <c r="B43" s="215" t="s">
        <v>412</v>
      </c>
      <c r="C43" s="73"/>
      <c r="D43" s="73"/>
      <c r="E43" s="71" t="s">
        <v>138</v>
      </c>
      <c r="F43" s="73"/>
      <c r="G43" s="73"/>
      <c r="H43" s="73"/>
      <c r="I43" s="73"/>
      <c r="J43" s="73"/>
      <c r="K43" s="73"/>
      <c r="L43" s="73"/>
      <c r="M43" s="73"/>
      <c r="N43" s="73"/>
    </row>
    <row r="44">
      <c r="A44" s="73"/>
      <c r="B44" s="124" t="s">
        <v>413</v>
      </c>
      <c r="C44" s="73"/>
      <c r="D44" s="73"/>
      <c r="E44" s="71" t="s">
        <v>141</v>
      </c>
      <c r="F44" s="73"/>
      <c r="G44" s="73"/>
      <c r="H44" s="73"/>
      <c r="I44" s="73"/>
      <c r="J44" s="73"/>
      <c r="K44" s="73"/>
      <c r="L44" s="73"/>
      <c r="M44" s="73"/>
      <c r="N44" s="73"/>
    </row>
    <row r="45">
      <c r="A45" s="73"/>
      <c r="B45" s="73"/>
      <c r="C45" s="73"/>
      <c r="D45" s="73"/>
      <c r="E45" s="71" t="s">
        <v>143</v>
      </c>
      <c r="F45" s="73"/>
      <c r="G45" s="73"/>
      <c r="H45" s="73"/>
      <c r="I45" s="73"/>
      <c r="J45" s="73"/>
      <c r="K45" s="73"/>
      <c r="L45" s="73"/>
      <c r="M45" s="73"/>
      <c r="N45" s="73"/>
    </row>
    <row r="46">
      <c r="A46" s="73"/>
      <c r="B46" s="73"/>
      <c r="C46" s="73"/>
      <c r="D46" s="73"/>
      <c r="E46" s="71" t="s">
        <v>89</v>
      </c>
      <c r="F46" s="73"/>
      <c r="G46" s="73"/>
      <c r="H46" s="73"/>
      <c r="I46" s="73"/>
      <c r="J46" s="73"/>
      <c r="K46" s="73"/>
      <c r="L46" s="73"/>
      <c r="M46" s="73"/>
      <c r="N46" s="73"/>
    </row>
    <row r="47">
      <c r="A47" s="73"/>
      <c r="B47" s="73"/>
      <c r="C47" s="73"/>
      <c r="D47" s="73"/>
      <c r="E47" s="71" t="s">
        <v>124</v>
      </c>
      <c r="F47" s="73"/>
      <c r="G47" s="73"/>
      <c r="H47" s="73"/>
      <c r="I47" s="73"/>
      <c r="J47" s="73"/>
      <c r="K47" s="73"/>
      <c r="L47" s="73"/>
      <c r="M47" s="73"/>
      <c r="N47" s="73"/>
    </row>
    <row r="48">
      <c r="A48" s="73"/>
      <c r="B48" s="73"/>
      <c r="C48" s="73"/>
      <c r="D48" s="73"/>
      <c r="E48" s="71" t="s">
        <v>95</v>
      </c>
      <c r="F48" s="73"/>
      <c r="G48" s="73"/>
      <c r="H48" s="73"/>
      <c r="I48" s="73"/>
      <c r="J48" s="73"/>
      <c r="K48" s="73"/>
      <c r="L48" s="73"/>
      <c r="M48" s="73"/>
      <c r="N48" s="73"/>
    </row>
    <row r="49">
      <c r="A49" s="73"/>
      <c r="B49" s="73"/>
      <c r="C49" s="73"/>
      <c r="D49" s="73"/>
      <c r="E49" s="71" t="s">
        <v>132</v>
      </c>
      <c r="F49" s="73"/>
      <c r="G49" s="73"/>
      <c r="H49" s="73"/>
      <c r="I49" s="73"/>
      <c r="J49" s="73"/>
      <c r="K49" s="73"/>
      <c r="L49" s="73"/>
      <c r="M49" s="73"/>
      <c r="N49" s="73"/>
    </row>
    <row r="50">
      <c r="A50" s="73"/>
      <c r="B50" s="73"/>
      <c r="C50" s="73"/>
      <c r="D50" s="73"/>
      <c r="E50" s="71" t="s">
        <v>135</v>
      </c>
      <c r="F50" s="73"/>
      <c r="G50" s="73"/>
      <c r="H50" s="73"/>
      <c r="I50" s="73"/>
      <c r="J50" s="73"/>
      <c r="K50" s="73"/>
      <c r="L50" s="73"/>
      <c r="M50" s="73"/>
      <c r="N50" s="73"/>
    </row>
    <row r="51">
      <c r="A51" s="73"/>
      <c r="B51" s="73"/>
      <c r="C51" s="73"/>
      <c r="D51" s="73"/>
      <c r="E51" s="71" t="s">
        <v>138</v>
      </c>
      <c r="F51" s="73"/>
      <c r="G51" s="73"/>
      <c r="H51" s="73"/>
      <c r="I51" s="73"/>
      <c r="J51" s="73"/>
      <c r="K51" s="73"/>
      <c r="L51" s="73"/>
      <c r="M51" s="73"/>
      <c r="N51" s="73"/>
    </row>
    <row r="52">
      <c r="A52" s="73"/>
      <c r="B52" s="73"/>
      <c r="C52" s="73"/>
      <c r="D52" s="73"/>
      <c r="E52" s="71" t="s">
        <v>141</v>
      </c>
      <c r="F52" s="73"/>
      <c r="G52" s="73"/>
      <c r="H52" s="73"/>
      <c r="I52" s="73"/>
      <c r="J52" s="73"/>
      <c r="K52" s="73"/>
      <c r="L52" s="73"/>
      <c r="M52" s="73"/>
      <c r="N52" s="73"/>
    </row>
    <row r="53">
      <c r="A53" s="73"/>
      <c r="B53" s="73"/>
      <c r="C53" s="73"/>
      <c r="D53" s="73"/>
      <c r="E53" s="71" t="s">
        <v>143</v>
      </c>
      <c r="F53" s="73"/>
      <c r="G53" s="73"/>
      <c r="H53" s="73"/>
      <c r="I53" s="73"/>
      <c r="J53" s="73"/>
      <c r="K53" s="73"/>
      <c r="L53" s="73"/>
      <c r="M53" s="73"/>
      <c r="N53" s="73"/>
    </row>
    <row r="54">
      <c r="A54" s="73"/>
      <c r="B54" s="73"/>
      <c r="C54" s="73"/>
      <c r="D54" s="73"/>
      <c r="E54" s="71" t="s">
        <v>89</v>
      </c>
      <c r="F54" s="73"/>
      <c r="G54" s="73"/>
      <c r="H54" s="73"/>
      <c r="I54" s="73"/>
      <c r="J54" s="73"/>
      <c r="K54" s="73"/>
      <c r="L54" s="73"/>
      <c r="M54" s="73"/>
      <c r="N54" s="73"/>
    </row>
    <row r="55">
      <c r="A55" s="73"/>
      <c r="B55" s="73"/>
      <c r="C55" s="73"/>
      <c r="D55" s="73"/>
      <c r="E55" s="71" t="s">
        <v>124</v>
      </c>
      <c r="F55" s="73"/>
      <c r="G55" s="73"/>
      <c r="H55" s="73"/>
      <c r="I55" s="73"/>
      <c r="J55" s="73"/>
      <c r="K55" s="73"/>
      <c r="L55" s="73"/>
      <c r="M55" s="73"/>
      <c r="N55" s="73"/>
    </row>
    <row r="56">
      <c r="A56" s="73"/>
      <c r="B56" s="73"/>
      <c r="C56" s="73"/>
      <c r="D56" s="73"/>
      <c r="E56" s="71" t="s">
        <v>132</v>
      </c>
      <c r="F56" s="73"/>
      <c r="G56" s="73"/>
      <c r="H56" s="73"/>
      <c r="I56" s="73"/>
      <c r="J56" s="73"/>
      <c r="K56" s="73"/>
      <c r="L56" s="73"/>
      <c r="M56" s="73"/>
      <c r="N56" s="73"/>
    </row>
    <row r="57">
      <c r="A57" s="73"/>
      <c r="B57" s="73"/>
      <c r="C57" s="73"/>
      <c r="D57" s="73"/>
      <c r="E57" s="71" t="s">
        <v>135</v>
      </c>
      <c r="F57" s="73"/>
      <c r="G57" s="73"/>
      <c r="H57" s="73"/>
      <c r="I57" s="73"/>
      <c r="J57" s="73"/>
      <c r="K57" s="73"/>
      <c r="L57" s="73"/>
      <c r="M57" s="73"/>
      <c r="N57" s="73"/>
    </row>
    <row r="58">
      <c r="A58" s="73"/>
      <c r="B58" s="73"/>
      <c r="C58" s="73"/>
      <c r="D58" s="73"/>
      <c r="E58" s="71" t="s">
        <v>138</v>
      </c>
      <c r="F58" s="73"/>
      <c r="G58" s="73"/>
      <c r="H58" s="73"/>
      <c r="I58" s="73"/>
      <c r="J58" s="73"/>
      <c r="K58" s="73"/>
      <c r="L58" s="73"/>
      <c r="M58" s="73"/>
      <c r="N58" s="73"/>
    </row>
    <row r="59">
      <c r="A59" s="73"/>
      <c r="B59" s="73"/>
      <c r="C59" s="73"/>
      <c r="D59" s="73"/>
      <c r="E59" s="71" t="s">
        <v>143</v>
      </c>
      <c r="F59" s="73"/>
      <c r="G59" s="73"/>
      <c r="H59" s="73"/>
      <c r="I59" s="73"/>
      <c r="J59" s="73"/>
      <c r="K59" s="73"/>
      <c r="L59" s="73"/>
      <c r="M59" s="73"/>
      <c r="N59" s="73"/>
    </row>
    <row r="60">
      <c r="A60" s="73"/>
      <c r="B60" s="73"/>
      <c r="C60" s="73"/>
      <c r="D60" s="73"/>
      <c r="E60" s="71" t="s">
        <v>87</v>
      </c>
      <c r="F60" s="71"/>
      <c r="G60" s="73"/>
      <c r="H60" s="73"/>
      <c r="I60" s="73"/>
      <c r="J60" s="73"/>
      <c r="K60" s="73"/>
      <c r="L60" s="73"/>
      <c r="M60" s="73"/>
      <c r="N60" s="73"/>
    </row>
    <row r="61">
      <c r="A61" s="73"/>
      <c r="B61" s="73"/>
      <c r="C61" s="73"/>
      <c r="D61" s="73"/>
      <c r="E61" s="232" t="s">
        <v>414</v>
      </c>
      <c r="F61" s="73"/>
      <c r="G61" s="73"/>
      <c r="H61" s="73"/>
      <c r="I61" s="73"/>
      <c r="J61" s="73"/>
      <c r="K61" s="73"/>
      <c r="L61" s="73"/>
      <c r="M61" s="73"/>
      <c r="N61" s="73"/>
    </row>
    <row r="62">
      <c r="A62" s="73"/>
      <c r="B62" s="73"/>
      <c r="C62" s="73"/>
      <c r="D62" s="73"/>
      <c r="E62" s="71" t="s">
        <v>153</v>
      </c>
      <c r="F62" s="73"/>
      <c r="G62" s="73"/>
      <c r="H62" s="73"/>
      <c r="I62" s="73"/>
      <c r="J62" s="73"/>
      <c r="K62" s="73"/>
      <c r="L62" s="73"/>
      <c r="M62" s="73"/>
      <c r="N62" s="73"/>
    </row>
    <row r="63">
      <c r="A63" s="73"/>
      <c r="B63" s="73"/>
      <c r="C63" s="73"/>
      <c r="D63" s="73"/>
      <c r="E63" s="71" t="s">
        <v>167</v>
      </c>
      <c r="F63" s="73"/>
      <c r="G63" s="73"/>
      <c r="H63" s="73"/>
      <c r="I63" s="73"/>
      <c r="J63" s="73"/>
      <c r="K63" s="73"/>
      <c r="L63" s="73"/>
      <c r="M63" s="73"/>
      <c r="N63" s="73"/>
    </row>
    <row r="64">
      <c r="A64" s="73"/>
      <c r="B64" s="73"/>
      <c r="C64" s="73"/>
      <c r="D64" s="73"/>
      <c r="E64" s="73" t="s">
        <v>101</v>
      </c>
      <c r="F64" s="73"/>
      <c r="G64" s="73"/>
      <c r="H64" s="73"/>
      <c r="I64" s="73"/>
      <c r="J64" s="73"/>
      <c r="K64" s="73"/>
      <c r="L64" s="73"/>
      <c r="M64" s="73"/>
      <c r="N64" s="73"/>
    </row>
    <row r="65">
      <c r="A65" s="73"/>
      <c r="B65" s="73"/>
      <c r="C65" s="73"/>
      <c r="D65" s="73"/>
      <c r="E65" s="73" t="s">
        <v>94</v>
      </c>
      <c r="F65" s="73"/>
      <c r="G65" s="73"/>
      <c r="H65" s="73"/>
      <c r="I65" s="73"/>
      <c r="J65" s="73"/>
      <c r="K65" s="73"/>
      <c r="L65" s="73"/>
      <c r="M65" s="73"/>
      <c r="N65" s="73"/>
    </row>
    <row r="66">
      <c r="A66" s="73"/>
      <c r="B66" s="73"/>
      <c r="C66" s="73"/>
      <c r="D66" s="73"/>
      <c r="E66" s="73" t="s">
        <v>87</v>
      </c>
      <c r="F66" s="73"/>
      <c r="G66" s="73"/>
      <c r="H66" s="73"/>
      <c r="I66" s="73"/>
      <c r="J66" s="73"/>
      <c r="K66" s="73"/>
      <c r="L66" s="73"/>
      <c r="M66" s="73"/>
      <c r="N66" s="73"/>
    </row>
    <row r="67">
      <c r="A67" s="73"/>
      <c r="B67" s="73"/>
      <c r="C67" s="73"/>
      <c r="D67" s="73"/>
      <c r="E67" s="71" t="s">
        <v>87</v>
      </c>
      <c r="F67" s="73"/>
      <c r="G67" s="73"/>
      <c r="H67" s="73"/>
      <c r="I67" s="73"/>
      <c r="J67" s="73"/>
      <c r="K67" s="73"/>
      <c r="L67" s="73"/>
      <c r="M67" s="73"/>
      <c r="N67" s="73"/>
    </row>
    <row r="68">
      <c r="A68" s="73"/>
      <c r="B68" s="73"/>
      <c r="C68" s="73"/>
      <c r="D68" s="73"/>
      <c r="E68" s="73" t="s">
        <v>89</v>
      </c>
      <c r="F68" s="73"/>
      <c r="G68" s="73"/>
      <c r="H68" s="73"/>
      <c r="I68" s="73"/>
      <c r="J68" s="73"/>
      <c r="K68" s="73"/>
      <c r="L68" s="73"/>
      <c r="M68" s="73"/>
      <c r="N68" s="73"/>
    </row>
    <row r="69">
      <c r="A69" s="73"/>
      <c r="B69" s="73"/>
      <c r="C69" s="73"/>
      <c r="D69" s="73"/>
      <c r="E69" s="73" t="s">
        <v>92</v>
      </c>
      <c r="F69" s="73"/>
      <c r="G69" s="73"/>
      <c r="H69" s="73"/>
      <c r="I69" s="73"/>
      <c r="J69" s="73"/>
      <c r="K69" s="73"/>
      <c r="L69" s="73"/>
      <c r="M69" s="73"/>
      <c r="N69" s="73"/>
    </row>
    <row r="70">
      <c r="A70" s="73"/>
      <c r="B70" s="73"/>
      <c r="C70" s="73"/>
      <c r="D70" s="73"/>
      <c r="E70" s="73" t="s">
        <v>95</v>
      </c>
      <c r="F70" s="73"/>
      <c r="G70" s="73"/>
      <c r="H70" s="73"/>
      <c r="I70" s="73"/>
      <c r="J70" s="73"/>
      <c r="K70" s="73"/>
      <c r="L70" s="73"/>
      <c r="M70" s="73"/>
      <c r="N70" s="73"/>
    </row>
    <row r="71">
      <c r="A71" s="73"/>
      <c r="B71" s="73"/>
      <c r="C71" s="73"/>
      <c r="D71" s="73"/>
      <c r="E71" s="73" t="s">
        <v>97</v>
      </c>
      <c r="F71" s="73"/>
      <c r="G71" s="73"/>
      <c r="H71" s="73"/>
      <c r="I71" s="73"/>
      <c r="J71" s="73"/>
      <c r="K71" s="73"/>
      <c r="L71" s="73"/>
      <c r="M71" s="73"/>
      <c r="N71" s="73"/>
    </row>
    <row r="72">
      <c r="A72" s="73"/>
      <c r="B72" s="73"/>
      <c r="C72" s="73"/>
      <c r="D72" s="73"/>
      <c r="E72" s="73" t="s">
        <v>98</v>
      </c>
      <c r="F72" s="73"/>
      <c r="G72" s="73"/>
      <c r="H72" s="73"/>
      <c r="I72" s="73"/>
      <c r="J72" s="73"/>
      <c r="K72" s="73"/>
      <c r="L72" s="73"/>
      <c r="M72" s="73"/>
      <c r="N72" s="73"/>
    </row>
    <row r="73">
      <c r="A73" s="73"/>
      <c r="B73" s="73"/>
      <c r="C73" s="73"/>
      <c r="D73" s="73"/>
      <c r="E73" s="73" t="s">
        <v>103</v>
      </c>
      <c r="F73" s="73"/>
      <c r="G73" s="73"/>
      <c r="H73" s="73"/>
      <c r="I73" s="73"/>
      <c r="J73" s="73"/>
      <c r="K73" s="73"/>
      <c r="L73" s="73"/>
      <c r="M73" s="73"/>
      <c r="N73" s="73"/>
    </row>
    <row r="74">
      <c r="A74" s="73"/>
      <c r="B74" s="73"/>
      <c r="C74" s="73"/>
      <c r="D74" s="73"/>
      <c r="E74" s="73" t="s">
        <v>99</v>
      </c>
      <c r="F74" s="73"/>
      <c r="G74" s="73"/>
      <c r="H74" s="73"/>
      <c r="I74" s="73"/>
      <c r="J74" s="73"/>
      <c r="K74" s="73"/>
      <c r="L74" s="73"/>
      <c r="M74" s="73"/>
      <c r="N74" s="73"/>
    </row>
    <row r="75">
      <c r="A75" s="73"/>
      <c r="B75" s="73"/>
      <c r="C75" s="73"/>
      <c r="D75" s="73"/>
      <c r="E75" s="73" t="s">
        <v>112</v>
      </c>
      <c r="F75" s="73"/>
      <c r="G75" s="73"/>
      <c r="H75" s="73"/>
      <c r="I75" s="73"/>
      <c r="J75" s="73"/>
      <c r="K75" s="73"/>
      <c r="L75" s="73"/>
      <c r="M75" s="73"/>
      <c r="N75" s="73"/>
    </row>
    <row r="76">
      <c r="A76" s="73"/>
      <c r="B76" s="73"/>
      <c r="C76" s="73"/>
      <c r="D76" s="73"/>
      <c r="E76" s="71" t="s">
        <v>148</v>
      </c>
      <c r="F76" s="73"/>
      <c r="G76" s="73"/>
      <c r="H76" s="73"/>
      <c r="I76" s="73"/>
      <c r="J76" s="73"/>
      <c r="K76" s="73"/>
      <c r="L76" s="73"/>
      <c r="M76" s="73"/>
      <c r="N76" s="73"/>
    </row>
    <row r="77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</row>
    <row r="78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</row>
    <row r="79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</row>
    <row r="80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</row>
    <row r="8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</row>
    <row r="82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</row>
    <row r="83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</row>
    <row r="84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</row>
    <row r="8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</row>
    <row r="86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</row>
    <row r="87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</row>
    <row r="88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</row>
    <row r="89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</row>
    <row r="90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</row>
    <row r="9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</row>
    <row r="92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</row>
    <row r="93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</row>
    <row r="94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</row>
    <row r="9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</row>
    <row r="9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</row>
    <row r="97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</row>
    <row r="98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</row>
    <row r="99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</row>
    <row r="100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</row>
    <row r="10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</row>
    <row r="102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</row>
    <row r="103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</row>
    <row r="104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</row>
    <row r="10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</row>
    <row r="10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</row>
    <row r="107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</row>
    <row r="108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</row>
    <row r="109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</row>
    <row r="110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</row>
    <row r="11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</row>
    <row r="112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</row>
    <row r="113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</row>
    <row r="114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</row>
    <row r="11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</row>
    <row r="11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</row>
    <row r="117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</row>
    <row r="118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</row>
    <row r="119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</row>
    <row r="120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</row>
    <row r="12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</row>
    <row r="122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</row>
    <row r="123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</row>
    <row r="124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</row>
    <row r="1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</row>
    <row r="1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</row>
    <row r="12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</row>
    <row r="128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</row>
    <row r="129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</row>
    <row r="130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</row>
    <row r="13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</row>
    <row r="132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</row>
    <row r="133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</row>
    <row r="134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</row>
    <row r="13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</row>
    <row r="13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</row>
    <row r="137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</row>
    <row r="138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</row>
    <row r="139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</row>
    <row r="140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</row>
    <row r="14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</row>
    <row r="142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</row>
    <row r="143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</row>
    <row r="144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</row>
    <row r="148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</row>
    <row r="149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</row>
    <row r="150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</row>
    <row r="15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</row>
    <row r="152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</row>
    <row r="153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</row>
    <row r="154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</row>
    <row r="15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</row>
    <row r="15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</row>
    <row r="157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</row>
    <row r="158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</row>
    <row r="159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</row>
    <row r="160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</row>
    <row r="16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</row>
    <row r="162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</row>
    <row r="163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</row>
    <row r="164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</row>
    <row r="16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</row>
    <row r="16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</row>
    <row r="184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</row>
    <row r="18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</row>
    <row r="18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</row>
    <row r="187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</row>
    <row r="188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</row>
    <row r="189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</row>
    <row r="190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</row>
    <row r="19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</row>
    <row r="192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</row>
    <row r="193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</row>
    <row r="194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</row>
    <row r="19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</row>
    <row r="19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</row>
    <row r="197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</row>
    <row r="198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</row>
    <row r="199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</row>
    <row r="200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</row>
    <row r="20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</row>
    <row r="202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</row>
    <row r="203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</row>
    <row r="204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</row>
    <row r="20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</row>
    <row r="20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</row>
    <row r="207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</row>
    <row r="208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</row>
    <row r="209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</row>
    <row r="210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</row>
    <row r="21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</row>
    <row r="212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</row>
    <row r="213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</row>
    <row r="214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</row>
    <row r="21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</row>
    <row r="21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</row>
    <row r="217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</row>
    <row r="218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</row>
    <row r="219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</row>
    <row r="220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</row>
    <row r="22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</row>
    <row r="222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</row>
    <row r="223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</row>
    <row r="224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</row>
    <row r="2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</row>
    <row r="22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</row>
    <row r="227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</row>
    <row r="228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</row>
    <row r="229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</row>
    <row r="230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</row>
    <row r="23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</row>
    <row r="232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</row>
    <row r="233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</row>
    <row r="234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</row>
    <row r="23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</row>
    <row r="236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</row>
    <row r="237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</row>
    <row r="238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</row>
    <row r="239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</row>
    <row r="240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</row>
    <row r="24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</row>
    <row r="242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</row>
    <row r="243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</row>
    <row r="244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</row>
    <row r="2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</row>
    <row r="246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</row>
    <row r="247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</row>
    <row r="248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</row>
    <row r="249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</row>
    <row r="250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</row>
    <row r="25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</row>
    <row r="252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</row>
    <row r="253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</row>
    <row r="254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</row>
    <row r="25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</row>
    <row r="256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</row>
    <row r="257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</row>
    <row r="258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</row>
    <row r="259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</row>
    <row r="260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</row>
    <row r="26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</row>
    <row r="262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</row>
    <row r="263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</row>
    <row r="264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</row>
    <row r="26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</row>
    <row r="266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</row>
    <row r="267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</row>
    <row r="268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</row>
    <row r="269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</row>
    <row r="270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</row>
    <row r="27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</row>
    <row r="272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</row>
    <row r="273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</row>
    <row r="274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</row>
    <row r="27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</row>
    <row r="27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</row>
    <row r="277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</row>
    <row r="278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</row>
    <row r="279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</row>
    <row r="280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</row>
    <row r="28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</row>
    <row r="282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</row>
    <row r="283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</row>
    <row r="284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</row>
    <row r="28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</row>
    <row r="28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</row>
    <row r="287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</row>
    <row r="288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</row>
    <row r="289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</row>
    <row r="290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</row>
    <row r="29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</row>
    <row r="292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</row>
    <row r="293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</row>
    <row r="294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</row>
    <row r="29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</row>
    <row r="29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</row>
    <row r="297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</row>
    <row r="298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</row>
    <row r="299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</row>
    <row r="300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</row>
    <row r="30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</row>
    <row r="302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</row>
    <row r="303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</row>
    <row r="304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</row>
    <row r="30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</row>
    <row r="30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</row>
    <row r="307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</row>
    <row r="308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</row>
    <row r="309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</row>
    <row r="310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</row>
    <row r="31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</row>
    <row r="312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</row>
    <row r="313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</row>
    <row r="314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</row>
    <row r="31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</row>
    <row r="31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</row>
    <row r="317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</row>
    <row r="318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</row>
    <row r="319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</row>
    <row r="320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</row>
    <row r="32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</row>
    <row r="322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</row>
    <row r="323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</row>
    <row r="324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</row>
    <row r="3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</row>
    <row r="3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</row>
    <row r="327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</row>
    <row r="328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</row>
    <row r="329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</row>
    <row r="330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</row>
    <row r="33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</row>
    <row r="332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</row>
    <row r="333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</row>
    <row r="334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</row>
    <row r="33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</row>
    <row r="33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</row>
    <row r="337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</row>
    <row r="338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</row>
    <row r="339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</row>
    <row r="340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</row>
    <row r="34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</row>
    <row r="342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</row>
    <row r="343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</row>
    <row r="344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</row>
    <row r="3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</row>
    <row r="34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</row>
    <row r="347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</row>
    <row r="348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</row>
    <row r="349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</row>
    <row r="350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</row>
    <row r="35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</row>
    <row r="352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</row>
    <row r="353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</row>
    <row r="354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</row>
    <row r="35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</row>
    <row r="35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</row>
    <row r="357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</row>
    <row r="358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</row>
    <row r="359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</row>
    <row r="360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</row>
    <row r="36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</row>
    <row r="362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</row>
    <row r="363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</row>
    <row r="364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</row>
    <row r="487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</row>
    <row r="999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</row>
    <row r="1000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</row>
    <row r="1001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</row>
    <row r="1002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</row>
    <row r="1003">
      <c r="A1003" s="73"/>
      <c r="B1003" s="73"/>
      <c r="C1003" s="73"/>
      <c r="D1003" s="73"/>
      <c r="E1003" s="73"/>
      <c r="F1003" s="73"/>
      <c r="G1003" s="73"/>
      <c r="H1003" s="73"/>
      <c r="I1003" s="73"/>
      <c r="J1003" s="73"/>
      <c r="K1003" s="73"/>
      <c r="L1003" s="73"/>
      <c r="M1003" s="73"/>
      <c r="N1003" s="73"/>
    </row>
    <row r="1004">
      <c r="A1004" s="73"/>
      <c r="B1004" s="73"/>
      <c r="C1004" s="73"/>
      <c r="D1004" s="73"/>
      <c r="E1004" s="73"/>
      <c r="F1004" s="73"/>
      <c r="G1004" s="73"/>
      <c r="H1004" s="73"/>
      <c r="I1004" s="73"/>
      <c r="J1004" s="73"/>
      <c r="K1004" s="73"/>
      <c r="L1004" s="73"/>
      <c r="M1004" s="73"/>
      <c r="N1004" s="73"/>
    </row>
    <row r="1005">
      <c r="A1005" s="73"/>
      <c r="B1005" s="73"/>
      <c r="C1005" s="73"/>
      <c r="D1005" s="73"/>
      <c r="E1005" s="73"/>
      <c r="F1005" s="73"/>
      <c r="G1005" s="73"/>
      <c r="H1005" s="73"/>
      <c r="I1005" s="73"/>
      <c r="J1005" s="73"/>
      <c r="K1005" s="73"/>
      <c r="L1005" s="73"/>
      <c r="M1005" s="73"/>
      <c r="N1005" s="73"/>
    </row>
    <row r="1006">
      <c r="A1006" s="73"/>
      <c r="B1006" s="73"/>
      <c r="C1006" s="73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</row>
    <row r="1007">
      <c r="A1007" s="73"/>
      <c r="B1007" s="73"/>
      <c r="C1007" s="73"/>
      <c r="D1007" s="73"/>
      <c r="E1007" s="73"/>
      <c r="F1007" s="73"/>
      <c r="G1007" s="73"/>
      <c r="H1007" s="73"/>
      <c r="I1007" s="73"/>
      <c r="J1007" s="73"/>
      <c r="K1007" s="73"/>
      <c r="L1007" s="73"/>
      <c r="M1007" s="73"/>
      <c r="N1007" s="73"/>
    </row>
    <row r="1008">
      <c r="A1008" s="73"/>
      <c r="B1008" s="73"/>
      <c r="C1008" s="73"/>
      <c r="D1008" s="73"/>
      <c r="E1008" s="73"/>
      <c r="F1008" s="73"/>
      <c r="G1008" s="73"/>
      <c r="H1008" s="73"/>
      <c r="I1008" s="73"/>
      <c r="J1008" s="73"/>
      <c r="K1008" s="73"/>
      <c r="L1008" s="73"/>
      <c r="M1008" s="73"/>
      <c r="N1008" s="73"/>
    </row>
    <row r="1009">
      <c r="A1009" s="73"/>
      <c r="B1009" s="73"/>
      <c r="C1009" s="73"/>
      <c r="D1009" s="73"/>
      <c r="E1009" s="73"/>
      <c r="F1009" s="73"/>
      <c r="G1009" s="73"/>
      <c r="H1009" s="73"/>
      <c r="I1009" s="73"/>
      <c r="J1009" s="73"/>
      <c r="K1009" s="73"/>
      <c r="L1009" s="73"/>
      <c r="M1009" s="73"/>
      <c r="N1009" s="73"/>
    </row>
    <row r="1010">
      <c r="A1010" s="73"/>
      <c r="B1010" s="73"/>
      <c r="C1010" s="73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</row>
    <row r="1011">
      <c r="A1011" s="73"/>
      <c r="B1011" s="73"/>
      <c r="C1011" s="73"/>
      <c r="D1011" s="73"/>
      <c r="E1011" s="73"/>
      <c r="F1011" s="73"/>
      <c r="G1011" s="73"/>
      <c r="H1011" s="73"/>
      <c r="I1011" s="73"/>
      <c r="J1011" s="73"/>
      <c r="K1011" s="73"/>
      <c r="L1011" s="73"/>
      <c r="M1011" s="73"/>
      <c r="N1011" s="73"/>
    </row>
    <row r="1012">
      <c r="A1012" s="73"/>
      <c r="B1012" s="73"/>
      <c r="C1012" s="73"/>
      <c r="D1012" s="73"/>
      <c r="E1012" s="73"/>
      <c r="F1012" s="73"/>
      <c r="G1012" s="73"/>
      <c r="H1012" s="73"/>
      <c r="I1012" s="73"/>
      <c r="J1012" s="73"/>
      <c r="K1012" s="73"/>
      <c r="L1012" s="73"/>
      <c r="M1012" s="73"/>
      <c r="N1012" s="73"/>
    </row>
    <row r="1013">
      <c r="A1013" s="73"/>
      <c r="B1013" s="73"/>
      <c r="C1013" s="73"/>
      <c r="D1013" s="73"/>
      <c r="E1013" s="73"/>
      <c r="F1013" s="73"/>
      <c r="G1013" s="73"/>
      <c r="H1013" s="73"/>
      <c r="I1013" s="73"/>
      <c r="J1013" s="73"/>
      <c r="K1013" s="73"/>
      <c r="L1013" s="73"/>
      <c r="M1013" s="73"/>
      <c r="N1013" s="73"/>
    </row>
    <row r="1014">
      <c r="A1014" s="73"/>
      <c r="B1014" s="73"/>
      <c r="C1014" s="73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</row>
    <row r="1015">
      <c r="A1015" s="73"/>
      <c r="B1015" s="73"/>
      <c r="C1015" s="73"/>
      <c r="D1015" s="73"/>
      <c r="E1015" s="73"/>
      <c r="F1015" s="73"/>
      <c r="G1015" s="73"/>
      <c r="H1015" s="73"/>
      <c r="I1015" s="73"/>
      <c r="J1015" s="73"/>
      <c r="K1015" s="73"/>
      <c r="L1015" s="73"/>
      <c r="M1015" s="73"/>
      <c r="N1015" s="73"/>
    </row>
    <row r="1016">
      <c r="A1016" s="73"/>
      <c r="B1016" s="73"/>
      <c r="C1016" s="73"/>
      <c r="D1016" s="73"/>
      <c r="E1016" s="73"/>
      <c r="F1016" s="73"/>
      <c r="G1016" s="73"/>
      <c r="H1016" s="73"/>
      <c r="I1016" s="73"/>
      <c r="J1016" s="73"/>
      <c r="K1016" s="73"/>
      <c r="L1016" s="73"/>
      <c r="M1016" s="73"/>
      <c r="N1016" s="73"/>
    </row>
    <row r="1017">
      <c r="A1017" s="73"/>
      <c r="B1017" s="73"/>
      <c r="C1017" s="73"/>
      <c r="D1017" s="73"/>
      <c r="E1017" s="73"/>
      <c r="F1017" s="73"/>
      <c r="G1017" s="73"/>
      <c r="H1017" s="73"/>
      <c r="I1017" s="73"/>
      <c r="J1017" s="73"/>
      <c r="K1017" s="73"/>
      <c r="L1017" s="73"/>
      <c r="M1017" s="73"/>
      <c r="N1017" s="73"/>
    </row>
    <row r="1018">
      <c r="A1018" s="73"/>
      <c r="B1018" s="73"/>
      <c r="C1018" s="73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</row>
    <row r="1019">
      <c r="A1019" s="73"/>
      <c r="B1019" s="73"/>
      <c r="C1019" s="73"/>
      <c r="D1019" s="73"/>
      <c r="E1019" s="73"/>
      <c r="F1019" s="73"/>
      <c r="G1019" s="73"/>
      <c r="H1019" s="73"/>
      <c r="I1019" s="73"/>
      <c r="J1019" s="73"/>
      <c r="K1019" s="73"/>
      <c r="L1019" s="73"/>
      <c r="M1019" s="73"/>
      <c r="N1019" s="73"/>
    </row>
    <row r="1020">
      <c r="A1020" s="73"/>
      <c r="B1020" s="73"/>
      <c r="C1020" s="73"/>
      <c r="D1020" s="73"/>
      <c r="E1020" s="73"/>
      <c r="F1020" s="73"/>
      <c r="G1020" s="73"/>
      <c r="H1020" s="73"/>
      <c r="I1020" s="73"/>
      <c r="J1020" s="73"/>
      <c r="K1020" s="73"/>
      <c r="L1020" s="73"/>
      <c r="M1020" s="73"/>
      <c r="N1020" s="73"/>
    </row>
    <row r="1021">
      <c r="A1021" s="73"/>
      <c r="B1021" s="73"/>
      <c r="C1021" s="73"/>
      <c r="D1021" s="73"/>
      <c r="E1021" s="73"/>
      <c r="F1021" s="73"/>
      <c r="G1021" s="73"/>
      <c r="H1021" s="73"/>
      <c r="I1021" s="73"/>
      <c r="J1021" s="73"/>
      <c r="K1021" s="73"/>
      <c r="L1021" s="73"/>
      <c r="M1021" s="73"/>
      <c r="N1021" s="73"/>
    </row>
    <row r="1022">
      <c r="A1022" s="73"/>
      <c r="B1022" s="73"/>
      <c r="C1022" s="73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</row>
    <row r="1023">
      <c r="A1023" s="73"/>
      <c r="B1023" s="73"/>
      <c r="C1023" s="73"/>
      <c r="D1023" s="73"/>
      <c r="E1023" s="73"/>
      <c r="F1023" s="73"/>
      <c r="G1023" s="73"/>
      <c r="H1023" s="73"/>
      <c r="I1023" s="73"/>
      <c r="J1023" s="73"/>
      <c r="K1023" s="73"/>
      <c r="L1023" s="73"/>
      <c r="M1023" s="73"/>
      <c r="N1023" s="73"/>
    </row>
    <row r="1024">
      <c r="A1024" s="73"/>
      <c r="B1024" s="73"/>
      <c r="C1024" s="73"/>
      <c r="D1024" s="73"/>
      <c r="E1024" s="73"/>
      <c r="F1024" s="73"/>
      <c r="G1024" s="73"/>
      <c r="H1024" s="73"/>
      <c r="I1024" s="73"/>
      <c r="J1024" s="73"/>
      <c r="K1024" s="73"/>
      <c r="L1024" s="73"/>
      <c r="M1024" s="73"/>
      <c r="N1024" s="73"/>
    </row>
    <row r="1025">
      <c r="A1025" s="73"/>
      <c r="B1025" s="73"/>
      <c r="C1025" s="73"/>
      <c r="D1025" s="73"/>
      <c r="E1025" s="73"/>
      <c r="F1025" s="73"/>
      <c r="G1025" s="73"/>
      <c r="H1025" s="73"/>
      <c r="I1025" s="73"/>
      <c r="J1025" s="73"/>
      <c r="K1025" s="73"/>
      <c r="L1025" s="73"/>
      <c r="M1025" s="73"/>
      <c r="N1025" s="73"/>
    </row>
    <row r="1026">
      <c r="A1026" s="73"/>
      <c r="B1026" s="73"/>
      <c r="C1026" s="73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</row>
    <row r="1027">
      <c r="A1027" s="73"/>
      <c r="B1027" s="73"/>
      <c r="C1027" s="73"/>
      <c r="D1027" s="73"/>
      <c r="E1027" s="73"/>
      <c r="F1027" s="73"/>
      <c r="G1027" s="73"/>
      <c r="H1027" s="73"/>
      <c r="I1027" s="73"/>
      <c r="J1027" s="73"/>
      <c r="K1027" s="73"/>
      <c r="L1027" s="73"/>
      <c r="M1027" s="73"/>
      <c r="N1027" s="73"/>
    </row>
    <row r="1028">
      <c r="A1028" s="73"/>
      <c r="B1028" s="73"/>
      <c r="C1028" s="73"/>
      <c r="D1028" s="73"/>
      <c r="E1028" s="73"/>
      <c r="F1028" s="73"/>
      <c r="G1028" s="73"/>
      <c r="H1028" s="73"/>
      <c r="I1028" s="73"/>
      <c r="J1028" s="73"/>
      <c r="K1028" s="73"/>
      <c r="L1028" s="73"/>
      <c r="M1028" s="73"/>
      <c r="N1028" s="73"/>
    </row>
    <row r="1029">
      <c r="A1029" s="73"/>
      <c r="B1029" s="73"/>
      <c r="C1029" s="73"/>
      <c r="D1029" s="73"/>
      <c r="E1029" s="73"/>
      <c r="F1029" s="73"/>
      <c r="G1029" s="73"/>
      <c r="H1029" s="73"/>
      <c r="I1029" s="73"/>
      <c r="J1029" s="73"/>
      <c r="K1029" s="73"/>
      <c r="L1029" s="73"/>
      <c r="M1029" s="73"/>
      <c r="N1029" s="73"/>
    </row>
    <row r="1030">
      <c r="A1030" s="73"/>
      <c r="B1030" s="73"/>
      <c r="C1030" s="73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</row>
    <row r="1031">
      <c r="A1031" s="73"/>
      <c r="B1031" s="73"/>
      <c r="C1031" s="73"/>
      <c r="D1031" s="73"/>
      <c r="E1031" s="73"/>
      <c r="F1031" s="73"/>
      <c r="G1031" s="73"/>
      <c r="H1031" s="73"/>
      <c r="I1031" s="73"/>
      <c r="J1031" s="73"/>
      <c r="K1031" s="73"/>
      <c r="L1031" s="73"/>
      <c r="M1031" s="73"/>
      <c r="N1031" s="73"/>
    </row>
    <row r="1032">
      <c r="A1032" s="73"/>
      <c r="B1032" s="73"/>
      <c r="C1032" s="73"/>
      <c r="D1032" s="73"/>
      <c r="E1032" s="73"/>
      <c r="F1032" s="73"/>
      <c r="G1032" s="73"/>
      <c r="H1032" s="73"/>
      <c r="I1032" s="73"/>
      <c r="J1032" s="73"/>
      <c r="K1032" s="73"/>
      <c r="L1032" s="73"/>
      <c r="M1032" s="73"/>
      <c r="N1032" s="73"/>
    </row>
    <row r="1033">
      <c r="A1033" s="73"/>
      <c r="B1033" s="73"/>
      <c r="C1033" s="73"/>
      <c r="D1033" s="73"/>
      <c r="E1033" s="73"/>
      <c r="F1033" s="73"/>
      <c r="G1033" s="73"/>
      <c r="H1033" s="73"/>
      <c r="I1033" s="73"/>
      <c r="J1033" s="73"/>
      <c r="K1033" s="73"/>
      <c r="L1033" s="73"/>
      <c r="M1033" s="73"/>
      <c r="N1033" s="73"/>
    </row>
    <row r="1034">
      <c r="A1034" s="73"/>
      <c r="B1034" s="73"/>
      <c r="C1034" s="73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</row>
    <row r="1035">
      <c r="A1035" s="73"/>
      <c r="B1035" s="73"/>
      <c r="C1035" s="73"/>
      <c r="D1035" s="73"/>
      <c r="E1035" s="73"/>
      <c r="F1035" s="73"/>
      <c r="G1035" s="73"/>
      <c r="H1035" s="73"/>
      <c r="I1035" s="73"/>
      <c r="J1035" s="73"/>
      <c r="K1035" s="73"/>
      <c r="L1035" s="73"/>
      <c r="M1035" s="73"/>
      <c r="N1035" s="73"/>
    </row>
    <row r="1036">
      <c r="A1036" s="73"/>
      <c r="B1036" s="73"/>
      <c r="C1036" s="73"/>
      <c r="D1036" s="73"/>
      <c r="E1036" s="73"/>
      <c r="F1036" s="73"/>
      <c r="G1036" s="73"/>
      <c r="H1036" s="73"/>
      <c r="I1036" s="73"/>
      <c r="J1036" s="73"/>
      <c r="K1036" s="73"/>
      <c r="L1036" s="73"/>
      <c r="M1036" s="73"/>
      <c r="N1036" s="73"/>
    </row>
    <row r="1037">
      <c r="A1037" s="73"/>
      <c r="B1037" s="73"/>
      <c r="C1037" s="73"/>
      <c r="D1037" s="73"/>
      <c r="E1037" s="73"/>
      <c r="F1037" s="73"/>
      <c r="G1037" s="73"/>
      <c r="H1037" s="73"/>
      <c r="I1037" s="73"/>
      <c r="J1037" s="73"/>
      <c r="K1037" s="73"/>
      <c r="L1037" s="73"/>
      <c r="M1037" s="73"/>
      <c r="N1037" s="73"/>
    </row>
    <row r="1038">
      <c r="A1038" s="73"/>
      <c r="B1038" s="73"/>
      <c r="C1038" s="73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</row>
    <row r="1039">
      <c r="A1039" s="73"/>
      <c r="B1039" s="73"/>
      <c r="C1039" s="73"/>
      <c r="D1039" s="73"/>
      <c r="E1039" s="73"/>
      <c r="F1039" s="73"/>
      <c r="G1039" s="73"/>
      <c r="H1039" s="73"/>
      <c r="I1039" s="73"/>
      <c r="J1039" s="73"/>
      <c r="K1039" s="73"/>
      <c r="L1039" s="73"/>
      <c r="M1039" s="73"/>
      <c r="N1039" s="73"/>
    </row>
    <row r="1040">
      <c r="A1040" s="73"/>
      <c r="B1040" s="73"/>
      <c r="C1040" s="73"/>
      <c r="D1040" s="73"/>
      <c r="E1040" s="73"/>
      <c r="F1040" s="73"/>
      <c r="G1040" s="73"/>
      <c r="H1040" s="73"/>
      <c r="I1040" s="73"/>
      <c r="J1040" s="73"/>
      <c r="K1040" s="73"/>
      <c r="L1040" s="73"/>
      <c r="M1040" s="73"/>
      <c r="N1040" s="73"/>
    </row>
    <row r="1041">
      <c r="A1041" s="73"/>
      <c r="B1041" s="73"/>
      <c r="C1041" s="73"/>
      <c r="D1041" s="73"/>
      <c r="E1041" s="73"/>
      <c r="F1041" s="73"/>
      <c r="G1041" s="73"/>
      <c r="H1041" s="73"/>
      <c r="I1041" s="73"/>
      <c r="J1041" s="73"/>
      <c r="K1041" s="73"/>
      <c r="L1041" s="73"/>
      <c r="M1041" s="73"/>
      <c r="N1041" s="73"/>
    </row>
    <row r="1042">
      <c r="A1042" s="73"/>
      <c r="B1042" s="73"/>
      <c r="C1042" s="73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</row>
    <row r="1043">
      <c r="A1043" s="73"/>
      <c r="B1043" s="73"/>
      <c r="C1043" s="73"/>
      <c r="D1043" s="73"/>
      <c r="E1043" s="73"/>
      <c r="F1043" s="73"/>
      <c r="G1043" s="73"/>
      <c r="H1043" s="73"/>
      <c r="I1043" s="73"/>
      <c r="J1043" s="73"/>
      <c r="K1043" s="73"/>
      <c r="L1043" s="73"/>
      <c r="M1043" s="73"/>
      <c r="N1043" s="73"/>
    </row>
    <row r="1044">
      <c r="A1044" s="73"/>
      <c r="B1044" s="73"/>
      <c r="C1044" s="73"/>
      <c r="D1044" s="73"/>
      <c r="E1044" s="73"/>
      <c r="F1044" s="73"/>
      <c r="G1044" s="73"/>
      <c r="H1044" s="73"/>
      <c r="I1044" s="73"/>
      <c r="J1044" s="73"/>
      <c r="K1044" s="73"/>
      <c r="L1044" s="73"/>
      <c r="M1044" s="73"/>
      <c r="N1044" s="73"/>
    </row>
    <row r="1045">
      <c r="A1045" s="73"/>
      <c r="B1045" s="73"/>
      <c r="C1045" s="73"/>
      <c r="D1045" s="73"/>
      <c r="E1045" s="73"/>
      <c r="F1045" s="73"/>
      <c r="G1045" s="73"/>
      <c r="H1045" s="73"/>
      <c r="I1045" s="73"/>
      <c r="J1045" s="73"/>
      <c r="K1045" s="73"/>
      <c r="L1045" s="73"/>
      <c r="M1045" s="73"/>
      <c r="N1045" s="73"/>
    </row>
    <row r="1046">
      <c r="A1046" s="73"/>
      <c r="B1046" s="73"/>
      <c r="C1046" s="73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</row>
    <row r="1047">
      <c r="A1047" s="73"/>
      <c r="B1047" s="73"/>
      <c r="C1047" s="73"/>
      <c r="D1047" s="73"/>
      <c r="E1047" s="73"/>
      <c r="F1047" s="73"/>
      <c r="G1047" s="73"/>
      <c r="H1047" s="73"/>
      <c r="I1047" s="73"/>
      <c r="J1047" s="73"/>
      <c r="K1047" s="73"/>
      <c r="L1047" s="73"/>
      <c r="M1047" s="73"/>
      <c r="N1047" s="73"/>
    </row>
    <row r="1048">
      <c r="A1048" s="73"/>
      <c r="B1048" s="73"/>
      <c r="C1048" s="73"/>
      <c r="D1048" s="73"/>
      <c r="E1048" s="73"/>
      <c r="F1048" s="73"/>
      <c r="G1048" s="73"/>
      <c r="H1048" s="73"/>
      <c r="I1048" s="73"/>
      <c r="J1048" s="73"/>
      <c r="K1048" s="73"/>
      <c r="L1048" s="73"/>
      <c r="M1048" s="73"/>
      <c r="N1048" s="73"/>
    </row>
    <row r="1049">
      <c r="A1049" s="73"/>
      <c r="B1049" s="73"/>
      <c r="C1049" s="73"/>
      <c r="D1049" s="73"/>
      <c r="E1049" s="73"/>
      <c r="F1049" s="73"/>
      <c r="G1049" s="73"/>
      <c r="H1049" s="73"/>
      <c r="I1049" s="73"/>
      <c r="J1049" s="73"/>
      <c r="K1049" s="73"/>
      <c r="L1049" s="73"/>
      <c r="M1049" s="73"/>
      <c r="N1049" s="73"/>
    </row>
    <row r="1050">
      <c r="A1050" s="73"/>
      <c r="B1050" s="73"/>
      <c r="C1050" s="73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</row>
    <row r="1051">
      <c r="A1051" s="73"/>
      <c r="B1051" s="73"/>
      <c r="C1051" s="73"/>
      <c r="D1051" s="73"/>
      <c r="E1051" s="73"/>
      <c r="F1051" s="73"/>
      <c r="G1051" s="73"/>
      <c r="H1051" s="73"/>
      <c r="I1051" s="73"/>
      <c r="J1051" s="73"/>
      <c r="K1051" s="73"/>
      <c r="L1051" s="73"/>
      <c r="M1051" s="73"/>
      <c r="N1051" s="73"/>
    </row>
    <row r="1052">
      <c r="A1052" s="73"/>
      <c r="B1052" s="73"/>
      <c r="C1052" s="73"/>
      <c r="D1052" s="73"/>
      <c r="E1052" s="73"/>
      <c r="F1052" s="73"/>
      <c r="G1052" s="73"/>
      <c r="H1052" s="73"/>
      <c r="I1052" s="73"/>
      <c r="J1052" s="73"/>
      <c r="K1052" s="73"/>
      <c r="L1052" s="73"/>
      <c r="M1052" s="73"/>
      <c r="N1052" s="73"/>
    </row>
    <row r="1053">
      <c r="A1053" s="73"/>
      <c r="B1053" s="73"/>
      <c r="C1053" s="73"/>
      <c r="D1053" s="73"/>
      <c r="E1053" s="73"/>
      <c r="F1053" s="73"/>
      <c r="G1053" s="73"/>
      <c r="H1053" s="73"/>
      <c r="I1053" s="73"/>
      <c r="J1053" s="73"/>
      <c r="K1053" s="73"/>
      <c r="L1053" s="73"/>
      <c r="M1053" s="73"/>
      <c r="N1053" s="73"/>
    </row>
    <row r="1054">
      <c r="A1054" s="73"/>
      <c r="B1054" s="73"/>
      <c r="C1054" s="73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</row>
    <row r="1055">
      <c r="A1055" s="73"/>
      <c r="B1055" s="73"/>
      <c r="C1055" s="73"/>
      <c r="D1055" s="73"/>
      <c r="E1055" s="73"/>
      <c r="F1055" s="73"/>
      <c r="G1055" s="73"/>
      <c r="H1055" s="73"/>
      <c r="I1055" s="73"/>
      <c r="J1055" s="73"/>
      <c r="K1055" s="73"/>
      <c r="L1055" s="73"/>
      <c r="M1055" s="73"/>
      <c r="N1055" s="73"/>
    </row>
    <row r="1056">
      <c r="A1056" s="73"/>
      <c r="B1056" s="73"/>
      <c r="C1056" s="73"/>
      <c r="D1056" s="73"/>
      <c r="E1056" s="73"/>
      <c r="F1056" s="73"/>
      <c r="G1056" s="73"/>
      <c r="H1056" s="73"/>
      <c r="I1056" s="73"/>
      <c r="J1056" s="73"/>
      <c r="K1056" s="73"/>
      <c r="L1056" s="73"/>
      <c r="M1056" s="73"/>
      <c r="N1056" s="73"/>
    </row>
    <row r="1057">
      <c r="A1057" s="73"/>
      <c r="B1057" s="73"/>
      <c r="C1057" s="73"/>
      <c r="D1057" s="73"/>
      <c r="E1057" s="73"/>
      <c r="F1057" s="73"/>
      <c r="G1057" s="73"/>
      <c r="H1057" s="73"/>
      <c r="I1057" s="73"/>
      <c r="J1057" s="73"/>
      <c r="K1057" s="73"/>
      <c r="L1057" s="73"/>
      <c r="M1057" s="73"/>
      <c r="N1057" s="73"/>
    </row>
    <row r="1058">
      <c r="A1058" s="73"/>
      <c r="B1058" s="73"/>
      <c r="C1058" s="73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</row>
    <row r="1059">
      <c r="A1059" s="73"/>
      <c r="B1059" s="73"/>
      <c r="C1059" s="73"/>
      <c r="D1059" s="73"/>
      <c r="E1059" s="73"/>
      <c r="F1059" s="73"/>
      <c r="G1059" s="73"/>
      <c r="H1059" s="73"/>
      <c r="I1059" s="73"/>
      <c r="J1059" s="73"/>
      <c r="K1059" s="73"/>
      <c r="L1059" s="73"/>
      <c r="M1059" s="73"/>
      <c r="N1059" s="73"/>
    </row>
    <row r="1060">
      <c r="A1060" s="73"/>
      <c r="B1060" s="73"/>
      <c r="C1060" s="73"/>
      <c r="D1060" s="73"/>
      <c r="E1060" s="73"/>
      <c r="F1060" s="73"/>
      <c r="G1060" s="73"/>
      <c r="H1060" s="73"/>
      <c r="I1060" s="73"/>
      <c r="J1060" s="73"/>
      <c r="K1060" s="73"/>
      <c r="L1060" s="73"/>
      <c r="M1060" s="73"/>
      <c r="N1060" s="73"/>
    </row>
    <row r="1061">
      <c r="A1061" s="73"/>
      <c r="B1061" s="73"/>
      <c r="C1061" s="73"/>
      <c r="D1061" s="73"/>
      <c r="E1061" s="73"/>
      <c r="F1061" s="73"/>
      <c r="G1061" s="73"/>
      <c r="H1061" s="73"/>
      <c r="I1061" s="73"/>
      <c r="J1061" s="73"/>
      <c r="K1061" s="73"/>
      <c r="L1061" s="73"/>
      <c r="M1061" s="73"/>
      <c r="N1061" s="73"/>
    </row>
    <row r="1062">
      <c r="A1062" s="73"/>
      <c r="B1062" s="73"/>
      <c r="C1062" s="73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</row>
    <row r="1063">
      <c r="A1063" s="73"/>
      <c r="B1063" s="73"/>
      <c r="C1063" s="73"/>
      <c r="D1063" s="73"/>
      <c r="E1063" s="73"/>
      <c r="F1063" s="73"/>
      <c r="G1063" s="73"/>
      <c r="H1063" s="73"/>
      <c r="I1063" s="73"/>
      <c r="J1063" s="73"/>
      <c r="K1063" s="73"/>
      <c r="L1063" s="73"/>
      <c r="M1063" s="73"/>
      <c r="N1063" s="73"/>
    </row>
    <row r="1064">
      <c r="A1064" s="73"/>
      <c r="B1064" s="73"/>
      <c r="C1064" s="73"/>
      <c r="D1064" s="73"/>
      <c r="E1064" s="73"/>
      <c r="F1064" s="73"/>
      <c r="G1064" s="73"/>
      <c r="H1064" s="73"/>
      <c r="I1064" s="73"/>
      <c r="J1064" s="73"/>
      <c r="K1064" s="73"/>
      <c r="L1064" s="73"/>
      <c r="M1064" s="73"/>
      <c r="N1064" s="73"/>
    </row>
    <row r="1065">
      <c r="A1065" s="73"/>
      <c r="B1065" s="73"/>
      <c r="C1065" s="73"/>
      <c r="D1065" s="73"/>
      <c r="E1065" s="73"/>
      <c r="F1065" s="73"/>
      <c r="G1065" s="73"/>
      <c r="H1065" s="73"/>
      <c r="I1065" s="73"/>
      <c r="J1065" s="73"/>
      <c r="K1065" s="73"/>
      <c r="L1065" s="73"/>
      <c r="M1065" s="73"/>
      <c r="N1065" s="73"/>
    </row>
    <row r="1066">
      <c r="A1066" s="73"/>
      <c r="B1066" s="73"/>
      <c r="C1066" s="73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</row>
    <row r="1067">
      <c r="A1067" s="73"/>
      <c r="B1067" s="73"/>
      <c r="C1067" s="73"/>
      <c r="D1067" s="73"/>
      <c r="E1067" s="73"/>
      <c r="F1067" s="73"/>
      <c r="G1067" s="73"/>
      <c r="H1067" s="73"/>
      <c r="I1067" s="73"/>
      <c r="J1067" s="73"/>
      <c r="K1067" s="73"/>
      <c r="L1067" s="73"/>
      <c r="M1067" s="73"/>
      <c r="N1067" s="73"/>
    </row>
    <row r="1068">
      <c r="A1068" s="73"/>
      <c r="B1068" s="73"/>
      <c r="C1068" s="73"/>
      <c r="D1068" s="73"/>
      <c r="E1068" s="73"/>
      <c r="F1068" s="73"/>
      <c r="G1068" s="73"/>
      <c r="H1068" s="73"/>
      <c r="I1068" s="73"/>
      <c r="J1068" s="73"/>
      <c r="K1068" s="73"/>
      <c r="L1068" s="73"/>
      <c r="M1068" s="73"/>
      <c r="N1068" s="73"/>
    </row>
    <row r="1069">
      <c r="A1069" s="73"/>
      <c r="B1069" s="73"/>
      <c r="C1069" s="73"/>
      <c r="D1069" s="73"/>
      <c r="E1069" s="73"/>
      <c r="F1069" s="73"/>
      <c r="G1069" s="73"/>
      <c r="H1069" s="73"/>
      <c r="I1069" s="73"/>
      <c r="J1069" s="73"/>
      <c r="K1069" s="73"/>
      <c r="L1069" s="73"/>
      <c r="M1069" s="73"/>
      <c r="N1069" s="73"/>
    </row>
    <row r="1070">
      <c r="A1070" s="73"/>
      <c r="B1070" s="73"/>
      <c r="C1070" s="73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</row>
    <row r="1071">
      <c r="A1071" s="73"/>
      <c r="B1071" s="73"/>
      <c r="C1071" s="73"/>
      <c r="D1071" s="73"/>
      <c r="E1071" s="73"/>
      <c r="F1071" s="73"/>
      <c r="G1071" s="73"/>
      <c r="H1071" s="73"/>
      <c r="I1071" s="73"/>
      <c r="J1071" s="73"/>
      <c r="K1071" s="73"/>
      <c r="L1071" s="73"/>
      <c r="M1071" s="73"/>
      <c r="N1071" s="73"/>
    </row>
    <row r="1072">
      <c r="A1072" s="73"/>
      <c r="B1072" s="73"/>
      <c r="C1072" s="73"/>
      <c r="D1072" s="73"/>
      <c r="E1072" s="73"/>
      <c r="F1072" s="73"/>
      <c r="G1072" s="73"/>
      <c r="H1072" s="73"/>
      <c r="I1072" s="73"/>
      <c r="J1072" s="73"/>
      <c r="K1072" s="73"/>
      <c r="L1072" s="73"/>
      <c r="M1072" s="73"/>
      <c r="N1072" s="73"/>
    </row>
    <row r="1073">
      <c r="A1073" s="73"/>
      <c r="B1073" s="73"/>
      <c r="C1073" s="73"/>
      <c r="D1073" s="73"/>
      <c r="E1073" s="73"/>
      <c r="F1073" s="73"/>
      <c r="G1073" s="73"/>
      <c r="H1073" s="73"/>
      <c r="I1073" s="73"/>
      <c r="J1073" s="73"/>
      <c r="K1073" s="73"/>
      <c r="L1073" s="73"/>
      <c r="M1073" s="73"/>
      <c r="N1073" s="73"/>
    </row>
    <row r="1074">
      <c r="A1074" s="73"/>
      <c r="B1074" s="73"/>
      <c r="C1074" s="73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</row>
    <row r="1075">
      <c r="A1075" s="73"/>
      <c r="B1075" s="73"/>
      <c r="C1075" s="73"/>
      <c r="D1075" s="73"/>
      <c r="E1075" s="73"/>
      <c r="F1075" s="73"/>
      <c r="G1075" s="73"/>
      <c r="H1075" s="73"/>
      <c r="I1075" s="73"/>
      <c r="J1075" s="73"/>
      <c r="K1075" s="73"/>
      <c r="L1075" s="73"/>
      <c r="M1075" s="73"/>
      <c r="N1075" s="73"/>
    </row>
  </sheetData>
  <mergeCells count="26">
    <mergeCell ref="B5:F6"/>
    <mergeCell ref="E11:G11"/>
    <mergeCell ref="E13:F13"/>
    <mergeCell ref="E15:G15"/>
    <mergeCell ref="E17:F17"/>
    <mergeCell ref="E19:G19"/>
    <mergeCell ref="J19:M19"/>
    <mergeCell ref="E21:F21"/>
    <mergeCell ref="E23:G23"/>
    <mergeCell ref="E25:G25"/>
    <mergeCell ref="H27:I27"/>
    <mergeCell ref="B28:C29"/>
    <mergeCell ref="H28:I28"/>
    <mergeCell ref="H29:I29"/>
    <mergeCell ref="H37:I37"/>
    <mergeCell ref="H38:I38"/>
    <mergeCell ref="H39:I39"/>
    <mergeCell ref="H40:I40"/>
    <mergeCell ref="H41:I41"/>
    <mergeCell ref="H30:I30"/>
    <mergeCell ref="H31:I31"/>
    <mergeCell ref="H32:I32"/>
    <mergeCell ref="H33:I33"/>
    <mergeCell ref="H34:I34"/>
    <mergeCell ref="H35:I35"/>
    <mergeCell ref="H36:I36"/>
  </mergeCells>
  <dataValidations>
    <dataValidation type="list" allowBlank="1" showInputMessage="1" showErrorMessage="1" prompt="Clique e insira um valor de intervalo Página1!I9:I11" sqref="E17">
      <formula1>$J$16:$J$18</formula1>
    </dataValidation>
    <dataValidation type="list" allowBlank="1" showInputMessage="1" showErrorMessage="1" prompt="Clique e insira um valor de intervalo Página1!I9:I11" sqref="E13">
      <formula1>$J$12:$J$14</formula1>
    </dataValidation>
    <dataValidation type="list" allowBlank="1" showInputMessage="1" showErrorMessage="1" prompt="Clique e insira um valor de intervalo Página1!I9:I11" sqref="E21">
      <formula1>$J$20:$J$22</formula1>
    </dataValidation>
    <dataValidation type="list" allowBlank="1" showInputMessage="1" prompt="Clique e insira um valor de intervalo" sqref="G28:G41">
      <formula1>$L$28:$L$32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3" width="18.88"/>
    <col customWidth="1" min="4" max="4" width="31.38"/>
    <col customWidth="1" min="5" max="5" width="18.88"/>
    <col customWidth="1" min="6" max="7" width="12.63"/>
    <col customWidth="1" min="8" max="8" width="31.38"/>
    <col customWidth="1" min="9" max="10" width="5.13"/>
  </cols>
  <sheetData>
    <row r="1" ht="11.25" customHeight="1">
      <c r="A1" s="68"/>
      <c r="B1" s="68"/>
      <c r="C1" s="68"/>
      <c r="D1" s="68"/>
      <c r="E1" s="68"/>
      <c r="F1" s="81"/>
      <c r="G1" s="68"/>
      <c r="H1" s="68"/>
      <c r="I1" s="68"/>
      <c r="J1" s="68"/>
    </row>
    <row r="2">
      <c r="A2" s="68"/>
      <c r="B2" s="69" t="s">
        <v>56</v>
      </c>
      <c r="C2" s="69"/>
      <c r="D2" s="73"/>
      <c r="E2" s="73"/>
      <c r="F2" s="86"/>
      <c r="G2" s="68"/>
      <c r="H2" s="68"/>
      <c r="I2" s="68"/>
      <c r="J2" s="68"/>
    </row>
    <row r="3">
      <c r="A3" s="68"/>
      <c r="B3" s="70" t="s">
        <v>57</v>
      </c>
      <c r="C3" s="70"/>
      <c r="D3" s="73"/>
      <c r="E3" s="73"/>
      <c r="F3" s="86"/>
      <c r="G3" s="68"/>
      <c r="H3" s="68"/>
      <c r="I3" s="68"/>
      <c r="J3" s="68"/>
    </row>
    <row r="4">
      <c r="A4" s="68"/>
      <c r="B4" s="71" t="s">
        <v>415</v>
      </c>
      <c r="C4" s="71"/>
      <c r="D4" s="73"/>
      <c r="E4" s="73"/>
      <c r="F4" s="86"/>
      <c r="G4" s="68"/>
      <c r="H4" s="68"/>
      <c r="I4" s="68"/>
      <c r="J4" s="68"/>
    </row>
    <row r="5">
      <c r="A5" s="68"/>
      <c r="B5" s="117" t="s">
        <v>59</v>
      </c>
      <c r="E5" s="117"/>
      <c r="F5" s="117"/>
      <c r="G5" s="82"/>
      <c r="H5" s="68"/>
      <c r="I5" s="68"/>
      <c r="J5" s="68"/>
    </row>
    <row r="6">
      <c r="A6" s="68"/>
      <c r="E6" s="117"/>
      <c r="F6" s="117"/>
      <c r="G6" s="82"/>
      <c r="H6" s="68"/>
      <c r="I6" s="68"/>
      <c r="J6" s="68"/>
    </row>
    <row r="7">
      <c r="A7" s="68"/>
      <c r="B7" s="73"/>
      <c r="C7" s="73"/>
      <c r="D7" s="73"/>
      <c r="E7" s="73"/>
      <c r="F7" s="86"/>
      <c r="G7" s="82"/>
      <c r="H7" s="68"/>
      <c r="I7" s="68"/>
      <c r="J7" s="68"/>
    </row>
    <row r="8">
      <c r="A8" s="68"/>
      <c r="B8" s="69" t="s">
        <v>60</v>
      </c>
      <c r="C8" s="69"/>
      <c r="D8" s="73"/>
      <c r="E8" s="233" t="s">
        <v>416</v>
      </c>
      <c r="F8" s="86"/>
      <c r="G8" s="233" t="s">
        <v>417</v>
      </c>
      <c r="H8" s="68"/>
      <c r="I8" s="68"/>
      <c r="J8" s="68"/>
    </row>
    <row r="9">
      <c r="A9" s="68"/>
      <c r="B9" s="70" t="s">
        <v>418</v>
      </c>
      <c r="C9" s="70"/>
      <c r="D9" s="73"/>
      <c r="E9" s="234"/>
      <c r="F9" s="86"/>
      <c r="G9" s="234"/>
      <c r="H9" s="68"/>
      <c r="I9" s="68"/>
      <c r="J9" s="68"/>
    </row>
    <row r="10">
      <c r="A10" s="68"/>
      <c r="B10" s="68"/>
      <c r="C10" s="68"/>
      <c r="D10" s="68"/>
      <c r="E10" s="235"/>
      <c r="F10" s="81"/>
      <c r="G10" s="235"/>
      <c r="H10" s="68"/>
      <c r="I10" s="68"/>
      <c r="J10" s="68"/>
    </row>
    <row r="11">
      <c r="A11" s="68"/>
      <c r="B11" s="74" t="s">
        <v>62</v>
      </c>
      <c r="C11" s="74" t="s">
        <v>74</v>
      </c>
      <c r="D11" s="74" t="s">
        <v>419</v>
      </c>
      <c r="E11" s="74" t="s">
        <v>420</v>
      </c>
      <c r="F11" s="183" t="s">
        <v>421</v>
      </c>
      <c r="G11" s="183" t="s">
        <v>422</v>
      </c>
      <c r="H11" s="74" t="s">
        <v>423</v>
      </c>
      <c r="I11" s="76"/>
      <c r="J11" s="68"/>
    </row>
    <row r="12">
      <c r="A12" s="68"/>
      <c r="B12" s="236" t="s">
        <v>66</v>
      </c>
      <c r="C12" s="237" t="s">
        <v>86</v>
      </c>
      <c r="D12" s="237" t="s">
        <v>424</v>
      </c>
      <c r="E12" s="237" t="s">
        <v>425</v>
      </c>
      <c r="F12" s="238">
        <v>45294.0</v>
      </c>
      <c r="G12" s="238">
        <v>45322.0</v>
      </c>
      <c r="H12" s="100"/>
      <c r="I12" s="68"/>
      <c r="J12" s="68"/>
    </row>
    <row r="13">
      <c r="A13" s="68"/>
      <c r="B13" s="239" t="s">
        <v>66</v>
      </c>
      <c r="C13" s="240" t="s">
        <v>100</v>
      </c>
      <c r="D13" s="240" t="s">
        <v>426</v>
      </c>
      <c r="E13" s="240" t="s">
        <v>425</v>
      </c>
      <c r="F13" s="241">
        <v>45323.0</v>
      </c>
      <c r="G13" s="241">
        <v>45351.0</v>
      </c>
      <c r="H13" s="100"/>
      <c r="I13" s="68"/>
      <c r="J13" s="68"/>
    </row>
    <row r="14">
      <c r="A14" s="68"/>
      <c r="B14" s="239" t="s">
        <v>66</v>
      </c>
      <c r="C14" s="240" t="s">
        <v>102</v>
      </c>
      <c r="D14" s="240" t="s">
        <v>427</v>
      </c>
      <c r="E14" s="240" t="s">
        <v>425</v>
      </c>
      <c r="F14" s="241">
        <v>45324.0</v>
      </c>
      <c r="G14" s="241">
        <v>45345.0</v>
      </c>
      <c r="H14" s="100"/>
      <c r="I14" s="68"/>
      <c r="J14" s="68"/>
    </row>
    <row r="15">
      <c r="A15" s="68"/>
      <c r="B15" s="239" t="s">
        <v>66</v>
      </c>
      <c r="C15" s="240" t="s">
        <v>104</v>
      </c>
      <c r="D15" s="240" t="s">
        <v>427</v>
      </c>
      <c r="E15" s="240" t="s">
        <v>425</v>
      </c>
      <c r="F15" s="241">
        <v>45352.0</v>
      </c>
      <c r="G15" s="241">
        <v>45380.0</v>
      </c>
      <c r="H15" s="100"/>
      <c r="I15" s="68"/>
      <c r="J15" s="68"/>
    </row>
    <row r="16">
      <c r="A16" s="68"/>
      <c r="B16" s="239" t="s">
        <v>66</v>
      </c>
      <c r="C16" s="240" t="s">
        <v>105</v>
      </c>
      <c r="D16" s="240" t="s">
        <v>428</v>
      </c>
      <c r="E16" s="240" t="s">
        <v>425</v>
      </c>
      <c r="F16" s="241">
        <v>45383.0</v>
      </c>
      <c r="G16" s="241">
        <v>45504.0</v>
      </c>
      <c r="H16" s="100"/>
      <c r="I16" s="68"/>
      <c r="J16" s="68"/>
    </row>
    <row r="17">
      <c r="A17" s="68"/>
      <c r="B17" s="239" t="s">
        <v>66</v>
      </c>
      <c r="C17" s="240" t="s">
        <v>106</v>
      </c>
      <c r="D17" s="240" t="s">
        <v>429</v>
      </c>
      <c r="E17" s="240" t="s">
        <v>425</v>
      </c>
      <c r="F17" s="241">
        <v>45383.0</v>
      </c>
      <c r="G17" s="241">
        <v>45412.0</v>
      </c>
      <c r="H17" s="100"/>
      <c r="I17" s="68"/>
      <c r="J17" s="68"/>
    </row>
    <row r="18">
      <c r="A18" s="68"/>
      <c r="B18" s="239" t="s">
        <v>66</v>
      </c>
      <c r="C18" s="240" t="s">
        <v>107</v>
      </c>
      <c r="D18" s="240" t="s">
        <v>430</v>
      </c>
      <c r="E18" s="240" t="s">
        <v>425</v>
      </c>
      <c r="F18" s="242">
        <v>45413.0</v>
      </c>
      <c r="G18" s="241">
        <v>45443.0</v>
      </c>
      <c r="H18" s="100"/>
      <c r="I18" s="68"/>
      <c r="J18" s="68"/>
    </row>
    <row r="19">
      <c r="A19" s="68"/>
      <c r="B19" s="239" t="s">
        <v>66</v>
      </c>
      <c r="C19" s="240" t="s">
        <v>108</v>
      </c>
      <c r="D19" s="240" t="s">
        <v>431</v>
      </c>
      <c r="E19" s="240" t="s">
        <v>425</v>
      </c>
      <c r="F19" s="241">
        <v>45474.0</v>
      </c>
      <c r="G19" s="241">
        <v>45534.0</v>
      </c>
      <c r="H19" s="100"/>
      <c r="I19" s="68"/>
      <c r="J19" s="68"/>
    </row>
    <row r="20">
      <c r="A20" s="68"/>
      <c r="B20" s="239" t="s">
        <v>66</v>
      </c>
      <c r="C20" s="240" t="s">
        <v>110</v>
      </c>
      <c r="D20" s="240" t="s">
        <v>432</v>
      </c>
      <c r="E20" s="240" t="s">
        <v>425</v>
      </c>
      <c r="F20" s="241">
        <v>45537.0</v>
      </c>
      <c r="G20" s="241">
        <v>45562.0</v>
      </c>
      <c r="H20" s="100"/>
      <c r="I20" s="68"/>
      <c r="J20" s="68"/>
    </row>
    <row r="21">
      <c r="A21" s="68"/>
      <c r="B21" s="239" t="s">
        <v>66</v>
      </c>
      <c r="C21" s="240" t="s">
        <v>109</v>
      </c>
      <c r="D21" s="240" t="s">
        <v>433</v>
      </c>
      <c r="E21" s="240" t="s">
        <v>425</v>
      </c>
      <c r="F21" s="241">
        <v>45474.0</v>
      </c>
      <c r="G21" s="241">
        <v>45562.0</v>
      </c>
      <c r="H21" s="100"/>
      <c r="I21" s="68"/>
      <c r="J21" s="68"/>
    </row>
    <row r="22">
      <c r="A22" s="68"/>
      <c r="B22" s="239" t="s">
        <v>66</v>
      </c>
      <c r="C22" s="240" t="s">
        <v>111</v>
      </c>
      <c r="D22" s="240" t="s">
        <v>434</v>
      </c>
      <c r="E22" s="240" t="s">
        <v>425</v>
      </c>
      <c r="F22" s="241">
        <v>45568.0</v>
      </c>
      <c r="G22" s="241">
        <v>45716.0</v>
      </c>
      <c r="H22" s="100"/>
      <c r="I22" s="68"/>
      <c r="J22" s="68"/>
    </row>
    <row r="23">
      <c r="A23" s="68"/>
      <c r="B23" s="239" t="s">
        <v>66</v>
      </c>
      <c r="C23" s="240" t="s">
        <v>113</v>
      </c>
      <c r="D23" s="240" t="s">
        <v>435</v>
      </c>
      <c r="E23" s="240" t="s">
        <v>425</v>
      </c>
      <c r="F23" s="241">
        <v>45566.0</v>
      </c>
      <c r="G23" s="241">
        <v>45656.0</v>
      </c>
      <c r="H23" s="100"/>
      <c r="I23" s="68"/>
      <c r="J23" s="68"/>
    </row>
    <row r="24">
      <c r="A24" s="68"/>
      <c r="B24" s="239" t="s">
        <v>66</v>
      </c>
      <c r="C24" s="240" t="s">
        <v>114</v>
      </c>
      <c r="D24" s="240" t="s">
        <v>436</v>
      </c>
      <c r="E24" s="240" t="s">
        <v>425</v>
      </c>
      <c r="F24" s="241">
        <v>45566.0</v>
      </c>
      <c r="G24" s="241">
        <v>45646.0</v>
      </c>
      <c r="H24" s="100"/>
      <c r="I24" s="68"/>
      <c r="J24" s="68"/>
    </row>
    <row r="25">
      <c r="A25" s="68"/>
      <c r="B25" s="239" t="s">
        <v>66</v>
      </c>
      <c r="C25" s="240" t="s">
        <v>115</v>
      </c>
      <c r="D25" s="240" t="s">
        <v>437</v>
      </c>
      <c r="E25" s="240" t="s">
        <v>425</v>
      </c>
      <c r="F25" s="241">
        <v>45566.0</v>
      </c>
      <c r="G25" s="241">
        <v>45639.0</v>
      </c>
      <c r="H25" s="100"/>
      <c r="I25" s="68"/>
      <c r="J25" s="68"/>
    </row>
    <row r="26">
      <c r="A26" s="68"/>
      <c r="B26" s="239" t="s">
        <v>66</v>
      </c>
      <c r="C26" s="240" t="s">
        <v>116</v>
      </c>
      <c r="D26" s="240" t="s">
        <v>438</v>
      </c>
      <c r="E26" s="240" t="s">
        <v>425</v>
      </c>
      <c r="F26" s="241">
        <v>45580.0</v>
      </c>
      <c r="G26" s="241">
        <v>45716.0</v>
      </c>
      <c r="H26" s="100"/>
      <c r="I26" s="68"/>
      <c r="J26" s="68"/>
    </row>
    <row r="27">
      <c r="A27" s="68"/>
      <c r="B27" s="243"/>
      <c r="C27" s="244"/>
      <c r="D27" s="244"/>
      <c r="E27" s="244"/>
      <c r="F27" s="245"/>
      <c r="G27" s="245"/>
      <c r="H27" s="100"/>
      <c r="I27" s="68"/>
      <c r="J27" s="68"/>
    </row>
    <row r="28">
      <c r="A28" s="68"/>
      <c r="B28" s="243"/>
      <c r="C28" s="244"/>
      <c r="D28" s="244"/>
      <c r="E28" s="244"/>
      <c r="F28" s="245"/>
      <c r="G28" s="245"/>
      <c r="H28" s="100"/>
      <c r="I28" s="68"/>
      <c r="J28" s="68"/>
    </row>
  </sheetData>
  <mergeCells count="3">
    <mergeCell ref="B5:D6"/>
    <mergeCell ref="E8:E9"/>
    <mergeCell ref="G8:G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2.63"/>
    <col customWidth="1" min="2" max="2" width="6.38"/>
    <col customWidth="1" min="3" max="3" width="8.88"/>
    <col customWidth="1" min="4" max="4" width="34.75"/>
    <col customWidth="1" min="5" max="5" width="16.5"/>
    <col customWidth="1" min="6" max="6" width="6.38"/>
    <col customWidth="1" min="7" max="7" width="7.25"/>
    <col customWidth="1" min="8" max="8" width="10.13"/>
    <col customWidth="1" min="9" max="9" width="14.38"/>
    <col customWidth="1" min="10" max="10" width="30.38"/>
    <col customWidth="1" min="11" max="12" width="5.13"/>
  </cols>
  <sheetData>
    <row r="1" ht="11.25" customHeight="1">
      <c r="A1" s="68"/>
      <c r="B1" s="68"/>
      <c r="C1" s="68"/>
      <c r="D1" s="68"/>
      <c r="E1" s="68"/>
      <c r="F1" s="81"/>
      <c r="G1" s="81"/>
      <c r="H1" s="82"/>
      <c r="I1" s="68"/>
      <c r="J1" s="68"/>
      <c r="K1" s="68"/>
      <c r="L1" s="68"/>
    </row>
    <row r="2">
      <c r="A2" s="68"/>
      <c r="B2" s="69" t="s">
        <v>56</v>
      </c>
      <c r="C2" s="73"/>
      <c r="D2" s="73"/>
      <c r="E2" s="73"/>
      <c r="F2" s="86"/>
      <c r="G2" s="86"/>
      <c r="H2" s="82"/>
      <c r="I2" s="68"/>
      <c r="J2" s="68"/>
      <c r="K2" s="68"/>
      <c r="L2" s="68"/>
    </row>
    <row r="3">
      <c r="A3" s="68"/>
      <c r="B3" s="70" t="s">
        <v>57</v>
      </c>
      <c r="C3" s="73"/>
      <c r="D3" s="73"/>
      <c r="E3" s="73"/>
      <c r="F3" s="86"/>
      <c r="G3" s="86"/>
      <c r="H3" s="82"/>
      <c r="I3" s="68"/>
      <c r="J3" s="68"/>
      <c r="K3" s="68"/>
      <c r="L3" s="68"/>
    </row>
    <row r="4">
      <c r="A4" s="68"/>
      <c r="B4" s="71" t="s">
        <v>439</v>
      </c>
      <c r="C4" s="73"/>
      <c r="D4" s="73"/>
      <c r="E4" s="73"/>
      <c r="F4" s="86"/>
      <c r="G4" s="86"/>
      <c r="H4" s="82"/>
      <c r="I4" s="68"/>
      <c r="J4" s="68"/>
      <c r="K4" s="68"/>
      <c r="L4" s="68"/>
    </row>
    <row r="5">
      <c r="A5" s="68"/>
      <c r="B5" s="117" t="s">
        <v>59</v>
      </c>
      <c r="E5" s="117"/>
      <c r="F5" s="117"/>
      <c r="G5" s="117"/>
      <c r="H5" s="82"/>
      <c r="I5" s="68"/>
      <c r="J5" s="68"/>
      <c r="K5" s="68"/>
      <c r="L5" s="68"/>
    </row>
    <row r="6">
      <c r="A6" s="68"/>
      <c r="E6" s="117"/>
      <c r="F6" s="117"/>
      <c r="G6" s="117"/>
      <c r="H6" s="82"/>
      <c r="I6" s="88" t="s">
        <v>68</v>
      </c>
      <c r="J6" s="68"/>
      <c r="K6" s="68"/>
      <c r="L6" s="68"/>
    </row>
    <row r="7">
      <c r="A7" s="68"/>
      <c r="B7" s="73"/>
      <c r="C7" s="73"/>
      <c r="D7" s="73"/>
      <c r="E7" s="73"/>
      <c r="F7" s="86"/>
      <c r="G7" s="86"/>
      <c r="H7" s="82"/>
      <c r="I7" s="88" t="s">
        <v>69</v>
      </c>
      <c r="J7" s="68"/>
      <c r="K7" s="68"/>
      <c r="L7" s="68"/>
    </row>
    <row r="8">
      <c r="A8" s="68"/>
      <c r="B8" s="69" t="s">
        <v>60</v>
      </c>
      <c r="C8" s="73"/>
      <c r="D8" s="73"/>
      <c r="E8" s="73"/>
      <c r="F8" s="86"/>
      <c r="G8" s="86"/>
      <c r="H8" s="82"/>
      <c r="I8" s="88" t="s">
        <v>70</v>
      </c>
      <c r="J8" s="68"/>
      <c r="K8" s="68"/>
      <c r="L8" s="68"/>
    </row>
    <row r="9">
      <c r="A9" s="68"/>
      <c r="B9" s="70" t="s">
        <v>71</v>
      </c>
      <c r="C9" s="73"/>
      <c r="D9" s="73"/>
      <c r="E9" s="73"/>
      <c r="F9" s="86"/>
      <c r="G9" s="86"/>
      <c r="H9" s="82"/>
      <c r="I9" s="88" t="s">
        <v>72</v>
      </c>
      <c r="J9" s="68"/>
      <c r="K9" s="68"/>
      <c r="L9" s="68"/>
    </row>
    <row r="10">
      <c r="A10" s="68"/>
      <c r="B10" s="68"/>
      <c r="C10" s="68"/>
      <c r="D10" s="68"/>
      <c r="E10" s="68"/>
      <c r="F10" s="81"/>
      <c r="G10" s="81"/>
      <c r="H10" s="82">
        <f>SUBTOTAL(9,H12:H149)</f>
        <v>5890.29</v>
      </c>
      <c r="I10" s="90"/>
      <c r="J10" s="68"/>
      <c r="K10" s="68"/>
      <c r="L10" s="68"/>
    </row>
    <row r="11">
      <c r="A11" s="68"/>
      <c r="B11" s="74" t="s">
        <v>73</v>
      </c>
      <c r="C11" s="74" t="s">
        <v>62</v>
      </c>
      <c r="D11" s="74" t="s">
        <v>74</v>
      </c>
      <c r="E11" s="74" t="s">
        <v>75</v>
      </c>
      <c r="F11" s="183" t="s">
        <v>76</v>
      </c>
      <c r="G11" s="184" t="s">
        <v>77</v>
      </c>
      <c r="H11" s="246" t="s">
        <v>78</v>
      </c>
      <c r="I11" s="74" t="s">
        <v>79</v>
      </c>
      <c r="J11" s="74" t="s">
        <v>80</v>
      </c>
      <c r="K11" s="76"/>
      <c r="L11" s="68"/>
    </row>
    <row r="12">
      <c r="A12" s="68"/>
      <c r="B12" s="77"/>
      <c r="C12" s="236" t="s">
        <v>66</v>
      </c>
      <c r="D12" s="237" t="s">
        <v>86</v>
      </c>
      <c r="E12" s="237" t="s">
        <v>87</v>
      </c>
      <c r="F12" s="247"/>
      <c r="G12" s="248">
        <v>45313.0</v>
      </c>
      <c r="H12" s="249">
        <v>76.9</v>
      </c>
      <c r="I12" s="237" t="s">
        <v>70</v>
      </c>
      <c r="J12" s="237" t="s">
        <v>88</v>
      </c>
      <c r="K12" s="68"/>
      <c r="L12" s="68"/>
    </row>
    <row r="13">
      <c r="A13" s="68"/>
      <c r="B13" s="77"/>
      <c r="C13" s="239" t="s">
        <v>66</v>
      </c>
      <c r="D13" s="240" t="s">
        <v>86</v>
      </c>
      <c r="E13" s="240" t="s">
        <v>89</v>
      </c>
      <c r="F13" s="250"/>
      <c r="G13" s="251">
        <v>45294.0</v>
      </c>
      <c r="H13" s="252">
        <v>166.5</v>
      </c>
      <c r="I13" s="240" t="s">
        <v>70</v>
      </c>
      <c r="J13" s="240" t="s">
        <v>90</v>
      </c>
      <c r="K13" s="68"/>
      <c r="L13" s="68"/>
    </row>
    <row r="14">
      <c r="A14" s="68"/>
      <c r="B14" s="77"/>
      <c r="C14" s="239" t="s">
        <v>66</v>
      </c>
      <c r="D14" s="240" t="s">
        <v>86</v>
      </c>
      <c r="E14" s="240" t="s">
        <v>92</v>
      </c>
      <c r="F14" s="93"/>
      <c r="G14" s="251">
        <v>45320.0</v>
      </c>
      <c r="H14" s="252">
        <v>4.5</v>
      </c>
      <c r="I14" s="240" t="s">
        <v>70</v>
      </c>
      <c r="J14" s="240" t="s">
        <v>93</v>
      </c>
      <c r="K14" s="68"/>
      <c r="L14" s="68"/>
    </row>
    <row r="15">
      <c r="A15" s="68"/>
      <c r="B15" s="77"/>
      <c r="C15" s="239" t="s">
        <v>66</v>
      </c>
      <c r="D15" s="240" t="s">
        <v>86</v>
      </c>
      <c r="E15" s="240" t="s">
        <v>94</v>
      </c>
      <c r="F15" s="250"/>
      <c r="G15" s="251">
        <v>45299.0</v>
      </c>
      <c r="H15" s="252">
        <v>186.75</v>
      </c>
      <c r="I15" s="240" t="s">
        <v>70</v>
      </c>
      <c r="J15" s="240" t="s">
        <v>88</v>
      </c>
      <c r="K15" s="68"/>
      <c r="L15" s="68"/>
    </row>
    <row r="16">
      <c r="A16" s="68"/>
      <c r="B16" s="77"/>
      <c r="C16" s="239" t="s">
        <v>66</v>
      </c>
      <c r="D16" s="240" t="s">
        <v>86</v>
      </c>
      <c r="E16" s="240" t="s">
        <v>95</v>
      </c>
      <c r="F16" s="250"/>
      <c r="G16" s="251">
        <v>45295.0</v>
      </c>
      <c r="H16" s="252">
        <v>43.0</v>
      </c>
      <c r="I16" s="240" t="s">
        <v>70</v>
      </c>
      <c r="J16" s="240" t="s">
        <v>96</v>
      </c>
      <c r="K16" s="68"/>
      <c r="L16" s="68"/>
    </row>
    <row r="17">
      <c r="A17" s="68"/>
      <c r="B17" s="77"/>
      <c r="C17" s="239" t="s">
        <v>66</v>
      </c>
      <c r="D17" s="240" t="s">
        <v>86</v>
      </c>
      <c r="E17" s="240" t="s">
        <v>97</v>
      </c>
      <c r="F17" s="250"/>
      <c r="G17" s="251">
        <v>45299.0</v>
      </c>
      <c r="H17" s="252">
        <v>140.0</v>
      </c>
      <c r="I17" s="240" t="s">
        <v>70</v>
      </c>
      <c r="J17" s="240" t="s">
        <v>93</v>
      </c>
      <c r="K17" s="68"/>
      <c r="L17" s="68"/>
    </row>
    <row r="18">
      <c r="A18" s="68"/>
      <c r="B18" s="77"/>
      <c r="C18" s="239" t="s">
        <v>66</v>
      </c>
      <c r="D18" s="240" t="s">
        <v>86</v>
      </c>
      <c r="E18" s="240" t="s">
        <v>98</v>
      </c>
      <c r="F18" s="250"/>
      <c r="G18" s="251">
        <v>45299.0</v>
      </c>
      <c r="H18" s="252">
        <v>43.5</v>
      </c>
      <c r="I18" s="240" t="s">
        <v>70</v>
      </c>
      <c r="J18" s="240" t="s">
        <v>96</v>
      </c>
      <c r="K18" s="68"/>
      <c r="L18" s="68"/>
    </row>
    <row r="19">
      <c r="A19" s="68"/>
      <c r="B19" s="77"/>
      <c r="C19" s="239" t="s">
        <v>66</v>
      </c>
      <c r="D19" s="240" t="s">
        <v>86</v>
      </c>
      <c r="E19" s="240" t="s">
        <v>99</v>
      </c>
      <c r="F19" s="250"/>
      <c r="G19" s="251">
        <v>45313.0</v>
      </c>
      <c r="H19" s="252">
        <v>2.8</v>
      </c>
      <c r="I19" s="240" t="s">
        <v>70</v>
      </c>
      <c r="J19" s="240" t="s">
        <v>93</v>
      </c>
      <c r="K19" s="68"/>
      <c r="L19" s="68"/>
    </row>
    <row r="20">
      <c r="A20" s="68"/>
      <c r="B20" s="77"/>
      <c r="C20" s="239" t="s">
        <v>66</v>
      </c>
      <c r="D20" s="240" t="s">
        <v>100</v>
      </c>
      <c r="E20" s="240" t="s">
        <v>101</v>
      </c>
      <c r="F20" s="93"/>
      <c r="G20" s="251">
        <v>45344.0</v>
      </c>
      <c r="H20" s="252">
        <v>6.75</v>
      </c>
      <c r="I20" s="240" t="s">
        <v>70</v>
      </c>
      <c r="J20" s="240" t="s">
        <v>93</v>
      </c>
      <c r="K20" s="68"/>
      <c r="L20" s="68"/>
    </row>
    <row r="21">
      <c r="A21" s="68"/>
      <c r="B21" s="77"/>
      <c r="C21" s="239" t="s">
        <v>66</v>
      </c>
      <c r="D21" s="240" t="s">
        <v>100</v>
      </c>
      <c r="E21" s="240" t="s">
        <v>87</v>
      </c>
      <c r="F21" s="93"/>
      <c r="G21" s="251">
        <v>45323.0</v>
      </c>
      <c r="H21" s="252">
        <v>71.8</v>
      </c>
      <c r="I21" s="240" t="s">
        <v>70</v>
      </c>
      <c r="J21" s="240" t="s">
        <v>88</v>
      </c>
      <c r="K21" s="68"/>
      <c r="L21" s="68"/>
    </row>
    <row r="22">
      <c r="A22" s="68"/>
      <c r="B22" s="77"/>
      <c r="C22" s="239" t="s">
        <v>66</v>
      </c>
      <c r="D22" s="240" t="s">
        <v>100</v>
      </c>
      <c r="E22" s="240" t="s">
        <v>89</v>
      </c>
      <c r="F22" s="250"/>
      <c r="G22" s="251">
        <v>45323.0</v>
      </c>
      <c r="H22" s="252">
        <v>189.92</v>
      </c>
      <c r="I22" s="240" t="s">
        <v>70</v>
      </c>
      <c r="J22" s="240" t="s">
        <v>90</v>
      </c>
      <c r="K22" s="68"/>
      <c r="L22" s="68"/>
    </row>
    <row r="23">
      <c r="A23" s="68"/>
      <c r="B23" s="77"/>
      <c r="C23" s="239" t="s">
        <v>66</v>
      </c>
      <c r="D23" s="240" t="s">
        <v>100</v>
      </c>
      <c r="E23" s="240" t="s">
        <v>92</v>
      </c>
      <c r="F23" s="250"/>
      <c r="G23" s="251">
        <v>45327.0</v>
      </c>
      <c r="H23" s="252">
        <v>115.65</v>
      </c>
      <c r="I23" s="240" t="s">
        <v>70</v>
      </c>
      <c r="J23" s="240" t="s">
        <v>93</v>
      </c>
      <c r="K23" s="68"/>
      <c r="L23" s="68"/>
    </row>
    <row r="24">
      <c r="A24" s="68"/>
      <c r="B24" s="77"/>
      <c r="C24" s="239" t="s">
        <v>66</v>
      </c>
      <c r="D24" s="240" t="s">
        <v>100</v>
      </c>
      <c r="E24" s="240" t="s">
        <v>95</v>
      </c>
      <c r="F24" s="93"/>
      <c r="G24" s="251">
        <v>45324.0</v>
      </c>
      <c r="H24" s="252">
        <v>33.0</v>
      </c>
      <c r="I24" s="240" t="s">
        <v>70</v>
      </c>
      <c r="J24" s="240" t="s">
        <v>96</v>
      </c>
      <c r="K24" s="68"/>
      <c r="L24" s="68"/>
    </row>
    <row r="25">
      <c r="A25" s="68"/>
      <c r="B25" s="77"/>
      <c r="C25" s="239" t="s">
        <v>66</v>
      </c>
      <c r="D25" s="240" t="s">
        <v>100</v>
      </c>
      <c r="E25" s="240" t="s">
        <v>97</v>
      </c>
      <c r="F25" s="93"/>
      <c r="G25" s="251">
        <v>45323.0</v>
      </c>
      <c r="H25" s="252">
        <v>156.58</v>
      </c>
      <c r="I25" s="240" t="s">
        <v>70</v>
      </c>
      <c r="J25" s="240" t="s">
        <v>93</v>
      </c>
      <c r="K25" s="68"/>
      <c r="L25" s="68"/>
    </row>
    <row r="26">
      <c r="A26" s="68"/>
      <c r="B26" s="77"/>
      <c r="C26" s="239" t="s">
        <v>66</v>
      </c>
      <c r="D26" s="240" t="s">
        <v>100</v>
      </c>
      <c r="E26" s="240" t="s">
        <v>98</v>
      </c>
      <c r="F26" s="250"/>
      <c r="G26" s="251">
        <v>45324.0</v>
      </c>
      <c r="H26" s="252">
        <v>50.0</v>
      </c>
      <c r="I26" s="240" t="s">
        <v>70</v>
      </c>
      <c r="J26" s="240" t="s">
        <v>96</v>
      </c>
      <c r="K26" s="68"/>
      <c r="L26" s="68"/>
    </row>
    <row r="27">
      <c r="A27" s="68"/>
      <c r="B27" s="77"/>
      <c r="C27" s="239" t="s">
        <v>66</v>
      </c>
      <c r="D27" s="240" t="s">
        <v>102</v>
      </c>
      <c r="E27" s="240" t="s">
        <v>103</v>
      </c>
      <c r="F27" s="250"/>
      <c r="G27" s="251">
        <v>45324.0</v>
      </c>
      <c r="H27" s="252">
        <v>20.9</v>
      </c>
      <c r="I27" s="240" t="s">
        <v>70</v>
      </c>
      <c r="J27" s="240" t="s">
        <v>93</v>
      </c>
      <c r="K27" s="68"/>
      <c r="L27" s="68"/>
    </row>
    <row r="28">
      <c r="A28" s="68"/>
      <c r="B28" s="77"/>
      <c r="C28" s="239" t="s">
        <v>66</v>
      </c>
      <c r="D28" s="240" t="s">
        <v>102</v>
      </c>
      <c r="E28" s="240" t="s">
        <v>99</v>
      </c>
      <c r="F28" s="250"/>
      <c r="G28" s="251">
        <v>45334.0</v>
      </c>
      <c r="H28" s="252">
        <v>85.02</v>
      </c>
      <c r="I28" s="240" t="s">
        <v>70</v>
      </c>
      <c r="J28" s="240" t="s">
        <v>88</v>
      </c>
      <c r="K28" s="68"/>
      <c r="L28" s="68"/>
    </row>
    <row r="29">
      <c r="A29" s="68"/>
      <c r="B29" s="77"/>
      <c r="C29" s="239" t="s">
        <v>66</v>
      </c>
      <c r="D29" s="240" t="s">
        <v>104</v>
      </c>
      <c r="E29" s="240" t="s">
        <v>101</v>
      </c>
      <c r="F29" s="93"/>
      <c r="G29" s="251">
        <v>45357.0</v>
      </c>
      <c r="H29" s="252">
        <v>74.75</v>
      </c>
      <c r="I29" s="240" t="s">
        <v>70</v>
      </c>
      <c r="J29" s="240" t="s">
        <v>93</v>
      </c>
      <c r="K29" s="68"/>
      <c r="L29" s="68"/>
    </row>
    <row r="30">
      <c r="A30" s="68"/>
      <c r="B30" s="77"/>
      <c r="C30" s="239" t="s">
        <v>66</v>
      </c>
      <c r="D30" s="240" t="s">
        <v>104</v>
      </c>
      <c r="E30" s="240" t="s">
        <v>87</v>
      </c>
      <c r="F30" s="93"/>
      <c r="G30" s="251">
        <v>45569.0</v>
      </c>
      <c r="H30" s="252">
        <v>32.8</v>
      </c>
      <c r="I30" s="240" t="s">
        <v>70</v>
      </c>
      <c r="J30" s="240" t="s">
        <v>88</v>
      </c>
      <c r="K30" s="68"/>
      <c r="L30" s="68"/>
    </row>
    <row r="31">
      <c r="A31" s="68"/>
      <c r="B31" s="77"/>
      <c r="C31" s="239" t="s">
        <v>66</v>
      </c>
      <c r="D31" s="240" t="s">
        <v>104</v>
      </c>
      <c r="E31" s="240" t="s">
        <v>89</v>
      </c>
      <c r="F31" s="250"/>
      <c r="G31" s="251">
        <v>45352.0</v>
      </c>
      <c r="H31" s="252">
        <v>139.25</v>
      </c>
      <c r="I31" s="240" t="s">
        <v>70</v>
      </c>
      <c r="J31" s="240" t="s">
        <v>90</v>
      </c>
      <c r="K31" s="68"/>
      <c r="L31" s="68"/>
    </row>
    <row r="32">
      <c r="A32" s="68"/>
      <c r="B32" s="77"/>
      <c r="C32" s="239" t="s">
        <v>66</v>
      </c>
      <c r="D32" s="240" t="s">
        <v>104</v>
      </c>
      <c r="E32" s="240" t="s">
        <v>92</v>
      </c>
      <c r="F32" s="93"/>
      <c r="G32" s="251">
        <v>45373.0</v>
      </c>
      <c r="H32" s="252">
        <v>29.4</v>
      </c>
      <c r="I32" s="240" t="s">
        <v>70</v>
      </c>
      <c r="J32" s="240" t="s">
        <v>93</v>
      </c>
      <c r="K32" s="68"/>
      <c r="L32" s="68"/>
    </row>
    <row r="33">
      <c r="A33" s="68"/>
      <c r="B33" s="77"/>
      <c r="C33" s="239" t="s">
        <v>66</v>
      </c>
      <c r="D33" s="240" t="s">
        <v>104</v>
      </c>
      <c r="E33" s="240" t="s">
        <v>95</v>
      </c>
      <c r="F33" s="250"/>
      <c r="G33" s="251">
        <v>45352.0</v>
      </c>
      <c r="H33" s="252">
        <v>68.0</v>
      </c>
      <c r="I33" s="240" t="s">
        <v>70</v>
      </c>
      <c r="J33" s="240" t="s">
        <v>96</v>
      </c>
      <c r="K33" s="68"/>
      <c r="L33" s="68"/>
    </row>
    <row r="34">
      <c r="A34" s="68"/>
      <c r="B34" s="77"/>
      <c r="C34" s="239" t="s">
        <v>66</v>
      </c>
      <c r="D34" s="240" t="s">
        <v>104</v>
      </c>
      <c r="E34" s="240" t="s">
        <v>97</v>
      </c>
      <c r="F34" s="93"/>
      <c r="G34" s="251">
        <v>45352.0</v>
      </c>
      <c r="H34" s="252">
        <v>135.05</v>
      </c>
      <c r="I34" s="240" t="s">
        <v>70</v>
      </c>
      <c r="J34" s="240" t="s">
        <v>93</v>
      </c>
      <c r="K34" s="68"/>
      <c r="L34" s="68"/>
    </row>
    <row r="35">
      <c r="A35" s="68"/>
      <c r="B35" s="77"/>
      <c r="C35" s="239" t="s">
        <v>66</v>
      </c>
      <c r="D35" s="240" t="s">
        <v>104</v>
      </c>
      <c r="E35" s="240" t="s">
        <v>98</v>
      </c>
      <c r="F35" s="250"/>
      <c r="G35" s="251">
        <v>45352.0</v>
      </c>
      <c r="H35" s="252">
        <v>55.5</v>
      </c>
      <c r="I35" s="240" t="s">
        <v>70</v>
      </c>
      <c r="J35" s="240" t="s">
        <v>96</v>
      </c>
      <c r="K35" s="68"/>
      <c r="L35" s="68"/>
    </row>
    <row r="36">
      <c r="A36" s="68"/>
      <c r="B36" s="77"/>
      <c r="C36" s="239" t="s">
        <v>66</v>
      </c>
      <c r="D36" s="240" t="s">
        <v>104</v>
      </c>
      <c r="E36" s="240" t="s">
        <v>99</v>
      </c>
      <c r="F36" s="250"/>
      <c r="G36" s="251">
        <v>45359.0</v>
      </c>
      <c r="H36" s="252">
        <v>37.25</v>
      </c>
      <c r="I36" s="240" t="s">
        <v>70</v>
      </c>
      <c r="J36" s="240" t="s">
        <v>88</v>
      </c>
      <c r="K36" s="68"/>
      <c r="L36" s="68"/>
    </row>
    <row r="37">
      <c r="A37" s="68"/>
      <c r="B37" s="77"/>
      <c r="C37" s="239" t="s">
        <v>66</v>
      </c>
      <c r="D37" s="240" t="s">
        <v>105</v>
      </c>
      <c r="E37" s="240" t="s">
        <v>97</v>
      </c>
      <c r="F37" s="93"/>
      <c r="G37" s="251">
        <v>45384.0</v>
      </c>
      <c r="H37" s="252">
        <v>55.05</v>
      </c>
      <c r="I37" s="240" t="s">
        <v>70</v>
      </c>
      <c r="J37" s="240" t="s">
        <v>93</v>
      </c>
      <c r="K37" s="68"/>
      <c r="L37" s="68"/>
    </row>
    <row r="38">
      <c r="A38" s="68"/>
      <c r="B38" s="77"/>
      <c r="C38" s="239" t="s">
        <v>66</v>
      </c>
      <c r="D38" s="240" t="s">
        <v>105</v>
      </c>
      <c r="E38" s="240" t="s">
        <v>92</v>
      </c>
      <c r="F38" s="93"/>
      <c r="G38" s="251">
        <v>45384.0</v>
      </c>
      <c r="H38" s="252">
        <v>39.65</v>
      </c>
      <c r="I38" s="240" t="s">
        <v>70</v>
      </c>
      <c r="J38" s="240" t="s">
        <v>93</v>
      </c>
      <c r="K38" s="68"/>
      <c r="L38" s="68"/>
    </row>
    <row r="39">
      <c r="A39" s="68"/>
      <c r="B39" s="77"/>
      <c r="C39" s="239" t="s">
        <v>66</v>
      </c>
      <c r="D39" s="240" t="s">
        <v>105</v>
      </c>
      <c r="E39" s="240" t="s">
        <v>103</v>
      </c>
      <c r="F39" s="93"/>
      <c r="G39" s="251">
        <v>45393.0</v>
      </c>
      <c r="H39" s="252">
        <v>25.5</v>
      </c>
      <c r="I39" s="240" t="s">
        <v>70</v>
      </c>
      <c r="J39" s="240" t="s">
        <v>93</v>
      </c>
      <c r="K39" s="68"/>
      <c r="L39" s="68"/>
    </row>
    <row r="40">
      <c r="A40" s="68"/>
      <c r="B40" s="77"/>
      <c r="C40" s="239" t="s">
        <v>66</v>
      </c>
      <c r="D40" s="240" t="s">
        <v>105</v>
      </c>
      <c r="E40" s="240" t="s">
        <v>101</v>
      </c>
      <c r="F40" s="93"/>
      <c r="G40" s="251">
        <v>45399.0</v>
      </c>
      <c r="H40" s="252">
        <v>19.5</v>
      </c>
      <c r="I40" s="240" t="s">
        <v>70</v>
      </c>
      <c r="J40" s="240" t="s">
        <v>93</v>
      </c>
      <c r="K40" s="68"/>
      <c r="L40" s="68"/>
    </row>
    <row r="41">
      <c r="A41" s="68"/>
      <c r="B41" s="77"/>
      <c r="C41" s="239" t="s">
        <v>66</v>
      </c>
      <c r="D41" s="240" t="s">
        <v>106</v>
      </c>
      <c r="E41" s="240" t="s">
        <v>97</v>
      </c>
      <c r="F41" s="93"/>
      <c r="G41" s="251">
        <v>45399.0</v>
      </c>
      <c r="H41" s="252">
        <v>62.2</v>
      </c>
      <c r="I41" s="240" t="s">
        <v>70</v>
      </c>
      <c r="J41" s="240" t="s">
        <v>93</v>
      </c>
      <c r="K41" s="68"/>
      <c r="L41" s="68"/>
    </row>
    <row r="42">
      <c r="A42" s="68"/>
      <c r="B42" s="77"/>
      <c r="C42" s="239" t="s">
        <v>66</v>
      </c>
      <c r="D42" s="240" t="s">
        <v>106</v>
      </c>
      <c r="E42" s="240" t="s">
        <v>99</v>
      </c>
      <c r="F42" s="250"/>
      <c r="G42" s="251">
        <v>45384.0</v>
      </c>
      <c r="H42" s="252">
        <v>115.55</v>
      </c>
      <c r="I42" s="240" t="s">
        <v>70</v>
      </c>
      <c r="J42" s="240" t="s">
        <v>88</v>
      </c>
      <c r="K42" s="68"/>
      <c r="L42" s="68"/>
    </row>
    <row r="43">
      <c r="A43" s="68"/>
      <c r="B43" s="77"/>
      <c r="C43" s="239" t="s">
        <v>66</v>
      </c>
      <c r="D43" s="240" t="s">
        <v>106</v>
      </c>
      <c r="E43" s="240" t="s">
        <v>89</v>
      </c>
      <c r="F43" s="250"/>
      <c r="G43" s="251">
        <v>45384.0</v>
      </c>
      <c r="H43" s="252">
        <v>100.25</v>
      </c>
      <c r="I43" s="240" t="s">
        <v>70</v>
      </c>
      <c r="J43" s="240" t="s">
        <v>90</v>
      </c>
      <c r="K43" s="68"/>
      <c r="L43" s="68"/>
    </row>
    <row r="44">
      <c r="A44" s="68"/>
      <c r="B44" s="77"/>
      <c r="C44" s="239" t="s">
        <v>66</v>
      </c>
      <c r="D44" s="240" t="s">
        <v>106</v>
      </c>
      <c r="E44" s="240" t="s">
        <v>87</v>
      </c>
      <c r="F44" s="250"/>
      <c r="G44" s="251">
        <v>45385.0</v>
      </c>
      <c r="H44" s="252">
        <v>49.5</v>
      </c>
      <c r="I44" s="240" t="s">
        <v>70</v>
      </c>
      <c r="J44" s="240" t="s">
        <v>88</v>
      </c>
      <c r="K44" s="68"/>
      <c r="L44" s="68"/>
    </row>
    <row r="45">
      <c r="A45" s="68"/>
      <c r="B45" s="77"/>
      <c r="C45" s="239" t="s">
        <v>66</v>
      </c>
      <c r="D45" s="240" t="s">
        <v>106</v>
      </c>
      <c r="E45" s="240" t="s">
        <v>95</v>
      </c>
      <c r="F45" s="250"/>
      <c r="G45" s="251">
        <v>45384.0</v>
      </c>
      <c r="H45" s="252">
        <v>48.0</v>
      </c>
      <c r="I45" s="240" t="s">
        <v>70</v>
      </c>
      <c r="J45" s="240" t="s">
        <v>96</v>
      </c>
      <c r="K45" s="68"/>
      <c r="L45" s="68"/>
    </row>
    <row r="46">
      <c r="A46" s="68"/>
      <c r="B46" s="77"/>
      <c r="C46" s="239" t="s">
        <v>66</v>
      </c>
      <c r="D46" s="240" t="s">
        <v>106</v>
      </c>
      <c r="E46" s="240" t="s">
        <v>98</v>
      </c>
      <c r="F46" s="250"/>
      <c r="G46" s="251">
        <v>45384.0</v>
      </c>
      <c r="H46" s="252">
        <v>2.0</v>
      </c>
      <c r="I46" s="240" t="s">
        <v>70</v>
      </c>
      <c r="J46" s="240" t="s">
        <v>96</v>
      </c>
      <c r="K46" s="68"/>
      <c r="L46" s="68"/>
    </row>
    <row r="47">
      <c r="A47" s="68"/>
      <c r="B47" s="77"/>
      <c r="C47" s="239" t="s">
        <v>66</v>
      </c>
      <c r="D47" s="240" t="s">
        <v>105</v>
      </c>
      <c r="E47" s="240" t="s">
        <v>97</v>
      </c>
      <c r="F47" s="250"/>
      <c r="G47" s="253">
        <v>45418.0</v>
      </c>
      <c r="H47" s="252">
        <v>76.0</v>
      </c>
      <c r="I47" s="240" t="s">
        <v>70</v>
      </c>
      <c r="J47" s="240" t="s">
        <v>93</v>
      </c>
      <c r="K47" s="68"/>
      <c r="L47" s="68"/>
    </row>
    <row r="48">
      <c r="A48" s="68"/>
      <c r="B48" s="77"/>
      <c r="C48" s="239" t="s">
        <v>66</v>
      </c>
      <c r="D48" s="240" t="s">
        <v>107</v>
      </c>
      <c r="E48" s="240" t="s">
        <v>97</v>
      </c>
      <c r="F48" s="250"/>
      <c r="G48" s="251">
        <v>45429.0</v>
      </c>
      <c r="H48" s="252">
        <v>41.9</v>
      </c>
      <c r="I48" s="240" t="s">
        <v>70</v>
      </c>
      <c r="J48" s="240" t="s">
        <v>93</v>
      </c>
      <c r="K48" s="68"/>
      <c r="L48" s="68"/>
    </row>
    <row r="49">
      <c r="A49" s="68"/>
      <c r="B49" s="77"/>
      <c r="C49" s="239" t="s">
        <v>66</v>
      </c>
      <c r="D49" s="240" t="s">
        <v>107</v>
      </c>
      <c r="E49" s="240" t="s">
        <v>95</v>
      </c>
      <c r="F49" s="250"/>
      <c r="G49" s="251">
        <v>45414.0</v>
      </c>
      <c r="H49" s="252">
        <v>87.0</v>
      </c>
      <c r="I49" s="240" t="s">
        <v>70</v>
      </c>
      <c r="J49" s="240" t="s">
        <v>96</v>
      </c>
      <c r="K49" s="68"/>
      <c r="L49" s="68"/>
    </row>
    <row r="50">
      <c r="A50" s="68"/>
      <c r="B50" s="77"/>
      <c r="C50" s="239" t="s">
        <v>66</v>
      </c>
      <c r="D50" s="240" t="s">
        <v>107</v>
      </c>
      <c r="E50" s="240" t="s">
        <v>89</v>
      </c>
      <c r="F50" s="250"/>
      <c r="G50" s="251">
        <v>45414.0</v>
      </c>
      <c r="H50" s="252">
        <v>85.5</v>
      </c>
      <c r="I50" s="240" t="s">
        <v>70</v>
      </c>
      <c r="J50" s="240" t="s">
        <v>90</v>
      </c>
      <c r="K50" s="68"/>
      <c r="L50" s="68"/>
    </row>
    <row r="51">
      <c r="A51" s="68"/>
      <c r="B51" s="77"/>
      <c r="C51" s="239" t="s">
        <v>66</v>
      </c>
      <c r="D51" s="240" t="s">
        <v>107</v>
      </c>
      <c r="E51" s="240" t="s">
        <v>98</v>
      </c>
      <c r="F51" s="93"/>
      <c r="G51" s="251">
        <v>45420.0</v>
      </c>
      <c r="H51" s="252">
        <v>56.5</v>
      </c>
      <c r="I51" s="240" t="s">
        <v>70</v>
      </c>
      <c r="J51" s="240" t="s">
        <v>96</v>
      </c>
      <c r="K51" s="68"/>
      <c r="L51" s="68"/>
    </row>
    <row r="52">
      <c r="A52" s="68"/>
      <c r="B52" s="77"/>
      <c r="C52" s="239" t="s">
        <v>66</v>
      </c>
      <c r="D52" s="240" t="s">
        <v>107</v>
      </c>
      <c r="E52" s="240" t="s">
        <v>87</v>
      </c>
      <c r="F52" s="250"/>
      <c r="G52" s="251">
        <v>45419.0</v>
      </c>
      <c r="H52" s="252">
        <v>40.17</v>
      </c>
      <c r="I52" s="240" t="s">
        <v>70</v>
      </c>
      <c r="J52" s="240" t="s">
        <v>88</v>
      </c>
      <c r="K52" s="68"/>
      <c r="L52" s="68"/>
    </row>
    <row r="53">
      <c r="A53" s="68"/>
      <c r="B53" s="77"/>
      <c r="C53" s="239" t="s">
        <v>66</v>
      </c>
      <c r="D53" s="240" t="s">
        <v>105</v>
      </c>
      <c r="E53" s="240" t="s">
        <v>97</v>
      </c>
      <c r="F53" s="250"/>
      <c r="G53" s="251">
        <v>45446.0</v>
      </c>
      <c r="H53" s="252">
        <v>78.75</v>
      </c>
      <c r="I53" s="240" t="s">
        <v>70</v>
      </c>
      <c r="J53" s="240" t="s">
        <v>93</v>
      </c>
      <c r="K53" s="68"/>
      <c r="L53" s="68"/>
    </row>
    <row r="54">
      <c r="A54" s="68"/>
      <c r="B54" s="77"/>
      <c r="C54" s="239" t="s">
        <v>66</v>
      </c>
      <c r="D54" s="240" t="s">
        <v>105</v>
      </c>
      <c r="E54" s="240" t="s">
        <v>89</v>
      </c>
      <c r="F54" s="93"/>
      <c r="G54" s="251">
        <v>45446.0</v>
      </c>
      <c r="H54" s="252">
        <v>79.0</v>
      </c>
      <c r="I54" s="240" t="s">
        <v>70</v>
      </c>
      <c r="J54" s="240" t="s">
        <v>90</v>
      </c>
      <c r="K54" s="68"/>
      <c r="L54" s="68"/>
    </row>
    <row r="55">
      <c r="A55" s="68"/>
      <c r="B55" s="77"/>
      <c r="C55" s="239" t="s">
        <v>66</v>
      </c>
      <c r="D55" s="240" t="s">
        <v>105</v>
      </c>
      <c r="E55" s="240" t="s">
        <v>95</v>
      </c>
      <c r="F55" s="250"/>
      <c r="G55" s="251">
        <v>45446.0</v>
      </c>
      <c r="H55" s="252">
        <v>11.0</v>
      </c>
      <c r="I55" s="240" t="s">
        <v>70</v>
      </c>
      <c r="J55" s="240" t="s">
        <v>96</v>
      </c>
      <c r="K55" s="68"/>
      <c r="L55" s="68"/>
    </row>
    <row r="56">
      <c r="A56" s="68"/>
      <c r="B56" s="77"/>
      <c r="C56" s="239" t="s">
        <v>66</v>
      </c>
      <c r="D56" s="240" t="s">
        <v>105</v>
      </c>
      <c r="E56" s="240" t="s">
        <v>87</v>
      </c>
      <c r="F56" s="93"/>
      <c r="G56" s="251">
        <v>45457.0</v>
      </c>
      <c r="H56" s="252">
        <v>7.0</v>
      </c>
      <c r="I56" s="240" t="s">
        <v>70</v>
      </c>
      <c r="J56" s="240" t="s">
        <v>88</v>
      </c>
      <c r="K56" s="68"/>
      <c r="L56" s="68"/>
    </row>
    <row r="57">
      <c r="A57" s="68"/>
      <c r="B57" s="77"/>
      <c r="C57" s="239" t="s">
        <v>66</v>
      </c>
      <c r="D57" s="240" t="s">
        <v>105</v>
      </c>
      <c r="E57" s="240" t="s">
        <v>101</v>
      </c>
      <c r="F57" s="250"/>
      <c r="G57" s="251">
        <v>45470.0</v>
      </c>
      <c r="H57" s="252">
        <v>2.0</v>
      </c>
      <c r="I57" s="240" t="s">
        <v>70</v>
      </c>
      <c r="J57" s="240" t="s">
        <v>93</v>
      </c>
      <c r="K57" s="68"/>
      <c r="L57" s="68"/>
    </row>
    <row r="58">
      <c r="A58" s="68"/>
      <c r="B58" s="77"/>
      <c r="C58" s="239" t="s">
        <v>66</v>
      </c>
      <c r="D58" s="240" t="s">
        <v>108</v>
      </c>
      <c r="E58" s="240" t="s">
        <v>101</v>
      </c>
      <c r="F58" s="93"/>
      <c r="G58" s="251">
        <v>45474.0</v>
      </c>
      <c r="H58" s="252">
        <v>63.2</v>
      </c>
      <c r="I58" s="240" t="s">
        <v>70</v>
      </c>
      <c r="J58" s="240" t="s">
        <v>93</v>
      </c>
      <c r="K58" s="68"/>
      <c r="L58" s="68"/>
    </row>
    <row r="59">
      <c r="A59" s="68"/>
      <c r="B59" s="77"/>
      <c r="C59" s="239" t="s">
        <v>66</v>
      </c>
      <c r="D59" s="240" t="s">
        <v>108</v>
      </c>
      <c r="E59" s="240" t="s">
        <v>87</v>
      </c>
      <c r="F59" s="250"/>
      <c r="G59" s="251">
        <v>45474.0</v>
      </c>
      <c r="H59" s="252">
        <v>100.52</v>
      </c>
      <c r="I59" s="240" t="s">
        <v>70</v>
      </c>
      <c r="J59" s="240" t="s">
        <v>88</v>
      </c>
      <c r="K59" s="68"/>
      <c r="L59" s="68"/>
    </row>
    <row r="60">
      <c r="A60" s="68"/>
      <c r="B60" s="77"/>
      <c r="C60" s="239" t="s">
        <v>66</v>
      </c>
      <c r="D60" s="240" t="s">
        <v>108</v>
      </c>
      <c r="E60" s="240" t="s">
        <v>89</v>
      </c>
      <c r="F60" s="250"/>
      <c r="G60" s="251">
        <v>45492.0</v>
      </c>
      <c r="H60" s="252">
        <v>6.25</v>
      </c>
      <c r="I60" s="240" t="s">
        <v>70</v>
      </c>
      <c r="J60" s="240" t="s">
        <v>90</v>
      </c>
      <c r="K60" s="68"/>
      <c r="L60" s="68"/>
    </row>
    <row r="61">
      <c r="A61" s="68"/>
      <c r="B61" s="77"/>
      <c r="C61" s="239" t="s">
        <v>66</v>
      </c>
      <c r="D61" s="240" t="s">
        <v>108</v>
      </c>
      <c r="E61" s="240" t="s">
        <v>92</v>
      </c>
      <c r="F61" s="250"/>
      <c r="G61" s="251">
        <v>45474.0</v>
      </c>
      <c r="H61" s="252">
        <v>27.6</v>
      </c>
      <c r="I61" s="240" t="s">
        <v>70</v>
      </c>
      <c r="J61" s="240" t="s">
        <v>93</v>
      </c>
      <c r="K61" s="68"/>
      <c r="L61" s="68"/>
    </row>
    <row r="62">
      <c r="A62" s="68"/>
      <c r="B62" s="77"/>
      <c r="C62" s="239" t="s">
        <v>66</v>
      </c>
      <c r="D62" s="240" t="s">
        <v>108</v>
      </c>
      <c r="E62" s="240" t="s">
        <v>95</v>
      </c>
      <c r="F62" s="93"/>
      <c r="G62" s="251">
        <v>45474.0</v>
      </c>
      <c r="H62" s="252">
        <v>20.0</v>
      </c>
      <c r="I62" s="240" t="s">
        <v>70</v>
      </c>
      <c r="J62" s="240" t="s">
        <v>96</v>
      </c>
      <c r="K62" s="68"/>
      <c r="L62" s="68"/>
    </row>
    <row r="63">
      <c r="A63" s="68"/>
      <c r="B63" s="77"/>
      <c r="C63" s="239" t="s">
        <v>66</v>
      </c>
      <c r="D63" s="240" t="s">
        <v>108</v>
      </c>
      <c r="E63" s="240" t="s">
        <v>98</v>
      </c>
      <c r="F63" s="250"/>
      <c r="G63" s="251">
        <v>45474.0</v>
      </c>
      <c r="H63" s="252">
        <v>51.0</v>
      </c>
      <c r="I63" s="240" t="s">
        <v>70</v>
      </c>
      <c r="J63" s="240" t="s">
        <v>96</v>
      </c>
      <c r="K63" s="68"/>
      <c r="L63" s="68"/>
    </row>
    <row r="64">
      <c r="A64" s="68"/>
      <c r="B64" s="77"/>
      <c r="C64" s="239" t="s">
        <v>66</v>
      </c>
      <c r="D64" s="240" t="s">
        <v>108</v>
      </c>
      <c r="E64" s="240" t="s">
        <v>99</v>
      </c>
      <c r="F64" s="250"/>
      <c r="G64" s="251">
        <v>45492.0</v>
      </c>
      <c r="H64" s="252">
        <v>3.0</v>
      </c>
      <c r="I64" s="240" t="s">
        <v>70</v>
      </c>
      <c r="J64" s="240" t="s">
        <v>88</v>
      </c>
      <c r="K64" s="68"/>
      <c r="L64" s="68"/>
    </row>
    <row r="65">
      <c r="A65" s="68"/>
      <c r="B65" s="77"/>
      <c r="C65" s="239" t="s">
        <v>66</v>
      </c>
      <c r="D65" s="240" t="s">
        <v>109</v>
      </c>
      <c r="E65" s="240" t="s">
        <v>89</v>
      </c>
      <c r="F65" s="93"/>
      <c r="G65" s="251">
        <v>45489.0</v>
      </c>
      <c r="H65" s="252">
        <v>19.5</v>
      </c>
      <c r="I65" s="240" t="s">
        <v>70</v>
      </c>
      <c r="J65" s="240" t="s">
        <v>90</v>
      </c>
      <c r="K65" s="68"/>
      <c r="L65" s="68"/>
    </row>
    <row r="66">
      <c r="A66" s="68"/>
      <c r="B66" s="77"/>
      <c r="C66" s="239" t="s">
        <v>66</v>
      </c>
      <c r="D66" s="240" t="s">
        <v>108</v>
      </c>
      <c r="E66" s="240" t="s">
        <v>101</v>
      </c>
      <c r="F66" s="93"/>
      <c r="G66" s="251">
        <v>45510.0</v>
      </c>
      <c r="H66" s="252">
        <v>24.75</v>
      </c>
      <c r="I66" s="240" t="s">
        <v>70</v>
      </c>
      <c r="J66" s="240" t="s">
        <v>93</v>
      </c>
      <c r="K66" s="68"/>
      <c r="L66" s="68"/>
    </row>
    <row r="67">
      <c r="A67" s="68"/>
      <c r="B67" s="77"/>
      <c r="C67" s="239" t="s">
        <v>66</v>
      </c>
      <c r="D67" s="240" t="s">
        <v>108</v>
      </c>
      <c r="E67" s="240" t="s">
        <v>87</v>
      </c>
      <c r="F67" s="250"/>
      <c r="G67" s="251">
        <v>45505.0</v>
      </c>
      <c r="H67" s="252">
        <v>86.25</v>
      </c>
      <c r="I67" s="240" t="s">
        <v>70</v>
      </c>
      <c r="J67" s="240" t="s">
        <v>88</v>
      </c>
      <c r="K67" s="68"/>
      <c r="L67" s="68"/>
    </row>
    <row r="68">
      <c r="A68" s="68"/>
      <c r="B68" s="77"/>
      <c r="C68" s="239" t="s">
        <v>66</v>
      </c>
      <c r="D68" s="240" t="s">
        <v>108</v>
      </c>
      <c r="E68" s="240" t="s">
        <v>92</v>
      </c>
      <c r="F68" s="93"/>
      <c r="G68" s="251">
        <v>45505.0</v>
      </c>
      <c r="H68" s="252">
        <v>13.6</v>
      </c>
      <c r="I68" s="240" t="s">
        <v>70</v>
      </c>
      <c r="J68" s="240" t="s">
        <v>93</v>
      </c>
      <c r="K68" s="68"/>
      <c r="L68" s="68"/>
    </row>
    <row r="69">
      <c r="A69" s="68"/>
      <c r="B69" s="77"/>
      <c r="C69" s="239" t="s">
        <v>66</v>
      </c>
      <c r="D69" s="240" t="s">
        <v>108</v>
      </c>
      <c r="E69" s="240" t="s">
        <v>97</v>
      </c>
      <c r="F69" s="250"/>
      <c r="G69" s="251">
        <v>45523.0</v>
      </c>
      <c r="H69" s="252">
        <v>1.0</v>
      </c>
      <c r="I69" s="240" t="s">
        <v>70</v>
      </c>
      <c r="J69" s="240" t="s">
        <v>93</v>
      </c>
      <c r="K69" s="68"/>
      <c r="L69" s="68"/>
    </row>
    <row r="70">
      <c r="A70" s="68"/>
      <c r="B70" s="77"/>
      <c r="C70" s="239" t="s">
        <v>66</v>
      </c>
      <c r="D70" s="240" t="s">
        <v>108</v>
      </c>
      <c r="E70" s="240" t="s">
        <v>99</v>
      </c>
      <c r="F70" s="93"/>
      <c r="G70" s="251">
        <v>45525.0</v>
      </c>
      <c r="H70" s="252">
        <v>40.75</v>
      </c>
      <c r="I70" s="240" t="s">
        <v>70</v>
      </c>
      <c r="J70" s="240" t="s">
        <v>88</v>
      </c>
      <c r="K70" s="68"/>
      <c r="L70" s="68"/>
    </row>
    <row r="71">
      <c r="A71" s="68"/>
      <c r="B71" s="77"/>
      <c r="C71" s="239" t="s">
        <v>66</v>
      </c>
      <c r="D71" s="240" t="s">
        <v>109</v>
      </c>
      <c r="E71" s="240" t="s">
        <v>89</v>
      </c>
      <c r="F71" s="93"/>
      <c r="G71" s="251">
        <v>45505.0</v>
      </c>
      <c r="H71" s="252">
        <v>123.5</v>
      </c>
      <c r="I71" s="240" t="s">
        <v>70</v>
      </c>
      <c r="J71" s="240" t="s">
        <v>90</v>
      </c>
      <c r="K71" s="68"/>
      <c r="L71" s="68"/>
    </row>
    <row r="72">
      <c r="A72" s="68"/>
      <c r="B72" s="77"/>
      <c r="C72" s="239" t="s">
        <v>66</v>
      </c>
      <c r="D72" s="240" t="s">
        <v>109</v>
      </c>
      <c r="E72" s="240" t="s">
        <v>92</v>
      </c>
      <c r="F72" s="93"/>
      <c r="G72" s="251">
        <v>45534.0</v>
      </c>
      <c r="H72" s="252">
        <v>1.0</v>
      </c>
      <c r="I72" s="240" t="s">
        <v>69</v>
      </c>
      <c r="J72" s="240" t="s">
        <v>96</v>
      </c>
      <c r="K72" s="68"/>
      <c r="L72" s="68"/>
    </row>
    <row r="73">
      <c r="A73" s="68"/>
      <c r="B73" s="77"/>
      <c r="C73" s="239" t="s">
        <v>66</v>
      </c>
      <c r="D73" s="240" t="s">
        <v>109</v>
      </c>
      <c r="E73" s="240" t="s">
        <v>97</v>
      </c>
      <c r="F73" s="250"/>
      <c r="G73" s="251">
        <v>45526.0</v>
      </c>
      <c r="H73" s="252">
        <v>19.85</v>
      </c>
      <c r="I73" s="240" t="s">
        <v>69</v>
      </c>
      <c r="J73" s="240" t="s">
        <v>96</v>
      </c>
      <c r="K73" s="68"/>
      <c r="L73" s="68"/>
    </row>
    <row r="74">
      <c r="A74" s="68"/>
      <c r="B74" s="77"/>
      <c r="C74" s="239" t="s">
        <v>66</v>
      </c>
      <c r="D74" s="240" t="s">
        <v>110</v>
      </c>
      <c r="E74" s="240" t="s">
        <v>101</v>
      </c>
      <c r="F74" s="250"/>
      <c r="G74" s="251">
        <v>45537.0</v>
      </c>
      <c r="H74" s="252">
        <v>89.5</v>
      </c>
      <c r="I74" s="240" t="s">
        <v>70</v>
      </c>
      <c r="J74" s="240" t="s">
        <v>93</v>
      </c>
      <c r="K74" s="68"/>
      <c r="L74" s="68"/>
    </row>
    <row r="75">
      <c r="A75" s="68"/>
      <c r="B75" s="77"/>
      <c r="C75" s="239" t="s">
        <v>66</v>
      </c>
      <c r="D75" s="240" t="s">
        <v>110</v>
      </c>
      <c r="E75" s="240" t="s">
        <v>87</v>
      </c>
      <c r="F75" s="93"/>
      <c r="G75" s="251">
        <v>45537.0</v>
      </c>
      <c r="H75" s="252">
        <v>132.22</v>
      </c>
      <c r="I75" s="240" t="s">
        <v>70</v>
      </c>
      <c r="J75" s="240" t="s">
        <v>88</v>
      </c>
      <c r="K75" s="68"/>
      <c r="L75" s="68"/>
    </row>
    <row r="76">
      <c r="A76" s="68"/>
      <c r="B76" s="77"/>
      <c r="C76" s="239" t="s">
        <v>66</v>
      </c>
      <c r="D76" s="240" t="s">
        <v>110</v>
      </c>
      <c r="E76" s="240" t="s">
        <v>89</v>
      </c>
      <c r="F76" s="250"/>
      <c r="G76" s="251">
        <v>45537.0</v>
      </c>
      <c r="H76" s="252">
        <v>3.75</v>
      </c>
      <c r="I76" s="240" t="s">
        <v>70</v>
      </c>
      <c r="J76" s="240" t="s">
        <v>90</v>
      </c>
      <c r="K76" s="68"/>
      <c r="L76" s="68"/>
    </row>
    <row r="77">
      <c r="A77" s="68"/>
      <c r="B77" s="77"/>
      <c r="C77" s="239" t="s">
        <v>66</v>
      </c>
      <c r="D77" s="240" t="s">
        <v>110</v>
      </c>
      <c r="E77" s="240" t="s">
        <v>92</v>
      </c>
      <c r="F77" s="250"/>
      <c r="G77" s="251">
        <v>45537.0</v>
      </c>
      <c r="H77" s="252">
        <v>12.3</v>
      </c>
      <c r="I77" s="240" t="s">
        <v>70</v>
      </c>
      <c r="J77" s="240" t="s">
        <v>93</v>
      </c>
      <c r="K77" s="68"/>
      <c r="L77" s="68"/>
    </row>
    <row r="78">
      <c r="A78" s="68"/>
      <c r="B78" s="77"/>
      <c r="C78" s="239" t="s">
        <v>66</v>
      </c>
      <c r="D78" s="240" t="s">
        <v>110</v>
      </c>
      <c r="E78" s="240" t="s">
        <v>95</v>
      </c>
      <c r="F78" s="93"/>
      <c r="G78" s="251">
        <v>45565.0</v>
      </c>
      <c r="H78" s="252">
        <v>2.5</v>
      </c>
      <c r="I78" s="240" t="s">
        <v>70</v>
      </c>
      <c r="J78" s="240" t="s">
        <v>96</v>
      </c>
      <c r="K78" s="68"/>
      <c r="L78" s="68"/>
    </row>
    <row r="79">
      <c r="A79" s="68"/>
      <c r="B79" s="77"/>
      <c r="C79" s="239" t="s">
        <v>66</v>
      </c>
      <c r="D79" s="240" t="s">
        <v>110</v>
      </c>
      <c r="E79" s="240" t="s">
        <v>97</v>
      </c>
      <c r="F79" s="93"/>
      <c r="G79" s="251">
        <v>45548.0</v>
      </c>
      <c r="H79" s="252">
        <v>3.8</v>
      </c>
      <c r="I79" s="240" t="s">
        <v>70</v>
      </c>
      <c r="J79" s="240" t="s">
        <v>93</v>
      </c>
      <c r="K79" s="68"/>
      <c r="L79" s="68"/>
    </row>
    <row r="80">
      <c r="A80" s="68"/>
      <c r="B80" s="77"/>
      <c r="C80" s="239" t="s">
        <v>66</v>
      </c>
      <c r="D80" s="240" t="s">
        <v>110</v>
      </c>
      <c r="E80" s="240" t="s">
        <v>99</v>
      </c>
      <c r="F80" s="250"/>
      <c r="G80" s="251">
        <v>45537.0</v>
      </c>
      <c r="H80" s="252">
        <v>3.25</v>
      </c>
      <c r="I80" s="240" t="s">
        <v>70</v>
      </c>
      <c r="J80" s="240" t="s">
        <v>88</v>
      </c>
      <c r="K80" s="68"/>
      <c r="L80" s="68"/>
    </row>
    <row r="81">
      <c r="A81" s="68"/>
      <c r="B81" s="77"/>
      <c r="C81" s="239" t="s">
        <v>66</v>
      </c>
      <c r="D81" s="240" t="s">
        <v>109</v>
      </c>
      <c r="E81" s="240" t="s">
        <v>89</v>
      </c>
      <c r="F81" s="250"/>
      <c r="G81" s="251">
        <v>45537.0</v>
      </c>
      <c r="H81" s="252">
        <v>99.0</v>
      </c>
      <c r="I81" s="240" t="s">
        <v>70</v>
      </c>
      <c r="J81" s="240" t="s">
        <v>90</v>
      </c>
      <c r="K81" s="68"/>
      <c r="L81" s="68"/>
    </row>
    <row r="82">
      <c r="A82" s="68"/>
      <c r="B82" s="77"/>
      <c r="C82" s="239" t="s">
        <v>66</v>
      </c>
      <c r="D82" s="240" t="s">
        <v>109</v>
      </c>
      <c r="E82" s="240" t="s">
        <v>92</v>
      </c>
      <c r="F82" s="250"/>
      <c r="G82" s="251">
        <v>45537.0</v>
      </c>
      <c r="H82" s="252">
        <v>0.5</v>
      </c>
      <c r="I82" s="240" t="s">
        <v>69</v>
      </c>
      <c r="J82" s="240" t="s">
        <v>96</v>
      </c>
      <c r="K82" s="68"/>
      <c r="L82" s="68"/>
    </row>
    <row r="83">
      <c r="A83" s="68"/>
      <c r="B83" s="77"/>
      <c r="C83" s="239" t="s">
        <v>66</v>
      </c>
      <c r="D83" s="240" t="s">
        <v>109</v>
      </c>
      <c r="E83" s="240" t="s">
        <v>97</v>
      </c>
      <c r="F83" s="93"/>
      <c r="G83" s="251">
        <v>45310.0</v>
      </c>
      <c r="H83" s="252">
        <v>2.0</v>
      </c>
      <c r="I83" s="240" t="s">
        <v>69</v>
      </c>
      <c r="J83" s="240" t="s">
        <v>96</v>
      </c>
      <c r="K83" s="68"/>
      <c r="L83" s="68"/>
    </row>
    <row r="84">
      <c r="A84" s="68"/>
      <c r="B84" s="77"/>
      <c r="C84" s="254" t="s">
        <v>66</v>
      </c>
      <c r="D84" s="255" t="s">
        <v>111</v>
      </c>
      <c r="E84" s="254" t="s">
        <v>112</v>
      </c>
      <c r="F84" s="256"/>
      <c r="G84" s="257">
        <v>45568.0</v>
      </c>
      <c r="H84" s="258">
        <v>11.05</v>
      </c>
      <c r="I84" s="254" t="s">
        <v>69</v>
      </c>
      <c r="J84" s="255" t="s">
        <v>96</v>
      </c>
      <c r="K84" s="68"/>
      <c r="L84" s="68"/>
    </row>
    <row r="85">
      <c r="A85" s="68"/>
      <c r="B85" s="77"/>
      <c r="C85" s="254" t="s">
        <v>66</v>
      </c>
      <c r="D85" s="255" t="s">
        <v>111</v>
      </c>
      <c r="E85" s="254" t="s">
        <v>92</v>
      </c>
      <c r="F85" s="256"/>
      <c r="G85" s="257">
        <v>45589.0</v>
      </c>
      <c r="H85" s="258">
        <v>24.9</v>
      </c>
      <c r="I85" s="254" t="s">
        <v>70</v>
      </c>
      <c r="J85" s="255" t="s">
        <v>96</v>
      </c>
      <c r="K85" s="68"/>
      <c r="L85" s="68"/>
    </row>
    <row r="86">
      <c r="A86" s="68"/>
      <c r="B86" s="77"/>
      <c r="C86" s="254" t="s">
        <v>66</v>
      </c>
      <c r="D86" s="255" t="s">
        <v>113</v>
      </c>
      <c r="E86" s="254" t="s">
        <v>101</v>
      </c>
      <c r="F86" s="256"/>
      <c r="G86" s="257">
        <v>45568.0</v>
      </c>
      <c r="H86" s="258">
        <v>1.75</v>
      </c>
      <c r="I86" s="254" t="s">
        <v>69</v>
      </c>
      <c r="J86" s="255" t="s">
        <v>96</v>
      </c>
      <c r="K86" s="68"/>
      <c r="L86" s="68"/>
    </row>
    <row r="87">
      <c r="A87" s="68"/>
      <c r="B87" s="77"/>
      <c r="C87" s="254" t="s">
        <v>66</v>
      </c>
      <c r="D87" s="255" t="s">
        <v>113</v>
      </c>
      <c r="E87" s="254" t="s">
        <v>89</v>
      </c>
      <c r="F87" s="256"/>
      <c r="G87" s="257">
        <v>45566.0</v>
      </c>
      <c r="H87" s="258">
        <v>86.0</v>
      </c>
      <c r="I87" s="254" t="s">
        <v>70</v>
      </c>
      <c r="J87" s="259" t="s">
        <v>90</v>
      </c>
      <c r="K87" s="68"/>
      <c r="L87" s="68"/>
    </row>
    <row r="88">
      <c r="A88" s="68"/>
      <c r="B88" s="77"/>
      <c r="C88" s="254" t="s">
        <v>66</v>
      </c>
      <c r="D88" s="255" t="s">
        <v>113</v>
      </c>
      <c r="E88" s="254" t="s">
        <v>89</v>
      </c>
      <c r="F88" s="256"/>
      <c r="G88" s="257">
        <v>45568.0</v>
      </c>
      <c r="H88" s="258">
        <v>2.0</v>
      </c>
      <c r="I88" s="254" t="s">
        <v>70</v>
      </c>
      <c r="J88" s="255" t="s">
        <v>96</v>
      </c>
      <c r="K88" s="68"/>
      <c r="L88" s="68"/>
    </row>
    <row r="89">
      <c r="A89" s="68"/>
      <c r="B89" s="77"/>
      <c r="C89" s="254" t="s">
        <v>66</v>
      </c>
      <c r="D89" s="255" t="s">
        <v>113</v>
      </c>
      <c r="E89" s="254" t="s">
        <v>97</v>
      </c>
      <c r="F89" s="256"/>
      <c r="G89" s="257">
        <v>45566.0</v>
      </c>
      <c r="H89" s="258">
        <v>29.75</v>
      </c>
      <c r="I89" s="254" t="s">
        <v>70</v>
      </c>
      <c r="J89" s="255" t="s">
        <v>96</v>
      </c>
      <c r="K89" s="68"/>
      <c r="L89" s="68"/>
    </row>
    <row r="90">
      <c r="A90" s="68"/>
      <c r="B90" s="77"/>
      <c r="C90" s="254" t="s">
        <v>66</v>
      </c>
      <c r="D90" s="255" t="s">
        <v>113</v>
      </c>
      <c r="E90" s="254" t="s">
        <v>97</v>
      </c>
      <c r="F90" s="256"/>
      <c r="G90" s="257">
        <v>45566.0</v>
      </c>
      <c r="H90" s="258">
        <v>56.05</v>
      </c>
      <c r="I90" s="254" t="s">
        <v>70</v>
      </c>
      <c r="J90" s="255" t="s">
        <v>93</v>
      </c>
      <c r="K90" s="68"/>
      <c r="L90" s="68"/>
    </row>
    <row r="91">
      <c r="A91" s="68"/>
      <c r="B91" s="77"/>
      <c r="C91" s="254" t="s">
        <v>66</v>
      </c>
      <c r="D91" s="255" t="s">
        <v>113</v>
      </c>
      <c r="E91" s="254" t="s">
        <v>97</v>
      </c>
      <c r="F91" s="256"/>
      <c r="G91" s="257">
        <v>45580.0</v>
      </c>
      <c r="H91" s="258">
        <v>4.0</v>
      </c>
      <c r="I91" s="254" t="s">
        <v>70</v>
      </c>
      <c r="J91" s="255" t="s">
        <v>88</v>
      </c>
      <c r="K91" s="68"/>
      <c r="L91" s="68"/>
    </row>
    <row r="92">
      <c r="A92" s="68"/>
      <c r="B92" s="77"/>
      <c r="C92" s="254" t="s">
        <v>66</v>
      </c>
      <c r="D92" s="255" t="s">
        <v>113</v>
      </c>
      <c r="E92" s="254" t="s">
        <v>112</v>
      </c>
      <c r="F92" s="256"/>
      <c r="G92" s="257">
        <v>45568.0</v>
      </c>
      <c r="H92" s="258">
        <v>2.25</v>
      </c>
      <c r="I92" s="254" t="s">
        <v>70</v>
      </c>
      <c r="J92" s="255" t="s">
        <v>96</v>
      </c>
      <c r="K92" s="68"/>
      <c r="L92" s="68"/>
    </row>
    <row r="93">
      <c r="A93" s="68"/>
      <c r="B93" s="77"/>
      <c r="C93" s="254" t="s">
        <v>66</v>
      </c>
      <c r="D93" s="255" t="s">
        <v>113</v>
      </c>
      <c r="E93" s="254" t="s">
        <v>112</v>
      </c>
      <c r="F93" s="256"/>
      <c r="G93" s="257">
        <v>45566.0</v>
      </c>
      <c r="H93" s="258">
        <v>77.43</v>
      </c>
      <c r="I93" s="254" t="s">
        <v>70</v>
      </c>
      <c r="J93" s="255" t="s">
        <v>88</v>
      </c>
      <c r="K93" s="68"/>
      <c r="L93" s="68"/>
    </row>
    <row r="94">
      <c r="A94" s="68"/>
      <c r="B94" s="77"/>
      <c r="C94" s="254" t="s">
        <v>66</v>
      </c>
      <c r="D94" s="255" t="s">
        <v>114</v>
      </c>
      <c r="E94" s="254" t="s">
        <v>101</v>
      </c>
      <c r="F94" s="256"/>
      <c r="G94" s="257">
        <v>45567.0</v>
      </c>
      <c r="H94" s="258">
        <v>19.0</v>
      </c>
      <c r="I94" s="254" t="s">
        <v>70</v>
      </c>
      <c r="J94" s="255" t="s">
        <v>93</v>
      </c>
      <c r="K94" s="68"/>
      <c r="L94" s="68"/>
    </row>
    <row r="95">
      <c r="A95" s="68"/>
      <c r="B95" s="77"/>
      <c r="C95" s="254" t="s">
        <v>66</v>
      </c>
      <c r="D95" s="255" t="s">
        <v>114</v>
      </c>
      <c r="E95" s="260" t="s">
        <v>87</v>
      </c>
      <c r="F95" s="256"/>
      <c r="G95" s="257">
        <v>45566.0</v>
      </c>
      <c r="H95" s="258">
        <v>58.0</v>
      </c>
      <c r="I95" s="254" t="s">
        <v>70</v>
      </c>
      <c r="J95" s="255" t="s">
        <v>88</v>
      </c>
      <c r="K95" s="68"/>
      <c r="L95" s="68"/>
    </row>
    <row r="96">
      <c r="A96" s="68"/>
      <c r="B96" s="77"/>
      <c r="C96" s="254" t="s">
        <v>66</v>
      </c>
      <c r="D96" s="255" t="s">
        <v>114</v>
      </c>
      <c r="E96" s="254" t="s">
        <v>89</v>
      </c>
      <c r="F96" s="256"/>
      <c r="G96" s="257">
        <v>45595.0</v>
      </c>
      <c r="H96" s="258">
        <v>10.0</v>
      </c>
      <c r="I96" s="254" t="s">
        <v>70</v>
      </c>
      <c r="J96" s="259" t="s">
        <v>90</v>
      </c>
      <c r="K96" s="68"/>
      <c r="L96" s="68"/>
    </row>
    <row r="97">
      <c r="A97" s="68"/>
      <c r="B97" s="77"/>
      <c r="C97" s="254" t="s">
        <v>66</v>
      </c>
      <c r="D97" s="255" t="s">
        <v>114</v>
      </c>
      <c r="E97" s="254" t="s">
        <v>95</v>
      </c>
      <c r="F97" s="256"/>
      <c r="G97" s="257">
        <v>45572.0</v>
      </c>
      <c r="H97" s="258">
        <v>0.5</v>
      </c>
      <c r="I97" s="254" t="s">
        <v>70</v>
      </c>
      <c r="J97" s="255" t="s">
        <v>96</v>
      </c>
      <c r="K97" s="68"/>
      <c r="L97" s="68"/>
    </row>
    <row r="98">
      <c r="A98" s="68"/>
      <c r="B98" s="77"/>
      <c r="C98" s="254" t="s">
        <v>66</v>
      </c>
      <c r="D98" s="255" t="s">
        <v>114</v>
      </c>
      <c r="E98" s="261" t="s">
        <v>97</v>
      </c>
      <c r="F98" s="256"/>
      <c r="G98" s="257">
        <v>45579.0</v>
      </c>
      <c r="H98" s="258">
        <v>1.0</v>
      </c>
      <c r="I98" s="254" t="s">
        <v>70</v>
      </c>
      <c r="J98" s="255" t="s">
        <v>96</v>
      </c>
      <c r="K98" s="68"/>
      <c r="L98" s="68"/>
    </row>
    <row r="99">
      <c r="A99" s="68"/>
      <c r="B99" s="77"/>
      <c r="C99" s="254" t="s">
        <v>66</v>
      </c>
      <c r="D99" s="255" t="s">
        <v>115</v>
      </c>
      <c r="E99" s="254" t="s">
        <v>92</v>
      </c>
      <c r="F99" s="256"/>
      <c r="G99" s="257">
        <v>45580.0</v>
      </c>
      <c r="H99" s="258">
        <v>7.25</v>
      </c>
      <c r="I99" s="254" t="s">
        <v>70</v>
      </c>
      <c r="J99" s="255" t="s">
        <v>93</v>
      </c>
      <c r="K99" s="68"/>
      <c r="L99" s="68"/>
    </row>
    <row r="100">
      <c r="A100" s="68"/>
      <c r="B100" s="77"/>
      <c r="C100" s="254" t="s">
        <v>66</v>
      </c>
      <c r="D100" s="255" t="s">
        <v>115</v>
      </c>
      <c r="E100" s="254" t="s">
        <v>97</v>
      </c>
      <c r="F100" s="256"/>
      <c r="G100" s="257">
        <v>45590.0</v>
      </c>
      <c r="H100" s="258">
        <v>2.25</v>
      </c>
      <c r="I100" s="254" t="s">
        <v>70</v>
      </c>
      <c r="J100" s="255" t="s">
        <v>93</v>
      </c>
      <c r="K100" s="68"/>
      <c r="L100" s="68"/>
    </row>
    <row r="101">
      <c r="A101" s="68"/>
      <c r="B101" s="77"/>
      <c r="C101" s="254" t="s">
        <v>66</v>
      </c>
      <c r="D101" s="255" t="s">
        <v>115</v>
      </c>
      <c r="E101" s="254" t="s">
        <v>99</v>
      </c>
      <c r="F101" s="256"/>
      <c r="G101" s="257">
        <v>45566.0</v>
      </c>
      <c r="H101" s="258">
        <v>136.28</v>
      </c>
      <c r="I101" s="254" t="s">
        <v>70</v>
      </c>
      <c r="J101" s="255" t="s">
        <v>88</v>
      </c>
      <c r="K101" s="68"/>
      <c r="L101" s="68"/>
    </row>
    <row r="102">
      <c r="A102" s="68"/>
      <c r="B102" s="77"/>
      <c r="C102" s="254" t="s">
        <v>66</v>
      </c>
      <c r="D102" s="255" t="s">
        <v>115</v>
      </c>
      <c r="E102" s="254" t="s">
        <v>112</v>
      </c>
      <c r="F102" s="256"/>
      <c r="G102" s="257">
        <v>45593.0</v>
      </c>
      <c r="H102" s="258">
        <v>8.8</v>
      </c>
      <c r="I102" s="254" t="s">
        <v>70</v>
      </c>
      <c r="J102" s="255" t="s">
        <v>96</v>
      </c>
      <c r="K102" s="68"/>
      <c r="L102" s="68"/>
    </row>
    <row r="103">
      <c r="A103" s="68"/>
      <c r="B103" s="77"/>
      <c r="C103" s="254" t="s">
        <v>66</v>
      </c>
      <c r="D103" s="255" t="s">
        <v>115</v>
      </c>
      <c r="E103" s="254" t="s">
        <v>112</v>
      </c>
      <c r="F103" s="256"/>
      <c r="G103" s="257">
        <v>45590.0</v>
      </c>
      <c r="H103" s="258">
        <v>2.25</v>
      </c>
      <c r="I103" s="254" t="s">
        <v>70</v>
      </c>
      <c r="J103" s="255" t="s">
        <v>88</v>
      </c>
      <c r="K103" s="68"/>
      <c r="L103" s="68"/>
    </row>
    <row r="104">
      <c r="A104" s="68"/>
      <c r="B104" s="77"/>
      <c r="C104" s="254" t="s">
        <v>66</v>
      </c>
      <c r="D104" s="255" t="s">
        <v>116</v>
      </c>
      <c r="E104" s="254" t="s">
        <v>95</v>
      </c>
      <c r="F104" s="256"/>
      <c r="G104" s="257">
        <v>45580.0</v>
      </c>
      <c r="H104" s="258">
        <v>6.5</v>
      </c>
      <c r="I104" s="254" t="s">
        <v>70</v>
      </c>
      <c r="J104" s="255" t="s">
        <v>96</v>
      </c>
      <c r="K104" s="68"/>
      <c r="L104" s="68"/>
    </row>
    <row r="105">
      <c r="A105" s="68"/>
      <c r="B105" s="77"/>
      <c r="C105" s="254" t="s">
        <v>66</v>
      </c>
      <c r="D105" s="255" t="s">
        <v>111</v>
      </c>
      <c r="E105" s="254" t="s">
        <v>92</v>
      </c>
      <c r="F105" s="256"/>
      <c r="G105" s="257">
        <v>45601.0</v>
      </c>
      <c r="H105" s="258">
        <v>10.25</v>
      </c>
      <c r="I105" s="254" t="s">
        <v>70</v>
      </c>
      <c r="J105" s="255" t="s">
        <v>96</v>
      </c>
      <c r="K105" s="68"/>
      <c r="L105" s="68"/>
    </row>
    <row r="106">
      <c r="A106" s="68"/>
      <c r="B106" s="77"/>
      <c r="C106" s="261" t="s">
        <v>66</v>
      </c>
      <c r="D106" s="262" t="s">
        <v>113</v>
      </c>
      <c r="E106" s="261" t="s">
        <v>89</v>
      </c>
      <c r="F106" s="263"/>
      <c r="G106" s="264">
        <v>45597.0</v>
      </c>
      <c r="H106" s="265">
        <v>25.75</v>
      </c>
      <c r="I106" s="261" t="s">
        <v>70</v>
      </c>
      <c r="J106" s="266" t="s">
        <v>90</v>
      </c>
      <c r="K106" s="68"/>
      <c r="L106" s="68"/>
    </row>
    <row r="107">
      <c r="A107" s="68"/>
      <c r="B107" s="77"/>
      <c r="C107" s="261" t="s">
        <v>66</v>
      </c>
      <c r="D107" s="262" t="s">
        <v>113</v>
      </c>
      <c r="E107" s="261" t="s">
        <v>89</v>
      </c>
      <c r="F107" s="263"/>
      <c r="G107" s="264">
        <v>45614.0</v>
      </c>
      <c r="H107" s="265">
        <v>1.5</v>
      </c>
      <c r="I107" s="261" t="s">
        <v>70</v>
      </c>
      <c r="J107" s="262" t="s">
        <v>96</v>
      </c>
      <c r="K107" s="68"/>
      <c r="L107" s="68"/>
    </row>
    <row r="108">
      <c r="A108" s="68"/>
      <c r="B108" s="77"/>
      <c r="C108" s="261" t="s">
        <v>66</v>
      </c>
      <c r="D108" s="262" t="s">
        <v>113</v>
      </c>
      <c r="E108" s="261" t="s">
        <v>92</v>
      </c>
      <c r="F108" s="263"/>
      <c r="G108" s="267">
        <v>45602.0</v>
      </c>
      <c r="H108" s="265">
        <v>1.75</v>
      </c>
      <c r="I108" s="261" t="s">
        <v>70</v>
      </c>
      <c r="J108" s="262" t="s">
        <v>93</v>
      </c>
      <c r="K108" s="68"/>
      <c r="L108" s="68"/>
    </row>
    <row r="109">
      <c r="A109" s="68"/>
      <c r="B109" s="77"/>
      <c r="C109" s="261" t="s">
        <v>66</v>
      </c>
      <c r="D109" s="262" t="s">
        <v>113</v>
      </c>
      <c r="E109" s="261" t="s">
        <v>97</v>
      </c>
      <c r="F109" s="263"/>
      <c r="G109" s="264">
        <v>45605.0</v>
      </c>
      <c r="H109" s="265">
        <v>9.3</v>
      </c>
      <c r="I109" s="261" t="s">
        <v>70</v>
      </c>
      <c r="J109" s="262" t="s">
        <v>96</v>
      </c>
      <c r="K109" s="68"/>
      <c r="L109" s="68"/>
    </row>
    <row r="110">
      <c r="A110" s="68"/>
      <c r="B110" s="77"/>
      <c r="C110" s="261" t="s">
        <v>66</v>
      </c>
      <c r="D110" s="262" t="s">
        <v>113</v>
      </c>
      <c r="E110" s="261" t="s">
        <v>97</v>
      </c>
      <c r="F110" s="263"/>
      <c r="G110" s="264">
        <v>45614.0</v>
      </c>
      <c r="H110" s="265">
        <v>53.8</v>
      </c>
      <c r="I110" s="261" t="s">
        <v>70</v>
      </c>
      <c r="J110" s="262" t="s">
        <v>93</v>
      </c>
      <c r="K110" s="68"/>
      <c r="L110" s="68"/>
    </row>
    <row r="111">
      <c r="A111" s="68"/>
      <c r="B111" s="77"/>
      <c r="C111" s="261" t="s">
        <v>66</v>
      </c>
      <c r="D111" s="262" t="s">
        <v>113</v>
      </c>
      <c r="E111" s="261" t="s">
        <v>112</v>
      </c>
      <c r="F111" s="263"/>
      <c r="G111" s="264">
        <v>45601.0</v>
      </c>
      <c r="H111" s="265">
        <v>121.75</v>
      </c>
      <c r="I111" s="261" t="s">
        <v>70</v>
      </c>
      <c r="J111" s="262" t="s">
        <v>88</v>
      </c>
      <c r="K111" s="68"/>
      <c r="L111" s="68"/>
    </row>
    <row r="112">
      <c r="A112" s="68"/>
      <c r="B112" s="77"/>
      <c r="C112" s="254" t="s">
        <v>66</v>
      </c>
      <c r="D112" s="255" t="s">
        <v>114</v>
      </c>
      <c r="E112" s="254" t="s">
        <v>101</v>
      </c>
      <c r="F112" s="256"/>
      <c r="G112" s="257">
        <v>45597.0</v>
      </c>
      <c r="H112" s="258">
        <v>27.5</v>
      </c>
      <c r="I112" s="254" t="s">
        <v>70</v>
      </c>
      <c r="J112" s="255" t="s">
        <v>93</v>
      </c>
      <c r="K112" s="68"/>
      <c r="L112" s="68"/>
    </row>
    <row r="113">
      <c r="A113" s="68"/>
      <c r="B113" s="77"/>
      <c r="C113" s="254" t="s">
        <v>66</v>
      </c>
      <c r="D113" s="255" t="s">
        <v>114</v>
      </c>
      <c r="E113" s="260" t="s">
        <v>87</v>
      </c>
      <c r="F113" s="256"/>
      <c r="G113" s="257">
        <v>45600.0</v>
      </c>
      <c r="H113" s="258">
        <v>41.75</v>
      </c>
      <c r="I113" s="254" t="s">
        <v>70</v>
      </c>
      <c r="J113" s="255" t="s">
        <v>88</v>
      </c>
      <c r="K113" s="68"/>
      <c r="L113" s="68"/>
    </row>
    <row r="114">
      <c r="A114" s="68"/>
      <c r="B114" s="77"/>
      <c r="C114" s="254" t="s">
        <v>66</v>
      </c>
      <c r="D114" s="255" t="s">
        <v>114</v>
      </c>
      <c r="E114" s="254" t="s">
        <v>89</v>
      </c>
      <c r="F114" s="256"/>
      <c r="G114" s="257">
        <v>45600.0</v>
      </c>
      <c r="H114" s="258">
        <v>4.25</v>
      </c>
      <c r="I114" s="254" t="s">
        <v>70</v>
      </c>
      <c r="J114" s="259" t="s">
        <v>90</v>
      </c>
      <c r="K114" s="68"/>
      <c r="L114" s="68"/>
    </row>
    <row r="115">
      <c r="A115" s="68"/>
      <c r="B115" s="77"/>
      <c r="C115" s="254" t="s">
        <v>66</v>
      </c>
      <c r="D115" s="255" t="s">
        <v>114</v>
      </c>
      <c r="E115" s="254" t="s">
        <v>95</v>
      </c>
      <c r="F115" s="256"/>
      <c r="G115" s="257">
        <v>45601.0</v>
      </c>
      <c r="H115" s="258">
        <v>44.75</v>
      </c>
      <c r="I115" s="254" t="s">
        <v>70</v>
      </c>
      <c r="J115" s="255" t="s">
        <v>96</v>
      </c>
      <c r="K115" s="68"/>
      <c r="L115" s="68"/>
    </row>
    <row r="116">
      <c r="A116" s="68"/>
      <c r="B116" s="77"/>
      <c r="C116" s="254" t="s">
        <v>66</v>
      </c>
      <c r="D116" s="255" t="s">
        <v>114</v>
      </c>
      <c r="E116" s="254" t="s">
        <v>98</v>
      </c>
      <c r="F116" s="256"/>
      <c r="G116" s="257">
        <v>45601.0</v>
      </c>
      <c r="H116" s="258">
        <v>30.0</v>
      </c>
      <c r="I116" s="254" t="s">
        <v>70</v>
      </c>
      <c r="J116" s="255" t="s">
        <v>96</v>
      </c>
      <c r="K116" s="68"/>
      <c r="L116" s="68"/>
    </row>
    <row r="117">
      <c r="A117" s="68"/>
      <c r="B117" s="77"/>
      <c r="C117" s="254" t="s">
        <v>66</v>
      </c>
      <c r="D117" s="255" t="s">
        <v>115</v>
      </c>
      <c r="E117" s="261" t="s">
        <v>89</v>
      </c>
      <c r="F117" s="256"/>
      <c r="G117" s="257">
        <v>45600.0</v>
      </c>
      <c r="H117" s="258">
        <v>3.5</v>
      </c>
      <c r="I117" s="261" t="s">
        <v>70</v>
      </c>
      <c r="J117" s="266" t="s">
        <v>90</v>
      </c>
      <c r="K117" s="68"/>
      <c r="L117" s="68"/>
    </row>
    <row r="118">
      <c r="A118" s="68"/>
      <c r="B118" s="77"/>
      <c r="C118" s="254" t="s">
        <v>66</v>
      </c>
      <c r="D118" s="255" t="s">
        <v>115</v>
      </c>
      <c r="E118" s="261" t="s">
        <v>92</v>
      </c>
      <c r="F118" s="256"/>
      <c r="G118" s="257">
        <v>45623.0</v>
      </c>
      <c r="H118" s="258">
        <v>5.5</v>
      </c>
      <c r="I118" s="254" t="s">
        <v>70</v>
      </c>
      <c r="J118" s="255" t="s">
        <v>93</v>
      </c>
      <c r="K118" s="68"/>
      <c r="L118" s="68"/>
    </row>
    <row r="119">
      <c r="A119" s="68"/>
      <c r="B119" s="77"/>
      <c r="C119" s="254" t="s">
        <v>66</v>
      </c>
      <c r="D119" s="255" t="s">
        <v>115</v>
      </c>
      <c r="E119" s="254" t="s">
        <v>95</v>
      </c>
      <c r="F119" s="256"/>
      <c r="G119" s="257">
        <v>45614.0</v>
      </c>
      <c r="H119" s="258">
        <v>48.0</v>
      </c>
      <c r="I119" s="261" t="s">
        <v>70</v>
      </c>
      <c r="J119" s="255" t="s">
        <v>96</v>
      </c>
      <c r="K119" s="68"/>
      <c r="L119" s="68"/>
    </row>
    <row r="120">
      <c r="A120" s="68"/>
      <c r="B120" s="77"/>
      <c r="C120" s="254" t="s">
        <v>66</v>
      </c>
      <c r="D120" s="255" t="s">
        <v>115</v>
      </c>
      <c r="E120" s="254" t="s">
        <v>98</v>
      </c>
      <c r="F120" s="256"/>
      <c r="G120" s="257">
        <v>45610.0</v>
      </c>
      <c r="H120" s="258">
        <v>49.0</v>
      </c>
      <c r="I120" s="254" t="s">
        <v>70</v>
      </c>
      <c r="J120" s="255" t="s">
        <v>96</v>
      </c>
      <c r="K120" s="68"/>
      <c r="L120" s="68"/>
    </row>
    <row r="121">
      <c r="A121" s="68"/>
      <c r="B121" s="77"/>
      <c r="C121" s="254" t="s">
        <v>66</v>
      </c>
      <c r="D121" s="255" t="s">
        <v>115</v>
      </c>
      <c r="E121" s="254" t="s">
        <v>99</v>
      </c>
      <c r="F121" s="256"/>
      <c r="G121" s="268">
        <v>45615.0</v>
      </c>
      <c r="H121" s="258">
        <v>10.93</v>
      </c>
      <c r="I121" s="254" t="s">
        <v>70</v>
      </c>
      <c r="J121" s="255" t="s">
        <v>96</v>
      </c>
      <c r="K121" s="68"/>
      <c r="L121" s="68"/>
    </row>
    <row r="122">
      <c r="A122" s="68"/>
      <c r="B122" s="77"/>
      <c r="C122" s="254" t="s">
        <v>66</v>
      </c>
      <c r="D122" s="255" t="s">
        <v>115</v>
      </c>
      <c r="E122" s="254" t="s">
        <v>99</v>
      </c>
      <c r="F122" s="256"/>
      <c r="G122" s="257">
        <v>45597.0</v>
      </c>
      <c r="H122" s="258">
        <v>90.82</v>
      </c>
      <c r="I122" s="254" t="s">
        <v>70</v>
      </c>
      <c r="J122" s="255" t="s">
        <v>88</v>
      </c>
      <c r="K122" s="68"/>
      <c r="L122" s="68"/>
    </row>
    <row r="123">
      <c r="A123" s="68"/>
      <c r="B123" s="77"/>
      <c r="C123" s="254" t="s">
        <v>66</v>
      </c>
      <c r="D123" s="255" t="s">
        <v>116</v>
      </c>
      <c r="E123" s="261" t="s">
        <v>89</v>
      </c>
      <c r="F123" s="256"/>
      <c r="G123" s="257">
        <v>45603.0</v>
      </c>
      <c r="H123" s="258">
        <v>76.0</v>
      </c>
      <c r="I123" s="254" t="s">
        <v>70</v>
      </c>
      <c r="J123" s="255" t="s">
        <v>96</v>
      </c>
      <c r="K123" s="68"/>
      <c r="L123" s="68"/>
    </row>
    <row r="124">
      <c r="A124" s="68"/>
      <c r="B124" s="77"/>
      <c r="C124" s="254" t="s">
        <v>66</v>
      </c>
      <c r="D124" s="255" t="s">
        <v>116</v>
      </c>
      <c r="E124" s="254" t="s">
        <v>97</v>
      </c>
      <c r="F124" s="256"/>
      <c r="G124" s="257">
        <v>45621.0</v>
      </c>
      <c r="H124" s="258">
        <v>4.25</v>
      </c>
      <c r="I124" s="254" t="s">
        <v>70</v>
      </c>
      <c r="J124" s="255" t="s">
        <v>96</v>
      </c>
      <c r="K124" s="68"/>
      <c r="L124" s="68"/>
    </row>
    <row r="125">
      <c r="A125" s="68"/>
      <c r="B125" s="77"/>
      <c r="C125" s="254" t="s">
        <v>66</v>
      </c>
      <c r="D125" s="255" t="s">
        <v>116</v>
      </c>
      <c r="E125" s="254" t="s">
        <v>112</v>
      </c>
      <c r="F125" s="256"/>
      <c r="G125" s="257">
        <v>45621.0</v>
      </c>
      <c r="H125" s="258">
        <v>1.75</v>
      </c>
      <c r="I125" s="254" t="s">
        <v>70</v>
      </c>
      <c r="J125" s="255" t="s">
        <v>96</v>
      </c>
      <c r="K125" s="68"/>
      <c r="L125" s="68"/>
    </row>
    <row r="126">
      <c r="A126" s="68"/>
      <c r="B126" s="77"/>
      <c r="C126" s="254" t="s">
        <v>66</v>
      </c>
      <c r="D126" s="255" t="s">
        <v>111</v>
      </c>
      <c r="E126" s="254" t="s">
        <v>92</v>
      </c>
      <c r="F126" s="256"/>
      <c r="G126" s="257">
        <v>45629.0</v>
      </c>
      <c r="H126" s="258">
        <v>13.75</v>
      </c>
      <c r="I126" s="254" t="s">
        <v>70</v>
      </c>
      <c r="J126" s="259" t="s">
        <v>90</v>
      </c>
      <c r="K126" s="68"/>
      <c r="L126" s="68"/>
    </row>
    <row r="127">
      <c r="A127" s="68"/>
      <c r="B127" s="77"/>
      <c r="C127" s="254" t="s">
        <v>66</v>
      </c>
      <c r="D127" s="255" t="s">
        <v>111</v>
      </c>
      <c r="E127" s="254" t="s">
        <v>89</v>
      </c>
      <c r="F127" s="256"/>
      <c r="G127" s="257">
        <v>45636.0</v>
      </c>
      <c r="H127" s="258">
        <v>1.0</v>
      </c>
      <c r="I127" s="254" t="s">
        <v>70</v>
      </c>
      <c r="J127" s="255" t="s">
        <v>96</v>
      </c>
      <c r="K127" s="68"/>
      <c r="L127" s="68"/>
    </row>
    <row r="128">
      <c r="A128" s="68"/>
      <c r="B128" s="77"/>
      <c r="C128" s="254" t="s">
        <v>66</v>
      </c>
      <c r="D128" s="255" t="s">
        <v>113</v>
      </c>
      <c r="E128" s="254" t="s">
        <v>89</v>
      </c>
      <c r="F128" s="256"/>
      <c r="G128" s="257">
        <v>45629.0</v>
      </c>
      <c r="H128" s="258">
        <v>9.0</v>
      </c>
      <c r="I128" s="254" t="s">
        <v>70</v>
      </c>
      <c r="J128" s="259" t="s">
        <v>90</v>
      </c>
      <c r="K128" s="68"/>
      <c r="L128" s="68"/>
    </row>
    <row r="129">
      <c r="A129" s="68"/>
      <c r="B129" s="77"/>
      <c r="C129" s="254" t="s">
        <v>66</v>
      </c>
      <c r="D129" s="255" t="s">
        <v>113</v>
      </c>
      <c r="E129" s="254" t="s">
        <v>92</v>
      </c>
      <c r="F129" s="256"/>
      <c r="G129" s="269">
        <v>45630.0</v>
      </c>
      <c r="H129" s="258">
        <v>78.45</v>
      </c>
      <c r="I129" s="254" t="s">
        <v>70</v>
      </c>
      <c r="J129" s="255" t="s">
        <v>93</v>
      </c>
      <c r="K129" s="68"/>
      <c r="L129" s="68"/>
    </row>
    <row r="130">
      <c r="A130" s="68"/>
      <c r="B130" s="77"/>
      <c r="C130" s="254" t="s">
        <v>66</v>
      </c>
      <c r="D130" s="255" t="s">
        <v>113</v>
      </c>
      <c r="E130" s="254" t="s">
        <v>92</v>
      </c>
      <c r="F130" s="256"/>
      <c r="G130" s="269">
        <v>45643.0</v>
      </c>
      <c r="H130" s="258">
        <v>21.4</v>
      </c>
      <c r="I130" s="254" t="s">
        <v>70</v>
      </c>
      <c r="J130" s="255" t="s">
        <v>88</v>
      </c>
      <c r="K130" s="68"/>
      <c r="L130" s="68"/>
    </row>
    <row r="131">
      <c r="A131" s="68"/>
      <c r="B131" s="77"/>
      <c r="C131" s="254" t="s">
        <v>66</v>
      </c>
      <c r="D131" s="255" t="s">
        <v>113</v>
      </c>
      <c r="E131" s="254" t="s">
        <v>97</v>
      </c>
      <c r="F131" s="256"/>
      <c r="G131" s="257">
        <v>45629.0</v>
      </c>
      <c r="H131" s="258">
        <v>15.15</v>
      </c>
      <c r="I131" s="254" t="s">
        <v>70</v>
      </c>
      <c r="J131" s="255" t="s">
        <v>96</v>
      </c>
      <c r="K131" s="68"/>
      <c r="L131" s="68"/>
    </row>
    <row r="132">
      <c r="A132" s="68"/>
      <c r="B132" s="77"/>
      <c r="C132" s="254" t="s">
        <v>66</v>
      </c>
      <c r="D132" s="255" t="s">
        <v>113</v>
      </c>
      <c r="E132" s="254" t="s">
        <v>97</v>
      </c>
      <c r="F132" s="256"/>
      <c r="G132" s="257">
        <v>45628.0</v>
      </c>
      <c r="H132" s="258">
        <v>80.35</v>
      </c>
      <c r="I132" s="254" t="s">
        <v>70</v>
      </c>
      <c r="J132" s="255" t="s">
        <v>93</v>
      </c>
      <c r="K132" s="68"/>
      <c r="L132" s="68"/>
    </row>
    <row r="133">
      <c r="A133" s="68"/>
      <c r="B133" s="77"/>
      <c r="C133" s="254" t="s">
        <v>66</v>
      </c>
      <c r="D133" s="255" t="s">
        <v>113</v>
      </c>
      <c r="E133" s="254" t="s">
        <v>99</v>
      </c>
      <c r="F133" s="256"/>
      <c r="G133" s="257">
        <v>45632.0</v>
      </c>
      <c r="H133" s="258">
        <v>72.75</v>
      </c>
      <c r="I133" s="254" t="s">
        <v>70</v>
      </c>
      <c r="J133" s="255" t="s">
        <v>88</v>
      </c>
      <c r="K133" s="68"/>
      <c r="L133" s="68"/>
    </row>
    <row r="134">
      <c r="A134" s="68"/>
      <c r="B134" s="77"/>
      <c r="C134" s="254" t="s">
        <v>66</v>
      </c>
      <c r="D134" s="255" t="s">
        <v>113</v>
      </c>
      <c r="E134" s="254" t="s">
        <v>112</v>
      </c>
      <c r="F134" s="256"/>
      <c r="G134" s="257">
        <v>45629.0</v>
      </c>
      <c r="H134" s="258">
        <v>12.0</v>
      </c>
      <c r="I134" s="254" t="s">
        <v>70</v>
      </c>
      <c r="J134" s="255" t="s">
        <v>96</v>
      </c>
      <c r="K134" s="68"/>
      <c r="L134" s="68"/>
    </row>
    <row r="135">
      <c r="A135" s="68"/>
      <c r="B135" s="77"/>
      <c r="C135" s="254" t="s">
        <v>66</v>
      </c>
      <c r="D135" s="255" t="s">
        <v>113</v>
      </c>
      <c r="E135" s="254" t="s">
        <v>112</v>
      </c>
      <c r="F135" s="256"/>
      <c r="G135" s="257">
        <v>45628.0</v>
      </c>
      <c r="H135" s="258">
        <v>146.1</v>
      </c>
      <c r="I135" s="254" t="s">
        <v>70</v>
      </c>
      <c r="J135" s="255" t="s">
        <v>88</v>
      </c>
      <c r="K135" s="68"/>
      <c r="L135" s="68"/>
    </row>
    <row r="136">
      <c r="A136" s="68"/>
      <c r="B136" s="77"/>
      <c r="C136" s="254" t="s">
        <v>66</v>
      </c>
      <c r="D136" s="255" t="s">
        <v>114</v>
      </c>
      <c r="E136" s="254" t="s">
        <v>101</v>
      </c>
      <c r="F136" s="256"/>
      <c r="G136" s="257">
        <v>45637.0</v>
      </c>
      <c r="H136" s="258">
        <v>5.5</v>
      </c>
      <c r="I136" s="254" t="s">
        <v>70</v>
      </c>
      <c r="J136" s="255" t="s">
        <v>96</v>
      </c>
      <c r="K136" s="68"/>
      <c r="L136" s="68"/>
    </row>
    <row r="137">
      <c r="A137" s="68"/>
      <c r="B137" s="77"/>
      <c r="C137" s="254" t="s">
        <v>66</v>
      </c>
      <c r="D137" s="255" t="s">
        <v>114</v>
      </c>
      <c r="E137" s="254" t="s">
        <v>101</v>
      </c>
      <c r="F137" s="256"/>
      <c r="G137" s="257">
        <v>45632.0</v>
      </c>
      <c r="H137" s="258">
        <v>4.0</v>
      </c>
      <c r="I137" s="254" t="s">
        <v>70</v>
      </c>
      <c r="J137" s="255" t="s">
        <v>93</v>
      </c>
      <c r="K137" s="68"/>
      <c r="L137" s="68"/>
    </row>
    <row r="138">
      <c r="A138" s="68"/>
      <c r="B138" s="77"/>
      <c r="C138" s="254" t="s">
        <v>66</v>
      </c>
      <c r="D138" s="255" t="s">
        <v>114</v>
      </c>
      <c r="E138" s="260" t="s">
        <v>87</v>
      </c>
      <c r="F138" s="256"/>
      <c r="G138" s="257">
        <v>45628.0</v>
      </c>
      <c r="H138" s="258">
        <v>17.5</v>
      </c>
      <c r="I138" s="254" t="s">
        <v>70</v>
      </c>
      <c r="J138" s="255" t="s">
        <v>88</v>
      </c>
      <c r="K138" s="68"/>
      <c r="L138" s="68"/>
    </row>
    <row r="139">
      <c r="A139" s="68"/>
      <c r="B139" s="77"/>
      <c r="C139" s="254" t="s">
        <v>66</v>
      </c>
      <c r="D139" s="255" t="s">
        <v>114</v>
      </c>
      <c r="E139" s="254" t="s">
        <v>89</v>
      </c>
      <c r="F139" s="256"/>
      <c r="G139" s="257">
        <v>45630.0</v>
      </c>
      <c r="H139" s="258">
        <v>2.5</v>
      </c>
      <c r="I139" s="254" t="s">
        <v>70</v>
      </c>
      <c r="J139" s="255" t="s">
        <v>96</v>
      </c>
      <c r="K139" s="68"/>
      <c r="L139" s="68"/>
    </row>
    <row r="140">
      <c r="A140" s="68"/>
      <c r="B140" s="77"/>
      <c r="C140" s="254" t="s">
        <v>66</v>
      </c>
      <c r="D140" s="255" t="s">
        <v>114</v>
      </c>
      <c r="E140" s="254" t="s">
        <v>95</v>
      </c>
      <c r="F140" s="256"/>
      <c r="G140" s="257">
        <v>45636.0</v>
      </c>
      <c r="H140" s="258">
        <v>50.5</v>
      </c>
      <c r="I140" s="254" t="s">
        <v>70</v>
      </c>
      <c r="J140" s="255" t="s">
        <v>96</v>
      </c>
      <c r="K140" s="68"/>
      <c r="L140" s="68"/>
    </row>
    <row r="141">
      <c r="A141" s="68"/>
      <c r="B141" s="77"/>
      <c r="C141" s="254" t="s">
        <v>66</v>
      </c>
      <c r="D141" s="255" t="s">
        <v>114</v>
      </c>
      <c r="E141" s="254" t="s">
        <v>98</v>
      </c>
      <c r="F141" s="256"/>
      <c r="G141" s="257">
        <v>45638.0</v>
      </c>
      <c r="H141" s="258">
        <v>9.5</v>
      </c>
      <c r="I141" s="254" t="s">
        <v>70</v>
      </c>
      <c r="J141" s="255" t="s">
        <v>96</v>
      </c>
      <c r="K141" s="68"/>
      <c r="L141" s="68"/>
    </row>
    <row r="142">
      <c r="A142" s="68"/>
      <c r="B142" s="77"/>
      <c r="C142" s="254" t="s">
        <v>66</v>
      </c>
      <c r="D142" s="255" t="s">
        <v>115</v>
      </c>
      <c r="E142" s="261" t="s">
        <v>92</v>
      </c>
      <c r="F142" s="256"/>
      <c r="G142" s="257">
        <v>45636.0</v>
      </c>
      <c r="H142" s="258">
        <v>1.5</v>
      </c>
      <c r="I142" s="254" t="s">
        <v>70</v>
      </c>
      <c r="J142" s="255" t="s">
        <v>88</v>
      </c>
      <c r="K142" s="68"/>
      <c r="L142" s="68"/>
    </row>
    <row r="143">
      <c r="A143" s="68"/>
      <c r="B143" s="77"/>
      <c r="C143" s="254" t="s">
        <v>66</v>
      </c>
      <c r="D143" s="255" t="s">
        <v>115</v>
      </c>
      <c r="E143" s="254" t="s">
        <v>95</v>
      </c>
      <c r="F143" s="256"/>
      <c r="G143" s="257">
        <v>45628.0</v>
      </c>
      <c r="H143" s="258">
        <v>1.5</v>
      </c>
      <c r="I143" s="261" t="s">
        <v>70</v>
      </c>
      <c r="J143" s="255" t="s">
        <v>96</v>
      </c>
      <c r="K143" s="68"/>
      <c r="L143" s="68"/>
    </row>
    <row r="144">
      <c r="A144" s="68"/>
      <c r="B144" s="77"/>
      <c r="C144" s="254" t="s">
        <v>66</v>
      </c>
      <c r="D144" s="255" t="s">
        <v>115</v>
      </c>
      <c r="E144" s="254" t="s">
        <v>98</v>
      </c>
      <c r="F144" s="256"/>
      <c r="G144" s="257">
        <v>45628.0</v>
      </c>
      <c r="H144" s="258">
        <v>26.0</v>
      </c>
      <c r="I144" s="254" t="s">
        <v>70</v>
      </c>
      <c r="J144" s="255" t="s">
        <v>96</v>
      </c>
      <c r="K144" s="68"/>
      <c r="L144" s="68"/>
    </row>
    <row r="145">
      <c r="A145" s="68"/>
      <c r="B145" s="77"/>
      <c r="C145" s="254" t="s">
        <v>66</v>
      </c>
      <c r="D145" s="255" t="s">
        <v>115</v>
      </c>
      <c r="E145" s="254" t="s">
        <v>99</v>
      </c>
      <c r="F145" s="256"/>
      <c r="G145" s="268">
        <v>45630.0</v>
      </c>
      <c r="H145" s="258">
        <v>10.55</v>
      </c>
      <c r="I145" s="254" t="s">
        <v>70</v>
      </c>
      <c r="J145" s="255" t="s">
        <v>96</v>
      </c>
      <c r="K145" s="68"/>
      <c r="L145" s="68"/>
    </row>
    <row r="146">
      <c r="A146" s="68"/>
      <c r="B146" s="77"/>
      <c r="C146" s="254" t="s">
        <v>66</v>
      </c>
      <c r="D146" s="255" t="s">
        <v>115</v>
      </c>
      <c r="E146" s="254" t="s">
        <v>99</v>
      </c>
      <c r="F146" s="256"/>
      <c r="G146" s="257">
        <v>45630.0</v>
      </c>
      <c r="H146" s="258">
        <v>4.75</v>
      </c>
      <c r="I146" s="254" t="s">
        <v>70</v>
      </c>
      <c r="J146" s="255" t="s">
        <v>88</v>
      </c>
      <c r="K146" s="68"/>
      <c r="L146" s="68"/>
    </row>
    <row r="147">
      <c r="A147" s="68"/>
      <c r="B147" s="77"/>
      <c r="C147" s="254" t="s">
        <v>66</v>
      </c>
      <c r="D147" s="255" t="s">
        <v>116</v>
      </c>
      <c r="E147" s="261" t="s">
        <v>89</v>
      </c>
      <c r="F147" s="256"/>
      <c r="G147" s="257">
        <v>45628.0</v>
      </c>
      <c r="H147" s="258">
        <v>63.25</v>
      </c>
      <c r="I147" s="254" t="s">
        <v>70</v>
      </c>
      <c r="J147" s="255" t="s">
        <v>117</v>
      </c>
      <c r="K147" s="68"/>
      <c r="L147" s="68"/>
    </row>
    <row r="148">
      <c r="A148" s="68"/>
      <c r="B148" s="77"/>
      <c r="C148" s="254" t="s">
        <v>66</v>
      </c>
      <c r="D148" s="255" t="s">
        <v>116</v>
      </c>
      <c r="E148" s="254" t="s">
        <v>95</v>
      </c>
      <c r="F148" s="256"/>
      <c r="G148" s="257">
        <v>45628.0</v>
      </c>
      <c r="H148" s="258">
        <v>6.0</v>
      </c>
      <c r="I148" s="254" t="s">
        <v>70</v>
      </c>
      <c r="J148" s="255" t="s">
        <v>118</v>
      </c>
      <c r="K148" s="68"/>
      <c r="L148" s="68"/>
    </row>
    <row r="149">
      <c r="A149" s="68"/>
      <c r="B149" s="77"/>
      <c r="C149" s="254" t="s">
        <v>66</v>
      </c>
      <c r="D149" s="255" t="s">
        <v>116</v>
      </c>
      <c r="E149" s="254" t="s">
        <v>98</v>
      </c>
      <c r="F149" s="256"/>
      <c r="G149" s="257">
        <v>45628.0</v>
      </c>
      <c r="H149" s="258">
        <v>30.0</v>
      </c>
      <c r="I149" s="254" t="s">
        <v>70</v>
      </c>
      <c r="J149" s="255" t="s">
        <v>118</v>
      </c>
      <c r="K149" s="68"/>
      <c r="L149" s="68"/>
    </row>
  </sheetData>
  <autoFilter ref="$B$11:$J$149"/>
  <mergeCells count="1">
    <mergeCell ref="B5:D6"/>
  </mergeCells>
  <dataValidations>
    <dataValidation type="list" allowBlank="1" sqref="E12:E149">
      <formula1>IRIS!$E$28:$E$75</formula1>
    </dataValidation>
    <dataValidation type="list" allowBlank="1" sqref="I12:I83">
      <formula1>$I$6:$I$9</formula1>
    </dataValidation>
    <dataValidation type="list" allowBlank="1" sqref="I84:I149">
      <formula1>$I$6:$I$9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39.88"/>
    <col customWidth="1" min="4" max="4" width="17.63"/>
    <col customWidth="1" min="5" max="5" width="11.88"/>
    <col customWidth="1" min="6" max="8" width="12.63"/>
    <col customWidth="1" min="9" max="9" width="17.63"/>
    <col customWidth="1" min="10" max="10" width="43.5"/>
    <col customWidth="1" min="11" max="11" width="12.63"/>
    <col customWidth="1" min="12" max="12" width="5.13"/>
  </cols>
  <sheetData>
    <row r="1" ht="11.25" customHeight="1">
      <c r="A1" s="68"/>
      <c r="B1" s="68"/>
      <c r="C1" s="68"/>
      <c r="D1" s="68"/>
      <c r="E1" s="68"/>
      <c r="F1" s="68"/>
      <c r="G1" s="270"/>
      <c r="H1" s="81"/>
      <c r="I1" s="68"/>
      <c r="J1" s="68"/>
      <c r="K1" s="84"/>
      <c r="L1" s="68"/>
    </row>
    <row r="2">
      <c r="A2" s="68"/>
      <c r="B2" s="69" t="s">
        <v>56</v>
      </c>
      <c r="C2" s="73"/>
      <c r="D2" s="73"/>
      <c r="E2" s="73"/>
      <c r="F2" s="73"/>
      <c r="G2" s="271"/>
      <c r="H2" s="86"/>
      <c r="I2" s="68"/>
      <c r="J2" s="68"/>
      <c r="K2" s="84"/>
      <c r="L2" s="68"/>
    </row>
    <row r="3">
      <c r="A3" s="68"/>
      <c r="B3" s="70" t="s">
        <v>57</v>
      </c>
      <c r="C3" s="73"/>
      <c r="D3" s="73"/>
      <c r="E3" s="73"/>
      <c r="F3" s="73"/>
      <c r="G3" s="271"/>
      <c r="H3" s="86"/>
      <c r="I3" s="68"/>
      <c r="J3" s="68"/>
      <c r="K3" s="84"/>
      <c r="L3" s="68"/>
    </row>
    <row r="4">
      <c r="A4" s="68"/>
      <c r="B4" s="71" t="s">
        <v>440</v>
      </c>
      <c r="C4" s="73"/>
      <c r="D4" s="73"/>
      <c r="E4" s="73"/>
      <c r="F4" s="73"/>
      <c r="G4" s="271"/>
      <c r="H4" s="86"/>
      <c r="I4" s="68"/>
      <c r="J4" s="68"/>
      <c r="K4" s="84"/>
      <c r="L4" s="68"/>
    </row>
    <row r="5">
      <c r="A5" s="68"/>
      <c r="B5" s="117" t="s">
        <v>59</v>
      </c>
      <c r="E5" s="117"/>
      <c r="F5" s="117"/>
      <c r="G5" s="272"/>
      <c r="H5" s="117"/>
      <c r="I5" s="68"/>
      <c r="J5" s="68"/>
      <c r="K5" s="84"/>
      <c r="L5" s="68"/>
    </row>
    <row r="6">
      <c r="A6" s="68"/>
      <c r="E6" s="117"/>
      <c r="F6" s="117"/>
      <c r="G6" s="272"/>
      <c r="H6" s="117"/>
      <c r="I6" s="68"/>
      <c r="J6" s="68"/>
      <c r="K6" s="84"/>
      <c r="L6" s="68"/>
    </row>
    <row r="7">
      <c r="A7" s="68"/>
      <c r="B7" s="73"/>
      <c r="C7" s="82"/>
      <c r="D7" s="82"/>
      <c r="E7" s="82"/>
      <c r="F7" s="82"/>
      <c r="G7" s="82"/>
      <c r="H7" s="82"/>
      <c r="I7" s="68"/>
      <c r="J7" s="68"/>
      <c r="K7" s="84"/>
      <c r="L7" s="68"/>
    </row>
    <row r="8">
      <c r="A8" s="68"/>
      <c r="B8" s="69" t="s">
        <v>60</v>
      </c>
      <c r="C8" s="82"/>
      <c r="D8" s="82"/>
      <c r="E8" s="82"/>
      <c r="F8" s="82"/>
      <c r="G8" s="82"/>
      <c r="H8" s="82"/>
      <c r="I8" s="68"/>
      <c r="J8" s="68"/>
      <c r="K8" s="84"/>
      <c r="L8" s="68"/>
    </row>
    <row r="9">
      <c r="A9" s="68"/>
      <c r="B9" s="70" t="s">
        <v>61</v>
      </c>
      <c r="C9" s="82"/>
      <c r="D9" s="82"/>
      <c r="E9" s="82"/>
      <c r="F9" s="273" t="s">
        <v>441</v>
      </c>
      <c r="G9" s="82"/>
      <c r="H9" s="82"/>
      <c r="I9" s="68"/>
      <c r="J9" s="68"/>
      <c r="K9" s="84"/>
      <c r="L9" s="68"/>
    </row>
    <row r="10">
      <c r="A10" s="68"/>
      <c r="B10" s="68"/>
      <c r="C10" s="82"/>
      <c r="D10" s="82"/>
      <c r="E10" s="82"/>
      <c r="F10" s="274"/>
      <c r="G10" s="82"/>
      <c r="H10" s="82"/>
      <c r="I10" s="68"/>
      <c r="J10" s="68"/>
      <c r="K10" s="84"/>
      <c r="L10" s="68"/>
    </row>
    <row r="11">
      <c r="A11" s="68"/>
      <c r="B11" s="74" t="s">
        <v>62</v>
      </c>
      <c r="C11" s="74" t="s">
        <v>74</v>
      </c>
      <c r="D11" s="74" t="s">
        <v>252</v>
      </c>
      <c r="E11" s="183" t="s">
        <v>253</v>
      </c>
      <c r="F11" s="183" t="s">
        <v>254</v>
      </c>
      <c r="G11" s="246" t="s">
        <v>255</v>
      </c>
      <c r="H11" s="183" t="s">
        <v>77</v>
      </c>
      <c r="I11" s="74" t="s">
        <v>256</v>
      </c>
      <c r="J11" s="74" t="s">
        <v>257</v>
      </c>
      <c r="K11" s="275" t="s">
        <v>258</v>
      </c>
      <c r="L11" s="68"/>
    </row>
    <row r="12">
      <c r="A12" s="68"/>
      <c r="B12" s="236" t="s">
        <v>66</v>
      </c>
      <c r="C12" s="77" t="s">
        <v>86</v>
      </c>
      <c r="D12" s="237" t="s">
        <v>259</v>
      </c>
      <c r="E12" s="276" t="s">
        <v>260</v>
      </c>
      <c r="F12" s="236">
        <v>2288.0</v>
      </c>
      <c r="G12" s="277">
        <v>10353.48</v>
      </c>
      <c r="H12" s="278">
        <v>45307.0</v>
      </c>
      <c r="I12" s="236" t="s">
        <v>88</v>
      </c>
      <c r="J12" s="77" t="s">
        <v>261</v>
      </c>
      <c r="K12" s="279" t="b">
        <v>1</v>
      </c>
      <c r="L12" s="68"/>
    </row>
    <row r="13">
      <c r="A13" s="68"/>
      <c r="B13" s="239" t="s">
        <v>66</v>
      </c>
      <c r="C13" s="77" t="s">
        <v>100</v>
      </c>
      <c r="D13" s="240" t="s">
        <v>259</v>
      </c>
      <c r="E13" s="77" t="s">
        <v>260</v>
      </c>
      <c r="F13" s="239">
        <v>2268.0</v>
      </c>
      <c r="G13" s="280">
        <v>18491.0</v>
      </c>
      <c r="H13" s="281">
        <v>45323.0</v>
      </c>
      <c r="I13" s="239" t="s">
        <v>88</v>
      </c>
      <c r="J13" s="77" t="s">
        <v>262</v>
      </c>
      <c r="K13" s="279" t="b">
        <v>1</v>
      </c>
      <c r="L13" s="68"/>
    </row>
    <row r="14">
      <c r="A14" s="68"/>
      <c r="B14" s="239" t="s">
        <v>66</v>
      </c>
      <c r="C14" s="77" t="s">
        <v>104</v>
      </c>
      <c r="D14" s="240" t="s">
        <v>259</v>
      </c>
      <c r="E14" s="77" t="s">
        <v>260</v>
      </c>
      <c r="F14" s="239">
        <v>2287.0</v>
      </c>
      <c r="G14" s="280">
        <v>16965.07</v>
      </c>
      <c r="H14" s="281">
        <v>45352.0</v>
      </c>
      <c r="I14" s="239" t="s">
        <v>88</v>
      </c>
      <c r="J14" s="77" t="s">
        <v>263</v>
      </c>
      <c r="K14" s="279" t="b">
        <v>1</v>
      </c>
      <c r="L14" s="68"/>
    </row>
    <row r="15">
      <c r="A15" s="68"/>
      <c r="B15" s="239" t="s">
        <v>66</v>
      </c>
      <c r="C15" s="77" t="s">
        <v>105</v>
      </c>
      <c r="D15" s="240" t="s">
        <v>259</v>
      </c>
      <c r="E15" s="77" t="s">
        <v>260</v>
      </c>
      <c r="F15" s="282" t="s">
        <v>264</v>
      </c>
      <c r="G15" s="280">
        <v>275.0</v>
      </c>
      <c r="H15" s="283">
        <v>45383.0</v>
      </c>
      <c r="I15" s="239" t="s">
        <v>88</v>
      </c>
      <c r="J15" s="284"/>
      <c r="K15" s="279" t="b">
        <v>1</v>
      </c>
      <c r="L15" s="68"/>
    </row>
    <row r="16">
      <c r="A16" s="68"/>
      <c r="B16" s="239" t="s">
        <v>66</v>
      </c>
      <c r="C16" s="77" t="s">
        <v>106</v>
      </c>
      <c r="D16" s="240" t="s">
        <v>259</v>
      </c>
      <c r="E16" s="77" t="s">
        <v>260</v>
      </c>
      <c r="F16" s="282" t="s">
        <v>264</v>
      </c>
      <c r="G16" s="280">
        <v>14235.0</v>
      </c>
      <c r="H16" s="283">
        <v>45383.0</v>
      </c>
      <c r="I16" s="239" t="s">
        <v>88</v>
      </c>
      <c r="J16" s="284"/>
      <c r="K16" s="279" t="b">
        <v>1</v>
      </c>
      <c r="L16" s="68"/>
    </row>
    <row r="17">
      <c r="A17" s="68"/>
      <c r="B17" s="239" t="s">
        <v>66</v>
      </c>
      <c r="C17" s="77" t="s">
        <v>105</v>
      </c>
      <c r="D17" s="240" t="s">
        <v>259</v>
      </c>
      <c r="E17" s="77" t="s">
        <v>260</v>
      </c>
      <c r="F17" s="282" t="s">
        <v>265</v>
      </c>
      <c r="G17" s="280">
        <v>4508.0</v>
      </c>
      <c r="H17" s="283">
        <v>45413.0</v>
      </c>
      <c r="I17" s="239" t="s">
        <v>88</v>
      </c>
      <c r="J17" s="77"/>
      <c r="K17" s="279" t="b">
        <v>1</v>
      </c>
      <c r="L17" s="68"/>
    </row>
    <row r="18">
      <c r="A18" s="68"/>
      <c r="B18" s="239" t="s">
        <v>66</v>
      </c>
      <c r="C18" s="77" t="s">
        <v>266</v>
      </c>
      <c r="D18" s="240" t="s">
        <v>259</v>
      </c>
      <c r="E18" s="77" t="s">
        <v>260</v>
      </c>
      <c r="F18" s="282" t="s">
        <v>265</v>
      </c>
      <c r="G18" s="280">
        <v>6595.0</v>
      </c>
      <c r="H18" s="283">
        <v>45413.0</v>
      </c>
      <c r="I18" s="239" t="s">
        <v>88</v>
      </c>
      <c r="J18" s="77"/>
      <c r="K18" s="279" t="b">
        <v>1</v>
      </c>
      <c r="L18" s="68"/>
    </row>
    <row r="19">
      <c r="A19" s="68"/>
      <c r="B19" s="239" t="s">
        <v>66</v>
      </c>
      <c r="C19" s="77" t="s">
        <v>105</v>
      </c>
      <c r="D19" s="240" t="s">
        <v>259</v>
      </c>
      <c r="E19" s="77" t="s">
        <v>260</v>
      </c>
      <c r="F19" s="282" t="s">
        <v>267</v>
      </c>
      <c r="G19" s="280">
        <v>10940.0</v>
      </c>
      <c r="H19" s="283">
        <v>45444.0</v>
      </c>
      <c r="I19" s="239" t="s">
        <v>88</v>
      </c>
      <c r="J19" s="77"/>
      <c r="K19" s="279" t="b">
        <v>1</v>
      </c>
      <c r="L19" s="68"/>
    </row>
    <row r="20">
      <c r="A20" s="68"/>
      <c r="B20" s="239" t="s">
        <v>66</v>
      </c>
      <c r="C20" s="77" t="s">
        <v>108</v>
      </c>
      <c r="D20" s="240" t="s">
        <v>259</v>
      </c>
      <c r="E20" s="77" t="s">
        <v>260</v>
      </c>
      <c r="F20" s="282" t="s">
        <v>268</v>
      </c>
      <c r="G20" s="280">
        <v>1180.0</v>
      </c>
      <c r="H20" s="283">
        <v>45474.0</v>
      </c>
      <c r="I20" s="239" t="s">
        <v>88</v>
      </c>
      <c r="J20" s="77" t="s">
        <v>269</v>
      </c>
      <c r="K20" s="279" t="b">
        <v>1</v>
      </c>
      <c r="L20" s="68"/>
    </row>
    <row r="21">
      <c r="A21" s="68"/>
      <c r="B21" s="239" t="s">
        <v>66</v>
      </c>
      <c r="C21" s="77" t="s">
        <v>109</v>
      </c>
      <c r="D21" s="240" t="s">
        <v>259</v>
      </c>
      <c r="E21" s="77" t="s">
        <v>260</v>
      </c>
      <c r="F21" s="282" t="s">
        <v>268</v>
      </c>
      <c r="G21" s="280">
        <v>1607.0</v>
      </c>
      <c r="H21" s="283">
        <v>45474.0</v>
      </c>
      <c r="I21" s="239" t="s">
        <v>96</v>
      </c>
      <c r="J21" s="77" t="s">
        <v>270</v>
      </c>
      <c r="K21" s="279" t="b">
        <v>1</v>
      </c>
      <c r="L21" s="68"/>
    </row>
    <row r="22">
      <c r="A22" s="68"/>
      <c r="B22" s="239" t="s">
        <v>66</v>
      </c>
      <c r="C22" s="77" t="s">
        <v>108</v>
      </c>
      <c r="D22" s="240" t="s">
        <v>259</v>
      </c>
      <c r="E22" s="77" t="s">
        <v>260</v>
      </c>
      <c r="F22" s="282" t="s">
        <v>271</v>
      </c>
      <c r="G22" s="280">
        <v>2623.0</v>
      </c>
      <c r="H22" s="283">
        <v>45505.0</v>
      </c>
      <c r="I22" s="239" t="s">
        <v>88</v>
      </c>
      <c r="J22" s="77" t="s">
        <v>272</v>
      </c>
      <c r="K22" s="279" t="b">
        <v>1</v>
      </c>
      <c r="L22" s="68"/>
    </row>
    <row r="23">
      <c r="A23" s="68"/>
      <c r="B23" s="239" t="s">
        <v>66</v>
      </c>
      <c r="C23" s="77" t="s">
        <v>109</v>
      </c>
      <c r="D23" s="240" t="s">
        <v>259</v>
      </c>
      <c r="E23" s="77" t="s">
        <v>260</v>
      </c>
      <c r="F23" s="282" t="s">
        <v>271</v>
      </c>
      <c r="G23" s="280">
        <v>2357.0</v>
      </c>
      <c r="H23" s="283">
        <v>45505.0</v>
      </c>
      <c r="I23" s="239" t="s">
        <v>96</v>
      </c>
      <c r="J23" s="77" t="s">
        <v>273</v>
      </c>
      <c r="K23" s="279" t="b">
        <v>1</v>
      </c>
      <c r="L23" s="68"/>
    </row>
    <row r="24">
      <c r="A24" s="68"/>
      <c r="B24" s="239" t="s">
        <v>66</v>
      </c>
      <c r="C24" s="77" t="s">
        <v>110</v>
      </c>
      <c r="D24" s="240" t="s">
        <v>259</v>
      </c>
      <c r="E24" s="77" t="s">
        <v>260</v>
      </c>
      <c r="F24" s="282" t="s">
        <v>274</v>
      </c>
      <c r="G24" s="280">
        <v>2332.0</v>
      </c>
      <c r="H24" s="283">
        <v>45536.0</v>
      </c>
      <c r="I24" s="239" t="s">
        <v>88</v>
      </c>
      <c r="J24" s="77" t="s">
        <v>275</v>
      </c>
      <c r="K24" s="279" t="b">
        <v>1</v>
      </c>
      <c r="L24" s="68"/>
    </row>
    <row r="25">
      <c r="A25" s="68"/>
      <c r="B25" s="239" t="s">
        <v>66</v>
      </c>
      <c r="C25" s="77" t="s">
        <v>109</v>
      </c>
      <c r="D25" s="240" t="s">
        <v>259</v>
      </c>
      <c r="E25" s="77" t="s">
        <v>260</v>
      </c>
      <c r="F25" s="282" t="s">
        <v>274</v>
      </c>
      <c r="G25" s="280">
        <v>5935.0</v>
      </c>
      <c r="H25" s="283">
        <v>45536.0</v>
      </c>
      <c r="I25" s="239" t="s">
        <v>96</v>
      </c>
      <c r="J25" s="77" t="s">
        <v>276</v>
      </c>
      <c r="K25" s="279" t="b">
        <v>1</v>
      </c>
      <c r="L25" s="68"/>
    </row>
  </sheetData>
  <mergeCells count="1">
    <mergeCell ref="B5:D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3" max="3" width="6.38"/>
    <col customWidth="1" min="4" max="4" width="2.0"/>
    <col customWidth="1" min="5" max="5" width="18.88"/>
    <col customWidth="1" min="6" max="6" width="22.25"/>
    <col customWidth="1" min="8" max="9" width="2.0"/>
    <col customWidth="1" min="10" max="10" width="6.38"/>
    <col customWidth="1" min="11" max="11" width="2.0"/>
    <col customWidth="1" min="13" max="13" width="2.63"/>
    <col customWidth="1" min="14" max="14" width="2.75"/>
  </cols>
  <sheetData>
    <row r="1" ht="11.2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>
      <c r="A2" s="73"/>
      <c r="B2" s="69" t="s">
        <v>377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>
      <c r="A3" s="73"/>
      <c r="B3" s="70" t="s">
        <v>57</v>
      </c>
      <c r="C3" s="73"/>
      <c r="D3" s="73"/>
      <c r="E3" s="73"/>
      <c r="F3" s="73"/>
      <c r="G3" s="73"/>
      <c r="N3" s="73"/>
    </row>
    <row r="4">
      <c r="A4" s="73"/>
      <c r="B4" s="71" t="s">
        <v>442</v>
      </c>
      <c r="C4" s="73"/>
      <c r="D4" s="73"/>
      <c r="E4" s="73"/>
      <c r="F4" s="73"/>
      <c r="G4" s="73"/>
      <c r="H4" s="73"/>
      <c r="I4" s="196"/>
      <c r="J4" s="124" t="s">
        <v>63</v>
      </c>
      <c r="K4" s="73"/>
      <c r="L4" s="73"/>
      <c r="M4" s="197" t="b">
        <v>1</v>
      </c>
      <c r="N4" s="73"/>
    </row>
    <row r="5">
      <c r="A5" s="73"/>
      <c r="B5" s="72" t="s">
        <v>443</v>
      </c>
      <c r="G5" s="73"/>
      <c r="H5" s="73"/>
      <c r="I5" s="196"/>
      <c r="J5" s="124" t="s">
        <v>64</v>
      </c>
      <c r="K5" s="73"/>
      <c r="L5" s="73"/>
      <c r="M5" s="197" t="b">
        <v>0</v>
      </c>
      <c r="N5" s="73"/>
    </row>
    <row r="6">
      <c r="A6" s="73"/>
      <c r="G6" s="73"/>
      <c r="H6" s="73"/>
      <c r="I6" s="196"/>
      <c r="J6" s="124" t="s">
        <v>65</v>
      </c>
      <c r="K6" s="73"/>
      <c r="L6" s="73"/>
      <c r="M6" s="197" t="b">
        <v>0</v>
      </c>
      <c r="N6" s="73"/>
    </row>
    <row r="7">
      <c r="A7" s="73"/>
      <c r="B7" s="73"/>
      <c r="C7" s="73"/>
      <c r="D7" s="73"/>
      <c r="E7" s="73"/>
      <c r="F7" s="73"/>
      <c r="G7" s="73"/>
      <c r="H7" s="73"/>
      <c r="I7" s="73"/>
      <c r="J7" s="124"/>
      <c r="K7" s="73"/>
      <c r="L7" s="73"/>
      <c r="M7" s="73"/>
      <c r="N7" s="73"/>
    </row>
    <row r="8">
      <c r="A8" s="73"/>
      <c r="B8" s="69" t="s">
        <v>60</v>
      </c>
      <c r="C8" s="73"/>
      <c r="D8" s="73"/>
      <c r="E8" s="73"/>
      <c r="F8" s="73"/>
      <c r="G8" s="73"/>
      <c r="H8" s="73"/>
      <c r="N8" s="73"/>
    </row>
    <row r="9">
      <c r="A9" s="73"/>
      <c r="B9" s="70" t="s">
        <v>380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</row>
    <row r="10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</row>
    <row r="11">
      <c r="A11" s="73"/>
      <c r="B11" s="198" t="s">
        <v>381</v>
      </c>
      <c r="C11" s="199"/>
      <c r="D11" s="200"/>
      <c r="E11" s="285" t="s">
        <v>444</v>
      </c>
      <c r="H11" s="73"/>
      <c r="I11" s="73"/>
      <c r="J11" s="73"/>
      <c r="K11" s="73"/>
      <c r="L11" s="73"/>
      <c r="M11" s="73"/>
      <c r="N11" s="73"/>
    </row>
    <row r="12">
      <c r="A12" s="73"/>
      <c r="B12" s="200"/>
      <c r="C12" s="200"/>
      <c r="D12" s="200"/>
      <c r="E12" s="200"/>
      <c r="F12" s="200"/>
      <c r="G12" s="200"/>
      <c r="H12" s="73"/>
      <c r="I12" s="196"/>
      <c r="J12" s="124" t="s">
        <v>383</v>
      </c>
      <c r="K12" s="85"/>
      <c r="L12" s="85"/>
      <c r="M12" s="202" t="s">
        <v>384</v>
      </c>
      <c r="N12" s="73"/>
    </row>
    <row r="13">
      <c r="A13" s="73"/>
      <c r="B13" s="203" t="s">
        <v>385</v>
      </c>
      <c r="C13" s="199"/>
      <c r="D13" s="200"/>
      <c r="E13" s="286" t="s">
        <v>386</v>
      </c>
      <c r="G13" s="205"/>
      <c r="H13" s="73"/>
      <c r="I13" s="196"/>
      <c r="J13" s="124" t="s">
        <v>387</v>
      </c>
      <c r="K13" s="85"/>
      <c r="L13" s="85"/>
      <c r="M13" s="202" t="s">
        <v>384</v>
      </c>
      <c r="N13" s="73"/>
    </row>
    <row r="14">
      <c r="A14" s="73"/>
      <c r="B14" s="200"/>
      <c r="C14" s="200"/>
      <c r="D14" s="200"/>
      <c r="E14" s="200"/>
      <c r="F14" s="200"/>
      <c r="G14" s="200"/>
      <c r="H14" s="73"/>
      <c r="I14" s="196"/>
      <c r="J14" s="124" t="s">
        <v>386</v>
      </c>
      <c r="K14" s="85"/>
      <c r="L14" s="85"/>
      <c r="M14" s="202" t="s">
        <v>384</v>
      </c>
      <c r="N14" s="73"/>
    </row>
    <row r="15">
      <c r="A15" s="73"/>
      <c r="B15" s="203" t="s">
        <v>388</v>
      </c>
      <c r="C15" s="199"/>
      <c r="D15" s="200"/>
      <c r="E15" s="206" t="s">
        <v>445</v>
      </c>
      <c r="H15" s="207"/>
      <c r="I15" s="207"/>
      <c r="J15" s="208"/>
      <c r="K15" s="208"/>
      <c r="L15" s="208"/>
      <c r="M15" s="208"/>
      <c r="N15" s="73"/>
    </row>
    <row r="16">
      <c r="A16" s="73"/>
      <c r="B16" s="200"/>
      <c r="C16" s="200"/>
      <c r="D16" s="200"/>
      <c r="E16" s="210"/>
      <c r="F16" s="210"/>
      <c r="G16" s="210"/>
      <c r="H16" s="73"/>
      <c r="I16" s="196"/>
      <c r="J16" s="124" t="s">
        <v>390</v>
      </c>
      <c r="K16" s="85"/>
      <c r="L16" s="85"/>
      <c r="M16" s="202" t="s">
        <v>384</v>
      </c>
      <c r="N16" s="73"/>
    </row>
    <row r="17">
      <c r="A17" s="73"/>
      <c r="B17" s="203" t="s">
        <v>391</v>
      </c>
      <c r="C17" s="199"/>
      <c r="D17" s="200"/>
      <c r="E17" s="286" t="s">
        <v>393</v>
      </c>
      <c r="G17" s="287"/>
      <c r="H17" s="73"/>
      <c r="I17" s="196"/>
      <c r="J17" s="124" t="s">
        <v>392</v>
      </c>
      <c r="K17" s="85"/>
      <c r="L17" s="85"/>
      <c r="M17" s="202" t="s">
        <v>384</v>
      </c>
      <c r="N17" s="73"/>
    </row>
    <row r="18">
      <c r="A18" s="73"/>
      <c r="B18" s="210"/>
      <c r="C18" s="205"/>
      <c r="D18" s="205"/>
      <c r="E18" s="205"/>
      <c r="F18" s="200"/>
      <c r="G18" s="200"/>
      <c r="H18" s="73"/>
      <c r="I18" s="196"/>
      <c r="J18" s="211" t="s">
        <v>393</v>
      </c>
      <c r="K18" s="212"/>
      <c r="L18" s="212"/>
      <c r="M18" s="213" t="s">
        <v>384</v>
      </c>
      <c r="N18" s="73"/>
    </row>
    <row r="19">
      <c r="A19" s="73"/>
      <c r="B19" s="203" t="s">
        <v>394</v>
      </c>
      <c r="C19" s="199"/>
      <c r="D19" s="200"/>
      <c r="E19" s="206" t="s">
        <v>446</v>
      </c>
      <c r="H19" s="73"/>
      <c r="I19" s="73"/>
      <c r="J19" s="214" t="s">
        <v>396</v>
      </c>
      <c r="N19" s="73"/>
    </row>
    <row r="20">
      <c r="A20" s="73"/>
      <c r="B20" s="200"/>
      <c r="C20" s="200"/>
      <c r="D20" s="200"/>
      <c r="E20" s="200"/>
      <c r="F20" s="200"/>
      <c r="G20" s="200"/>
      <c r="H20" s="73"/>
      <c r="I20" s="196"/>
      <c r="J20" s="124" t="s">
        <v>397</v>
      </c>
      <c r="K20" s="85"/>
      <c r="L20" s="85"/>
      <c r="M20" s="202" t="s">
        <v>384</v>
      </c>
      <c r="N20" s="73"/>
    </row>
    <row r="21">
      <c r="A21" s="73"/>
      <c r="B21" s="203" t="s">
        <v>398</v>
      </c>
      <c r="C21" s="199"/>
      <c r="D21" s="200"/>
      <c r="E21" s="286" t="s">
        <v>397</v>
      </c>
      <c r="G21" s="205"/>
      <c r="H21" s="73"/>
      <c r="I21" s="196"/>
      <c r="J21" s="124" t="s">
        <v>399</v>
      </c>
      <c r="K21" s="85"/>
      <c r="L21" s="85"/>
      <c r="M21" s="202" t="s">
        <v>384</v>
      </c>
      <c r="N21" s="73"/>
    </row>
    <row r="22">
      <c r="A22" s="73"/>
      <c r="B22" s="200"/>
      <c r="C22" s="200"/>
      <c r="D22" s="200"/>
      <c r="E22" s="200"/>
      <c r="F22" s="200"/>
      <c r="G22" s="200"/>
      <c r="H22" s="73"/>
      <c r="I22" s="196"/>
      <c r="J22" s="124" t="s">
        <v>400</v>
      </c>
      <c r="K22" s="85"/>
      <c r="L22" s="85"/>
      <c r="M22" s="202" t="s">
        <v>384</v>
      </c>
      <c r="N22" s="73"/>
    </row>
    <row r="23">
      <c r="A23" s="73"/>
      <c r="B23" s="203" t="s">
        <v>401</v>
      </c>
      <c r="C23" s="199"/>
      <c r="D23" s="200"/>
      <c r="E23" s="206" t="s">
        <v>447</v>
      </c>
      <c r="H23" s="73"/>
      <c r="I23" s="73"/>
      <c r="J23" s="73"/>
      <c r="K23" s="73"/>
      <c r="L23" s="73"/>
      <c r="M23" s="73"/>
      <c r="N23" s="73"/>
    </row>
    <row r="24">
      <c r="A24" s="73"/>
      <c r="B24" s="200"/>
      <c r="C24" s="200"/>
      <c r="D24" s="200"/>
      <c r="E24" s="200"/>
      <c r="F24" s="200"/>
      <c r="G24" s="200"/>
      <c r="H24" s="73"/>
      <c r="I24" s="73"/>
      <c r="J24" s="73"/>
      <c r="K24" s="73"/>
      <c r="L24" s="73"/>
      <c r="M24" s="73"/>
      <c r="N24" s="73"/>
    </row>
    <row r="25">
      <c r="A25" s="73"/>
      <c r="B25" s="198" t="s">
        <v>403</v>
      </c>
      <c r="C25" s="199"/>
      <c r="D25" s="200"/>
      <c r="E25" s="206" t="s">
        <v>448</v>
      </c>
      <c r="H25" s="73"/>
      <c r="I25" s="73"/>
      <c r="J25" s="73"/>
      <c r="K25" s="73"/>
      <c r="L25" s="73"/>
      <c r="M25" s="73"/>
      <c r="N25" s="73"/>
    </row>
    <row r="26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</row>
    <row r="27">
      <c r="A27" s="73"/>
      <c r="B27" s="215" t="s">
        <v>405</v>
      </c>
      <c r="C27" s="73"/>
      <c r="D27" s="196"/>
      <c r="E27" s="216" t="s">
        <v>188</v>
      </c>
      <c r="F27" s="217" t="s">
        <v>406</v>
      </c>
      <c r="G27" s="216" t="s">
        <v>407</v>
      </c>
      <c r="H27" s="218" t="s">
        <v>408</v>
      </c>
      <c r="I27" s="219"/>
      <c r="J27" s="220"/>
      <c r="K27" s="220"/>
      <c r="L27" s="221"/>
      <c r="M27" s="73"/>
      <c r="N27" s="73"/>
    </row>
    <row r="28">
      <c r="A28" s="73"/>
      <c r="B28" s="222" t="s">
        <v>409</v>
      </c>
      <c r="D28" s="196"/>
      <c r="E28" s="288" t="s">
        <v>132</v>
      </c>
      <c r="F28" s="225" t="s">
        <v>210</v>
      </c>
      <c r="G28" s="289"/>
      <c r="H28" s="77"/>
      <c r="I28" s="77"/>
      <c r="J28" s="220"/>
      <c r="K28" s="196"/>
      <c r="L28" s="124" t="s">
        <v>39</v>
      </c>
      <c r="M28" s="202" t="s">
        <v>384</v>
      </c>
      <c r="N28" s="73"/>
    </row>
    <row r="29">
      <c r="A29" s="73"/>
      <c r="D29" s="196"/>
      <c r="E29" s="290" t="s">
        <v>138</v>
      </c>
      <c r="F29" s="228" t="s">
        <v>210</v>
      </c>
      <c r="G29" s="291"/>
      <c r="H29" s="77"/>
      <c r="I29" s="77"/>
      <c r="J29" s="220"/>
      <c r="K29" s="196"/>
      <c r="L29" s="124" t="s">
        <v>410</v>
      </c>
      <c r="M29" s="73"/>
      <c r="N29" s="73"/>
    </row>
    <row r="30">
      <c r="A30" s="73"/>
      <c r="B30" s="73"/>
      <c r="C30" s="73"/>
      <c r="D30" s="196"/>
      <c r="E30" s="290" t="s">
        <v>143</v>
      </c>
      <c r="F30" s="228" t="s">
        <v>210</v>
      </c>
      <c r="G30" s="292"/>
      <c r="H30" s="77"/>
      <c r="I30" s="77"/>
      <c r="J30" s="220"/>
      <c r="K30" s="196"/>
      <c r="L30" s="124" t="s">
        <v>411</v>
      </c>
      <c r="M30" s="73"/>
      <c r="N30" s="73"/>
    </row>
    <row r="31">
      <c r="A31" s="73"/>
      <c r="B31" s="73"/>
      <c r="C31" s="73"/>
      <c r="D31" s="196"/>
      <c r="E31" s="290" t="s">
        <v>124</v>
      </c>
      <c r="F31" s="228" t="s">
        <v>210</v>
      </c>
      <c r="G31" s="291"/>
      <c r="H31" s="77"/>
      <c r="I31" s="77"/>
      <c r="J31" s="220"/>
      <c r="K31" s="196"/>
      <c r="L31" s="124" t="s">
        <v>43</v>
      </c>
      <c r="M31" s="73"/>
      <c r="N31" s="73"/>
    </row>
    <row r="32">
      <c r="A32" s="73"/>
      <c r="B32" s="73"/>
      <c r="C32" s="73"/>
      <c r="D32" s="196"/>
      <c r="E32" s="290" t="s">
        <v>135</v>
      </c>
      <c r="F32" s="228" t="s">
        <v>210</v>
      </c>
      <c r="G32" s="227" t="s">
        <v>410</v>
      </c>
      <c r="H32" s="77"/>
      <c r="I32" s="77"/>
      <c r="J32" s="73"/>
      <c r="K32" s="196"/>
      <c r="L32" s="124" t="s">
        <v>44</v>
      </c>
      <c r="M32" s="73"/>
      <c r="N32" s="73"/>
    </row>
    <row r="33">
      <c r="A33" s="73"/>
      <c r="B33" s="73"/>
      <c r="C33" s="73"/>
      <c r="D33" s="196"/>
      <c r="E33" s="293" t="s">
        <v>87</v>
      </c>
      <c r="F33" s="228" t="s">
        <v>210</v>
      </c>
      <c r="G33" s="227" t="s">
        <v>410</v>
      </c>
      <c r="H33" s="77"/>
      <c r="I33" s="77"/>
      <c r="J33" s="73"/>
      <c r="K33" s="73"/>
      <c r="L33" s="73"/>
      <c r="M33" s="73"/>
      <c r="N33" s="73"/>
    </row>
    <row r="34">
      <c r="A34" s="73"/>
      <c r="B34" s="215"/>
      <c r="C34" s="73"/>
      <c r="D34" s="196"/>
      <c r="E34" s="294" t="s">
        <v>148</v>
      </c>
      <c r="F34" s="227" t="s">
        <v>208</v>
      </c>
      <c r="G34" s="227" t="s">
        <v>43</v>
      </c>
      <c r="H34" s="77"/>
      <c r="I34" s="77"/>
      <c r="J34" s="73"/>
      <c r="K34" s="73"/>
      <c r="L34" s="73"/>
      <c r="M34" s="73"/>
    </row>
    <row r="35">
      <c r="A35" s="73"/>
      <c r="B35" s="215"/>
      <c r="C35" s="73"/>
      <c r="D35" s="196"/>
      <c r="E35" s="294" t="s">
        <v>211</v>
      </c>
      <c r="F35" s="227" t="s">
        <v>213</v>
      </c>
      <c r="G35" s="227" t="s">
        <v>411</v>
      </c>
      <c r="H35" s="77"/>
      <c r="I35" s="77"/>
      <c r="J35" s="73"/>
      <c r="K35" s="73"/>
      <c r="L35" s="73"/>
      <c r="M35" s="73"/>
      <c r="N35" s="73"/>
    </row>
    <row r="36">
      <c r="A36" s="73"/>
      <c r="B36" s="215"/>
      <c r="C36" s="73"/>
      <c r="D36" s="196"/>
      <c r="E36" s="294" t="s">
        <v>141</v>
      </c>
      <c r="F36" s="227" t="s">
        <v>220</v>
      </c>
      <c r="G36" s="227" t="s">
        <v>410</v>
      </c>
      <c r="H36" s="77"/>
      <c r="I36" s="77"/>
      <c r="J36" s="73"/>
      <c r="K36" s="73"/>
      <c r="L36" s="73"/>
      <c r="M36" s="73"/>
      <c r="N36" s="73"/>
    </row>
    <row r="37">
      <c r="A37" s="73"/>
      <c r="B37" s="215"/>
      <c r="C37" s="73"/>
      <c r="D37" s="196"/>
      <c r="E37" s="290" t="s">
        <v>98</v>
      </c>
      <c r="F37" s="228" t="s">
        <v>210</v>
      </c>
      <c r="G37" s="291"/>
      <c r="H37" s="77"/>
      <c r="I37" s="77"/>
      <c r="J37" s="73"/>
      <c r="K37" s="73"/>
      <c r="L37" s="73"/>
      <c r="M37" s="73"/>
      <c r="N37" s="73"/>
    </row>
    <row r="38">
      <c r="A38" s="73"/>
      <c r="B38" s="215"/>
      <c r="C38" s="73"/>
      <c r="D38" s="196"/>
      <c r="E38" s="290" t="s">
        <v>89</v>
      </c>
      <c r="F38" s="228" t="s">
        <v>216</v>
      </c>
      <c r="G38" s="227" t="s">
        <v>410</v>
      </c>
      <c r="H38" s="77"/>
      <c r="I38" s="77"/>
      <c r="J38" s="73"/>
      <c r="K38" s="73"/>
      <c r="L38" s="73"/>
      <c r="M38" s="73"/>
      <c r="N38" s="73"/>
    </row>
    <row r="39">
      <c r="A39" s="73"/>
      <c r="B39" s="215"/>
      <c r="C39" s="73"/>
      <c r="D39" s="196"/>
      <c r="E39" s="290" t="s">
        <v>95</v>
      </c>
      <c r="F39" s="228" t="s">
        <v>210</v>
      </c>
      <c r="G39" s="295"/>
      <c r="H39" s="77"/>
      <c r="I39" s="77"/>
      <c r="J39" s="73"/>
      <c r="K39" s="73"/>
      <c r="L39" s="73"/>
      <c r="M39" s="73"/>
      <c r="N39" s="73"/>
    </row>
    <row r="40">
      <c r="A40" s="73"/>
      <c r="B40" s="215"/>
      <c r="C40" s="73"/>
      <c r="D40" s="73"/>
      <c r="E40" s="296" t="s">
        <v>153</v>
      </c>
      <c r="F40" s="297"/>
      <c r="G40" s="200"/>
      <c r="H40" s="124"/>
      <c r="I40" s="124"/>
      <c r="J40" s="73"/>
      <c r="K40" s="73"/>
      <c r="L40" s="73"/>
      <c r="M40" s="73"/>
      <c r="N40" s="73"/>
    </row>
    <row r="41">
      <c r="A41" s="73"/>
      <c r="B41" s="215" t="s">
        <v>412</v>
      </c>
      <c r="C41" s="73"/>
      <c r="D41" s="73"/>
      <c r="E41" s="298"/>
      <c r="F41" s="297"/>
      <c r="G41" s="200"/>
      <c r="H41" s="124"/>
      <c r="J41" s="73"/>
      <c r="K41" s="73"/>
      <c r="L41" s="73"/>
      <c r="M41" s="73"/>
      <c r="N41" s="73"/>
    </row>
    <row r="42">
      <c r="A42" s="73"/>
      <c r="B42" s="124" t="s">
        <v>413</v>
      </c>
      <c r="C42" s="73"/>
      <c r="D42" s="73"/>
      <c r="E42" s="298"/>
      <c r="F42" s="299"/>
      <c r="G42" s="299"/>
      <c r="H42" s="124"/>
      <c r="J42" s="73"/>
      <c r="K42" s="73"/>
      <c r="L42" s="73"/>
      <c r="M42" s="73"/>
      <c r="N42" s="73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</row>
    <row r="47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</row>
    <row r="48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</row>
    <row r="49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</row>
    <row r="50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</row>
    <row r="5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</row>
    <row r="5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</row>
    <row r="53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</row>
    <row r="54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</row>
    <row r="56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</row>
    <row r="57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</row>
    <row r="60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</row>
  </sheetData>
  <mergeCells count="14">
    <mergeCell ref="E21:F21"/>
    <mergeCell ref="E23:G23"/>
    <mergeCell ref="E25:G25"/>
    <mergeCell ref="H27:I27"/>
    <mergeCell ref="B28:C29"/>
    <mergeCell ref="H41:I41"/>
    <mergeCell ref="H42:I42"/>
    <mergeCell ref="B5:F6"/>
    <mergeCell ref="E11:G11"/>
    <mergeCell ref="E13:F13"/>
    <mergeCell ref="E15:G15"/>
    <mergeCell ref="E17:F17"/>
    <mergeCell ref="E19:G19"/>
    <mergeCell ref="J19:M19"/>
  </mergeCells>
  <dataValidations>
    <dataValidation type="list" allowBlank="1" showInputMessage="1" showErrorMessage="1" prompt="Clique e insira um valor de intervalo Página1!I9:I11" sqref="E17">
      <formula1>$J$16:$J$18</formula1>
    </dataValidation>
    <dataValidation type="list" allowBlank="1" showInputMessage="1" showErrorMessage="1" prompt="Clique e insira um valor de intervalo Página1!I9:I11" sqref="E13">
      <formula1>$J$12:$J$14</formula1>
    </dataValidation>
    <dataValidation type="list" allowBlank="1" showInputMessage="1" showErrorMessage="1" prompt="Clique e insira um valor de intervalo Página1!I9:I11" sqref="E21">
      <formula1>$J$20:$J$22</formula1>
    </dataValidation>
    <dataValidation type="list" allowBlank="1" showInputMessage="1" prompt="Clique e insira um valor de intervalo" sqref="G28:G42">
      <formula1>$L$28:$L$32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6.38"/>
    <col customWidth="1" min="3" max="5" width="18.88"/>
    <col customWidth="1" min="8" max="8" width="10.13"/>
    <col customWidth="1" min="10" max="10" width="30.38"/>
    <col customWidth="1" min="11" max="12" width="5.13"/>
  </cols>
  <sheetData>
    <row r="1" ht="11.25" customHeight="1">
      <c r="A1" s="68"/>
      <c r="B1" s="68"/>
      <c r="C1" s="68"/>
      <c r="D1" s="68"/>
      <c r="E1" s="68"/>
      <c r="F1" s="81"/>
      <c r="G1" s="81"/>
      <c r="H1" s="82"/>
      <c r="I1" s="68"/>
      <c r="J1" s="68"/>
      <c r="K1" s="68"/>
      <c r="L1" s="68"/>
    </row>
    <row r="2">
      <c r="A2" s="68"/>
      <c r="B2" s="69" t="s">
        <v>56</v>
      </c>
      <c r="C2" s="73"/>
      <c r="D2" s="73"/>
      <c r="E2" s="73"/>
      <c r="F2" s="86"/>
      <c r="G2" s="86"/>
      <c r="H2" s="82"/>
      <c r="I2" s="68"/>
      <c r="J2" s="68"/>
      <c r="K2" s="68"/>
      <c r="L2" s="68"/>
    </row>
    <row r="3">
      <c r="A3" s="68"/>
      <c r="B3" s="70" t="s">
        <v>57</v>
      </c>
      <c r="C3" s="73"/>
      <c r="D3" s="73"/>
      <c r="E3" s="73"/>
      <c r="F3" s="86"/>
      <c r="G3" s="86"/>
      <c r="H3" s="82"/>
      <c r="I3" s="68"/>
      <c r="J3" s="68"/>
      <c r="K3" s="68"/>
      <c r="L3" s="68"/>
    </row>
    <row r="4">
      <c r="A4" s="68"/>
      <c r="B4" s="71" t="s">
        <v>449</v>
      </c>
      <c r="C4" s="73"/>
      <c r="D4" s="73"/>
      <c r="E4" s="73"/>
      <c r="F4" s="86"/>
      <c r="G4" s="86"/>
      <c r="H4" s="82"/>
      <c r="I4" s="68"/>
      <c r="J4" s="68"/>
      <c r="K4" s="68"/>
      <c r="L4" s="68"/>
    </row>
    <row r="5">
      <c r="A5" s="68"/>
      <c r="B5" s="72" t="s">
        <v>59</v>
      </c>
      <c r="E5" s="72"/>
      <c r="F5" s="72"/>
      <c r="G5" s="72"/>
      <c r="H5" s="82"/>
      <c r="I5" s="68"/>
      <c r="J5" s="68"/>
      <c r="K5" s="68"/>
      <c r="L5" s="68"/>
    </row>
    <row r="6">
      <c r="A6" s="68"/>
      <c r="E6" s="72"/>
      <c r="F6" s="72"/>
      <c r="G6" s="72"/>
      <c r="H6" s="82"/>
      <c r="I6" s="88" t="s">
        <v>68</v>
      </c>
      <c r="J6" s="68"/>
      <c r="K6" s="68"/>
      <c r="L6" s="68"/>
    </row>
    <row r="7">
      <c r="A7" s="68"/>
      <c r="B7" s="73"/>
      <c r="C7" s="73"/>
      <c r="D7" s="73"/>
      <c r="E7" s="73"/>
      <c r="F7" s="86"/>
      <c r="G7" s="86"/>
      <c r="H7" s="82"/>
      <c r="I7" s="88" t="s">
        <v>69</v>
      </c>
      <c r="J7" s="68"/>
      <c r="K7" s="68"/>
      <c r="L7" s="68"/>
    </row>
    <row r="8">
      <c r="A8" s="68"/>
      <c r="B8" s="69" t="s">
        <v>60</v>
      </c>
      <c r="C8" s="73"/>
      <c r="D8" s="73"/>
      <c r="E8" s="73"/>
      <c r="F8" s="86"/>
      <c r="G8" s="86"/>
      <c r="H8" s="82"/>
      <c r="I8" s="88" t="s">
        <v>70</v>
      </c>
      <c r="J8" s="68"/>
      <c r="K8" s="68"/>
      <c r="L8" s="68"/>
    </row>
    <row r="9">
      <c r="A9" s="68"/>
      <c r="B9" s="70" t="s">
        <v>71</v>
      </c>
      <c r="C9" s="73"/>
      <c r="D9" s="73"/>
      <c r="E9" s="73"/>
      <c r="F9" s="86"/>
      <c r="G9" s="86"/>
      <c r="H9" s="82"/>
      <c r="I9" s="88" t="s">
        <v>72</v>
      </c>
      <c r="J9" s="68"/>
      <c r="K9" s="68"/>
      <c r="L9" s="68"/>
    </row>
    <row r="10">
      <c r="A10" s="68"/>
      <c r="B10" s="68"/>
      <c r="C10" s="68"/>
      <c r="D10" s="68"/>
      <c r="E10" s="68"/>
      <c r="F10" s="81"/>
      <c r="G10" s="81"/>
      <c r="H10" s="82">
        <f>sum(H12:H103)</f>
        <v>11100</v>
      </c>
      <c r="I10" s="90"/>
      <c r="J10" s="68"/>
      <c r="K10" s="68"/>
      <c r="L10" s="68"/>
    </row>
    <row r="11">
      <c r="A11" s="68"/>
      <c r="B11" s="74" t="s">
        <v>73</v>
      </c>
      <c r="C11" s="74" t="s">
        <v>62</v>
      </c>
      <c r="D11" s="74" t="s">
        <v>74</v>
      </c>
      <c r="E11" s="74" t="s">
        <v>75</v>
      </c>
      <c r="F11" s="183" t="s">
        <v>76</v>
      </c>
      <c r="G11" s="184" t="s">
        <v>77</v>
      </c>
      <c r="H11" s="246" t="s">
        <v>78</v>
      </c>
      <c r="I11" s="74" t="s">
        <v>79</v>
      </c>
      <c r="J11" s="74" t="s">
        <v>80</v>
      </c>
      <c r="K11" s="76"/>
      <c r="L11" s="68"/>
    </row>
    <row r="12">
      <c r="A12" s="68"/>
      <c r="B12" s="77"/>
      <c r="C12" s="77" t="s">
        <v>119</v>
      </c>
      <c r="D12" s="77" t="s">
        <v>120</v>
      </c>
      <c r="E12" s="77" t="s">
        <v>89</v>
      </c>
      <c r="F12" s="107" t="s">
        <v>121</v>
      </c>
      <c r="G12" s="94">
        <v>45292.0</v>
      </c>
      <c r="H12" s="95">
        <v>20.0</v>
      </c>
      <c r="I12" s="77" t="s">
        <v>70</v>
      </c>
      <c r="J12" s="96" t="s">
        <v>122</v>
      </c>
      <c r="K12" s="68"/>
      <c r="L12" s="68"/>
    </row>
    <row r="13">
      <c r="A13" s="68"/>
      <c r="B13" s="77"/>
      <c r="C13" s="77" t="s">
        <v>119</v>
      </c>
      <c r="D13" s="77" t="s">
        <v>123</v>
      </c>
      <c r="E13" s="77" t="s">
        <v>124</v>
      </c>
      <c r="F13" s="107" t="s">
        <v>125</v>
      </c>
      <c r="G13" s="94">
        <v>45292.0</v>
      </c>
      <c r="H13" s="95">
        <v>191.0</v>
      </c>
      <c r="I13" s="77" t="s">
        <v>70</v>
      </c>
      <c r="J13" s="96" t="s">
        <v>126</v>
      </c>
      <c r="K13" s="68"/>
      <c r="L13" s="68"/>
    </row>
    <row r="14">
      <c r="A14" s="68"/>
      <c r="B14" s="77"/>
      <c r="C14" s="77" t="s">
        <v>119</v>
      </c>
      <c r="D14" s="77" t="s">
        <v>128</v>
      </c>
      <c r="E14" s="77" t="s">
        <v>95</v>
      </c>
      <c r="F14" s="107" t="s">
        <v>129</v>
      </c>
      <c r="G14" s="94">
        <v>45292.0</v>
      </c>
      <c r="H14" s="95">
        <v>4.0</v>
      </c>
      <c r="I14" s="77" t="s">
        <v>70</v>
      </c>
      <c r="J14" s="96" t="s">
        <v>130</v>
      </c>
      <c r="K14" s="68"/>
      <c r="L14" s="68"/>
    </row>
    <row r="15">
      <c r="A15" s="68"/>
      <c r="B15" s="77"/>
      <c r="C15" s="77" t="s">
        <v>119</v>
      </c>
      <c r="D15" s="77" t="s">
        <v>131</v>
      </c>
      <c r="E15" s="77" t="s">
        <v>132</v>
      </c>
      <c r="F15" s="107" t="s">
        <v>133</v>
      </c>
      <c r="G15" s="94">
        <v>45292.0</v>
      </c>
      <c r="H15" s="95">
        <v>198.0</v>
      </c>
      <c r="I15" s="77" t="s">
        <v>70</v>
      </c>
      <c r="J15" s="96" t="s">
        <v>126</v>
      </c>
      <c r="K15" s="68"/>
      <c r="L15" s="68"/>
    </row>
    <row r="16">
      <c r="A16" s="68"/>
      <c r="B16" s="77"/>
      <c r="C16" s="77" t="s">
        <v>119</v>
      </c>
      <c r="D16" s="77" t="s">
        <v>134</v>
      </c>
      <c r="E16" s="77" t="s">
        <v>135</v>
      </c>
      <c r="F16" s="107" t="s">
        <v>136</v>
      </c>
      <c r="G16" s="94">
        <v>45292.0</v>
      </c>
      <c r="H16" s="95">
        <v>122.0</v>
      </c>
      <c r="I16" s="77" t="s">
        <v>70</v>
      </c>
      <c r="J16" s="96" t="s">
        <v>137</v>
      </c>
      <c r="K16" s="68"/>
      <c r="L16" s="68"/>
    </row>
    <row r="17">
      <c r="A17" s="68"/>
      <c r="B17" s="77"/>
      <c r="C17" s="77" t="s">
        <v>119</v>
      </c>
      <c r="D17" s="77" t="s">
        <v>123</v>
      </c>
      <c r="E17" s="77" t="s">
        <v>138</v>
      </c>
      <c r="F17" s="107" t="s">
        <v>139</v>
      </c>
      <c r="G17" s="94">
        <v>45292.0</v>
      </c>
      <c r="H17" s="95">
        <v>120.0</v>
      </c>
      <c r="I17" s="77" t="s">
        <v>69</v>
      </c>
      <c r="J17" s="96" t="s">
        <v>140</v>
      </c>
      <c r="K17" s="68"/>
      <c r="L17" s="68"/>
    </row>
    <row r="18">
      <c r="A18" s="68"/>
      <c r="B18" s="77"/>
      <c r="C18" s="77" t="s">
        <v>119</v>
      </c>
      <c r="D18" s="77" t="s">
        <v>123</v>
      </c>
      <c r="E18" s="77" t="s">
        <v>141</v>
      </c>
      <c r="F18" s="107" t="s">
        <v>142</v>
      </c>
      <c r="G18" s="94">
        <v>45292.0</v>
      </c>
      <c r="H18" s="95">
        <v>5.0</v>
      </c>
      <c r="I18" s="77" t="s">
        <v>69</v>
      </c>
      <c r="J18" s="96" t="s">
        <v>140</v>
      </c>
      <c r="K18" s="68"/>
      <c r="L18" s="68"/>
    </row>
    <row r="19">
      <c r="A19" s="68"/>
      <c r="B19" s="77"/>
      <c r="C19" s="77" t="s">
        <v>119</v>
      </c>
      <c r="D19" s="77" t="s">
        <v>134</v>
      </c>
      <c r="E19" s="77" t="s">
        <v>143</v>
      </c>
      <c r="F19" s="107" t="s">
        <v>144</v>
      </c>
      <c r="G19" s="94">
        <v>45292.0</v>
      </c>
      <c r="H19" s="95">
        <v>168.0</v>
      </c>
      <c r="I19" s="77" t="s">
        <v>70</v>
      </c>
      <c r="J19" s="96" t="s">
        <v>130</v>
      </c>
      <c r="K19" s="68"/>
      <c r="L19" s="68"/>
    </row>
    <row r="20">
      <c r="A20" s="68"/>
      <c r="B20" s="77"/>
      <c r="C20" s="77" t="s">
        <v>119</v>
      </c>
      <c r="D20" s="77" t="s">
        <v>120</v>
      </c>
      <c r="E20" s="77" t="s">
        <v>89</v>
      </c>
      <c r="F20" s="107" t="s">
        <v>121</v>
      </c>
      <c r="G20" s="94">
        <v>45323.0</v>
      </c>
      <c r="H20" s="95">
        <v>17.0</v>
      </c>
      <c r="I20" s="77" t="s">
        <v>70</v>
      </c>
      <c r="J20" s="96" t="s">
        <v>122</v>
      </c>
      <c r="K20" s="68"/>
      <c r="L20" s="68"/>
    </row>
    <row r="21">
      <c r="A21" s="68"/>
      <c r="B21" s="77"/>
      <c r="C21" s="77" t="s">
        <v>119</v>
      </c>
      <c r="D21" s="77" t="s">
        <v>123</v>
      </c>
      <c r="E21" s="77" t="s">
        <v>124</v>
      </c>
      <c r="F21" s="107" t="s">
        <v>125</v>
      </c>
      <c r="G21" s="94">
        <v>45323.0</v>
      </c>
      <c r="H21" s="95">
        <v>89.0</v>
      </c>
      <c r="I21" s="77" t="s">
        <v>70</v>
      </c>
      <c r="J21" s="96" t="s">
        <v>126</v>
      </c>
      <c r="K21" s="68"/>
      <c r="L21" s="68"/>
    </row>
    <row r="22">
      <c r="A22" s="68"/>
      <c r="B22" s="77"/>
      <c r="C22" s="77" t="s">
        <v>119</v>
      </c>
      <c r="D22" s="77" t="s">
        <v>134</v>
      </c>
      <c r="E22" s="77" t="s">
        <v>95</v>
      </c>
      <c r="F22" s="107" t="s">
        <v>129</v>
      </c>
      <c r="G22" s="94">
        <v>45323.0</v>
      </c>
      <c r="H22" s="95">
        <v>36.0</v>
      </c>
      <c r="I22" s="77" t="s">
        <v>70</v>
      </c>
      <c r="J22" s="96" t="s">
        <v>130</v>
      </c>
      <c r="K22" s="68"/>
      <c r="L22" s="68"/>
    </row>
    <row r="23">
      <c r="A23" s="68"/>
      <c r="B23" s="77"/>
      <c r="C23" s="77" t="s">
        <v>119</v>
      </c>
      <c r="D23" s="77" t="s">
        <v>131</v>
      </c>
      <c r="E23" s="77" t="s">
        <v>132</v>
      </c>
      <c r="F23" s="107" t="s">
        <v>133</v>
      </c>
      <c r="G23" s="94">
        <v>45323.0</v>
      </c>
      <c r="H23" s="95">
        <v>193.0</v>
      </c>
      <c r="I23" s="77" t="s">
        <v>70</v>
      </c>
      <c r="J23" s="96" t="s">
        <v>126</v>
      </c>
      <c r="K23" s="68"/>
      <c r="L23" s="68"/>
    </row>
    <row r="24">
      <c r="A24" s="68"/>
      <c r="B24" s="77"/>
      <c r="C24" s="77" t="s">
        <v>119</v>
      </c>
      <c r="D24" s="77" t="s">
        <v>134</v>
      </c>
      <c r="E24" s="77" t="s">
        <v>135</v>
      </c>
      <c r="F24" s="107" t="s">
        <v>136</v>
      </c>
      <c r="G24" s="94">
        <v>45323.0</v>
      </c>
      <c r="H24" s="95">
        <v>188.0</v>
      </c>
      <c r="I24" s="77" t="s">
        <v>70</v>
      </c>
      <c r="J24" s="96" t="s">
        <v>137</v>
      </c>
      <c r="K24" s="68"/>
      <c r="L24" s="68"/>
    </row>
    <row r="25">
      <c r="A25" s="68"/>
      <c r="B25" s="77"/>
      <c r="C25" s="77" t="s">
        <v>119</v>
      </c>
      <c r="D25" s="77" t="s">
        <v>134</v>
      </c>
      <c r="E25" s="77" t="s">
        <v>138</v>
      </c>
      <c r="F25" s="107" t="s">
        <v>139</v>
      </c>
      <c r="G25" s="94">
        <v>45323.0</v>
      </c>
      <c r="H25" s="95">
        <v>192.0</v>
      </c>
      <c r="I25" s="77" t="s">
        <v>69</v>
      </c>
      <c r="J25" s="96" t="s">
        <v>140</v>
      </c>
      <c r="K25" s="68"/>
      <c r="L25" s="68"/>
    </row>
    <row r="26">
      <c r="A26" s="68"/>
      <c r="B26" s="77"/>
      <c r="C26" s="77" t="s">
        <v>119</v>
      </c>
      <c r="D26" s="77" t="s">
        <v>131</v>
      </c>
      <c r="E26" s="77" t="s">
        <v>141</v>
      </c>
      <c r="F26" s="107" t="s">
        <v>142</v>
      </c>
      <c r="G26" s="94">
        <v>45323.0</v>
      </c>
      <c r="H26" s="95">
        <v>8.0</v>
      </c>
      <c r="I26" s="77" t="s">
        <v>69</v>
      </c>
      <c r="J26" s="96" t="s">
        <v>140</v>
      </c>
      <c r="K26" s="68"/>
      <c r="L26" s="68"/>
    </row>
    <row r="27">
      <c r="A27" s="68"/>
      <c r="B27" s="77"/>
      <c r="C27" s="77" t="s">
        <v>119</v>
      </c>
      <c r="D27" s="77" t="s">
        <v>123</v>
      </c>
      <c r="E27" s="77" t="s">
        <v>143</v>
      </c>
      <c r="F27" s="107" t="s">
        <v>144</v>
      </c>
      <c r="G27" s="94">
        <v>45323.0</v>
      </c>
      <c r="H27" s="95">
        <v>169.0</v>
      </c>
      <c r="I27" s="77" t="s">
        <v>70</v>
      </c>
      <c r="J27" s="96" t="s">
        <v>130</v>
      </c>
      <c r="K27" s="68"/>
      <c r="L27" s="68"/>
    </row>
    <row r="28">
      <c r="A28" s="68"/>
      <c r="B28" s="77"/>
      <c r="C28" s="77" t="s">
        <v>119</v>
      </c>
      <c r="D28" s="77" t="s">
        <v>145</v>
      </c>
      <c r="E28" s="77" t="s">
        <v>89</v>
      </c>
      <c r="F28" s="107" t="s">
        <v>121</v>
      </c>
      <c r="G28" s="94">
        <v>45352.0</v>
      </c>
      <c r="H28" s="95">
        <v>16.0</v>
      </c>
      <c r="I28" s="77" t="s">
        <v>70</v>
      </c>
      <c r="J28" s="96" t="s">
        <v>122</v>
      </c>
      <c r="K28" s="68"/>
      <c r="L28" s="68"/>
    </row>
    <row r="29">
      <c r="A29" s="68"/>
      <c r="B29" s="77"/>
      <c r="C29" s="77" t="s">
        <v>119</v>
      </c>
      <c r="D29" s="77" t="s">
        <v>123</v>
      </c>
      <c r="E29" s="77" t="s">
        <v>124</v>
      </c>
      <c r="F29" s="107" t="s">
        <v>125</v>
      </c>
      <c r="G29" s="94">
        <v>45352.0</v>
      </c>
      <c r="H29" s="95">
        <v>182.0</v>
      </c>
      <c r="I29" s="77" t="s">
        <v>70</v>
      </c>
      <c r="J29" s="96" t="s">
        <v>126</v>
      </c>
      <c r="K29" s="68"/>
      <c r="L29" s="68"/>
    </row>
    <row r="30">
      <c r="A30" s="68"/>
      <c r="B30" s="77"/>
      <c r="C30" s="77" t="s">
        <v>119</v>
      </c>
      <c r="D30" s="77" t="s">
        <v>131</v>
      </c>
      <c r="E30" s="77" t="s">
        <v>132</v>
      </c>
      <c r="F30" s="107" t="s">
        <v>133</v>
      </c>
      <c r="G30" s="94">
        <v>45352.0</v>
      </c>
      <c r="H30" s="95">
        <v>96.0</v>
      </c>
      <c r="I30" s="77" t="s">
        <v>70</v>
      </c>
      <c r="J30" s="96" t="s">
        <v>126</v>
      </c>
      <c r="K30" s="68"/>
      <c r="L30" s="68"/>
    </row>
    <row r="31">
      <c r="A31" s="68"/>
      <c r="B31" s="77"/>
      <c r="C31" s="77" t="s">
        <v>119</v>
      </c>
      <c r="D31" s="77" t="s">
        <v>134</v>
      </c>
      <c r="E31" s="77" t="s">
        <v>135</v>
      </c>
      <c r="F31" s="107" t="s">
        <v>136</v>
      </c>
      <c r="G31" s="94">
        <v>45352.0</v>
      </c>
      <c r="H31" s="95">
        <v>173.0</v>
      </c>
      <c r="I31" s="77" t="s">
        <v>70</v>
      </c>
      <c r="J31" s="96" t="s">
        <v>137</v>
      </c>
      <c r="K31" s="68"/>
      <c r="L31" s="68"/>
    </row>
    <row r="32">
      <c r="A32" s="68"/>
      <c r="B32" s="77"/>
      <c r="C32" s="77" t="s">
        <v>119</v>
      </c>
      <c r="D32" s="77" t="s">
        <v>134</v>
      </c>
      <c r="E32" s="77" t="s">
        <v>138</v>
      </c>
      <c r="F32" s="107" t="s">
        <v>139</v>
      </c>
      <c r="G32" s="94">
        <v>45352.0</v>
      </c>
      <c r="H32" s="95">
        <v>186.0</v>
      </c>
      <c r="I32" s="77" t="s">
        <v>69</v>
      </c>
      <c r="J32" s="96" t="s">
        <v>96</v>
      </c>
      <c r="K32" s="68"/>
      <c r="L32" s="68"/>
    </row>
    <row r="33">
      <c r="A33" s="68"/>
      <c r="B33" s="77"/>
      <c r="C33" s="77" t="s">
        <v>119</v>
      </c>
      <c r="D33" s="77" t="s">
        <v>131</v>
      </c>
      <c r="E33" s="77" t="s">
        <v>143</v>
      </c>
      <c r="F33" s="107" t="s">
        <v>144</v>
      </c>
      <c r="G33" s="94">
        <v>45352.0</v>
      </c>
      <c r="H33" s="95">
        <v>160.0</v>
      </c>
      <c r="I33" s="77" t="s">
        <v>70</v>
      </c>
      <c r="J33" s="96" t="s">
        <v>130</v>
      </c>
      <c r="K33" s="68"/>
      <c r="L33" s="68"/>
    </row>
    <row r="34">
      <c r="A34" s="68"/>
      <c r="B34" s="77"/>
      <c r="C34" s="77" t="s">
        <v>119</v>
      </c>
      <c r="D34" s="77" t="s">
        <v>145</v>
      </c>
      <c r="E34" s="77" t="s">
        <v>89</v>
      </c>
      <c r="F34" s="107" t="s">
        <v>121</v>
      </c>
      <c r="G34" s="94">
        <v>45383.0</v>
      </c>
      <c r="H34" s="95">
        <v>25.0</v>
      </c>
      <c r="I34" s="77" t="s">
        <v>70</v>
      </c>
      <c r="J34" s="96" t="s">
        <v>122</v>
      </c>
      <c r="K34" s="68"/>
      <c r="L34" s="68"/>
    </row>
    <row r="35">
      <c r="A35" s="68"/>
      <c r="B35" s="77"/>
      <c r="C35" s="77" t="s">
        <v>119</v>
      </c>
      <c r="D35" s="77" t="s">
        <v>123</v>
      </c>
      <c r="E35" s="77" t="s">
        <v>124</v>
      </c>
      <c r="F35" s="107" t="s">
        <v>125</v>
      </c>
      <c r="G35" s="94">
        <v>45383.0</v>
      </c>
      <c r="H35" s="95">
        <v>184.0</v>
      </c>
      <c r="I35" s="77" t="s">
        <v>70</v>
      </c>
      <c r="J35" s="96" t="s">
        <v>126</v>
      </c>
      <c r="K35" s="68"/>
      <c r="L35" s="68"/>
    </row>
    <row r="36">
      <c r="A36" s="68"/>
      <c r="B36" s="77"/>
      <c r="C36" s="77" t="s">
        <v>119</v>
      </c>
      <c r="D36" s="77" t="s">
        <v>131</v>
      </c>
      <c r="E36" s="77" t="s">
        <v>132</v>
      </c>
      <c r="F36" s="107" t="s">
        <v>133</v>
      </c>
      <c r="G36" s="94">
        <v>45383.0</v>
      </c>
      <c r="H36" s="95">
        <v>196.0</v>
      </c>
      <c r="I36" s="77" t="s">
        <v>70</v>
      </c>
      <c r="J36" s="96" t="s">
        <v>126</v>
      </c>
      <c r="K36" s="68"/>
      <c r="L36" s="68"/>
    </row>
    <row r="37">
      <c r="A37" s="68"/>
      <c r="B37" s="77"/>
      <c r="C37" s="77" t="s">
        <v>119</v>
      </c>
      <c r="D37" s="77" t="s">
        <v>134</v>
      </c>
      <c r="E37" s="77" t="s">
        <v>135</v>
      </c>
      <c r="F37" s="107" t="s">
        <v>136</v>
      </c>
      <c r="G37" s="94">
        <v>45383.0</v>
      </c>
      <c r="H37" s="95">
        <v>180.0</v>
      </c>
      <c r="I37" s="77" t="s">
        <v>70</v>
      </c>
      <c r="J37" s="96" t="s">
        <v>137</v>
      </c>
      <c r="K37" s="68"/>
      <c r="L37" s="68"/>
    </row>
    <row r="38">
      <c r="A38" s="68"/>
      <c r="B38" s="77"/>
      <c r="C38" s="77" t="s">
        <v>119</v>
      </c>
      <c r="D38" s="77" t="s">
        <v>134</v>
      </c>
      <c r="E38" s="77" t="s">
        <v>138</v>
      </c>
      <c r="F38" s="107" t="s">
        <v>139</v>
      </c>
      <c r="G38" s="94">
        <v>45383.0</v>
      </c>
      <c r="H38" s="95">
        <v>193.0</v>
      </c>
      <c r="I38" s="77" t="s">
        <v>69</v>
      </c>
      <c r="J38" s="96" t="s">
        <v>96</v>
      </c>
      <c r="K38" s="68"/>
      <c r="L38" s="68"/>
    </row>
    <row r="39">
      <c r="A39" s="68"/>
      <c r="B39" s="77"/>
      <c r="C39" s="77" t="s">
        <v>119</v>
      </c>
      <c r="D39" s="77" t="s">
        <v>134</v>
      </c>
      <c r="E39" s="77" t="s">
        <v>98</v>
      </c>
      <c r="F39" s="107" t="s">
        <v>146</v>
      </c>
      <c r="G39" s="94">
        <v>45323.0</v>
      </c>
      <c r="H39" s="95">
        <v>43.0</v>
      </c>
      <c r="I39" s="77" t="s">
        <v>70</v>
      </c>
      <c r="J39" s="96" t="s">
        <v>130</v>
      </c>
      <c r="K39" s="68"/>
      <c r="L39" s="68"/>
    </row>
    <row r="40">
      <c r="A40" s="68"/>
      <c r="B40" s="77"/>
      <c r="C40" s="77" t="s">
        <v>119</v>
      </c>
      <c r="D40" s="77" t="s">
        <v>123</v>
      </c>
      <c r="E40" s="77" t="s">
        <v>141</v>
      </c>
      <c r="F40" s="107" t="s">
        <v>142</v>
      </c>
      <c r="G40" s="94">
        <v>45323.0</v>
      </c>
      <c r="H40" s="95">
        <v>4.0</v>
      </c>
      <c r="I40" s="77" t="s">
        <v>69</v>
      </c>
      <c r="J40" s="96" t="s">
        <v>140</v>
      </c>
      <c r="K40" s="68"/>
      <c r="L40" s="68"/>
    </row>
    <row r="41">
      <c r="A41" s="68"/>
      <c r="B41" s="77"/>
      <c r="C41" s="77" t="s">
        <v>119</v>
      </c>
      <c r="D41" s="77" t="s">
        <v>131</v>
      </c>
      <c r="E41" s="77" t="s">
        <v>143</v>
      </c>
      <c r="F41" s="107" t="s">
        <v>144</v>
      </c>
      <c r="G41" s="94">
        <v>45383.0</v>
      </c>
      <c r="H41" s="95">
        <v>166.0</v>
      </c>
      <c r="I41" s="77" t="s">
        <v>70</v>
      </c>
      <c r="J41" s="96" t="s">
        <v>130</v>
      </c>
      <c r="K41" s="68"/>
      <c r="L41" s="68"/>
    </row>
    <row r="42">
      <c r="A42" s="68"/>
      <c r="B42" s="77"/>
      <c r="C42" s="77" t="s">
        <v>119</v>
      </c>
      <c r="D42" s="77" t="s">
        <v>145</v>
      </c>
      <c r="E42" s="77" t="s">
        <v>89</v>
      </c>
      <c r="F42" s="107" t="s">
        <v>121</v>
      </c>
      <c r="G42" s="94">
        <v>45413.0</v>
      </c>
      <c r="H42" s="95">
        <v>9.0</v>
      </c>
      <c r="I42" s="77" t="s">
        <v>70</v>
      </c>
      <c r="J42" s="96" t="s">
        <v>122</v>
      </c>
      <c r="K42" s="68"/>
      <c r="L42" s="68"/>
    </row>
    <row r="43">
      <c r="A43" s="68"/>
      <c r="B43" s="77"/>
      <c r="C43" s="77" t="s">
        <v>119</v>
      </c>
      <c r="D43" s="77" t="s">
        <v>123</v>
      </c>
      <c r="E43" s="77" t="s">
        <v>124</v>
      </c>
      <c r="F43" s="107" t="s">
        <v>125</v>
      </c>
      <c r="G43" s="94">
        <v>45413.0</v>
      </c>
      <c r="H43" s="95">
        <v>216.0</v>
      </c>
      <c r="I43" s="77" t="s">
        <v>70</v>
      </c>
      <c r="J43" s="96" t="s">
        <v>126</v>
      </c>
      <c r="K43" s="68"/>
      <c r="L43" s="68"/>
    </row>
    <row r="44">
      <c r="A44" s="68"/>
      <c r="B44" s="77"/>
      <c r="C44" s="77" t="s">
        <v>119</v>
      </c>
      <c r="D44" s="77" t="s">
        <v>131</v>
      </c>
      <c r="E44" s="77" t="s">
        <v>132</v>
      </c>
      <c r="F44" s="107" t="s">
        <v>133</v>
      </c>
      <c r="G44" s="94">
        <v>45413.0</v>
      </c>
      <c r="H44" s="95">
        <v>205.0</v>
      </c>
      <c r="I44" s="77" t="s">
        <v>70</v>
      </c>
      <c r="J44" s="96" t="s">
        <v>126</v>
      </c>
      <c r="K44" s="68"/>
      <c r="L44" s="68"/>
    </row>
    <row r="45">
      <c r="A45" s="68"/>
      <c r="B45" s="77"/>
      <c r="C45" s="77" t="s">
        <v>119</v>
      </c>
      <c r="D45" s="77" t="s">
        <v>134</v>
      </c>
      <c r="E45" s="77" t="s">
        <v>135</v>
      </c>
      <c r="F45" s="107" t="s">
        <v>136</v>
      </c>
      <c r="G45" s="94">
        <v>45413.0</v>
      </c>
      <c r="H45" s="95">
        <v>204.0</v>
      </c>
      <c r="I45" s="77" t="s">
        <v>70</v>
      </c>
      <c r="J45" s="96" t="s">
        <v>137</v>
      </c>
      <c r="K45" s="68"/>
      <c r="L45" s="68"/>
    </row>
    <row r="46">
      <c r="A46" s="68"/>
      <c r="B46" s="77"/>
      <c r="C46" s="77" t="s">
        <v>119</v>
      </c>
      <c r="D46" s="77" t="s">
        <v>123</v>
      </c>
      <c r="E46" s="77" t="s">
        <v>138</v>
      </c>
      <c r="F46" s="107" t="s">
        <v>139</v>
      </c>
      <c r="G46" s="94">
        <v>45413.0</v>
      </c>
      <c r="H46" s="95">
        <v>133.0</v>
      </c>
      <c r="I46" s="77" t="s">
        <v>70</v>
      </c>
      <c r="J46" s="96" t="s">
        <v>137</v>
      </c>
      <c r="K46" s="68"/>
      <c r="L46" s="68"/>
    </row>
    <row r="47">
      <c r="A47" s="68"/>
      <c r="B47" s="77"/>
      <c r="C47" s="77" t="s">
        <v>119</v>
      </c>
      <c r="D47" s="77" t="s">
        <v>134</v>
      </c>
      <c r="E47" s="77" t="s">
        <v>98</v>
      </c>
      <c r="F47" s="107" t="s">
        <v>146</v>
      </c>
      <c r="G47" s="94">
        <v>45413.0</v>
      </c>
      <c r="H47" s="95">
        <v>9.0</v>
      </c>
      <c r="I47" s="77" t="s">
        <v>70</v>
      </c>
      <c r="J47" s="96" t="s">
        <v>130</v>
      </c>
      <c r="K47" s="68"/>
      <c r="L47" s="68"/>
    </row>
    <row r="48">
      <c r="A48" s="68"/>
      <c r="B48" s="77"/>
      <c r="C48" s="77" t="s">
        <v>119</v>
      </c>
      <c r="D48" s="77" t="s">
        <v>134</v>
      </c>
      <c r="E48" s="77" t="s">
        <v>95</v>
      </c>
      <c r="F48" s="107" t="s">
        <v>129</v>
      </c>
      <c r="G48" s="94">
        <v>45323.0</v>
      </c>
      <c r="H48" s="95">
        <v>16.0</v>
      </c>
      <c r="I48" s="77" t="s">
        <v>70</v>
      </c>
      <c r="J48" s="96" t="s">
        <v>130</v>
      </c>
      <c r="K48" s="68"/>
      <c r="L48" s="68"/>
    </row>
    <row r="49">
      <c r="A49" s="68"/>
      <c r="B49" s="77"/>
      <c r="C49" s="77" t="s">
        <v>119</v>
      </c>
      <c r="D49" s="77" t="s">
        <v>134</v>
      </c>
      <c r="E49" s="77" t="s">
        <v>143</v>
      </c>
      <c r="F49" s="107" t="s">
        <v>144</v>
      </c>
      <c r="G49" s="94">
        <v>45413.0</v>
      </c>
      <c r="H49" s="95">
        <v>183.0</v>
      </c>
      <c r="I49" s="77" t="s">
        <v>70</v>
      </c>
      <c r="J49" s="96" t="s">
        <v>130</v>
      </c>
      <c r="K49" s="68"/>
      <c r="L49" s="68"/>
    </row>
    <row r="50">
      <c r="A50" s="68"/>
      <c r="B50" s="77"/>
      <c r="C50" s="77" t="s">
        <v>119</v>
      </c>
      <c r="D50" s="77" t="s">
        <v>145</v>
      </c>
      <c r="E50" s="77" t="s">
        <v>89</v>
      </c>
      <c r="F50" s="107" t="s">
        <v>121</v>
      </c>
      <c r="G50" s="94">
        <v>45444.0</v>
      </c>
      <c r="H50" s="95">
        <v>13.0</v>
      </c>
      <c r="I50" s="77" t="s">
        <v>70</v>
      </c>
      <c r="J50" s="96" t="s">
        <v>122</v>
      </c>
      <c r="K50" s="68"/>
      <c r="L50" s="68"/>
    </row>
    <row r="51">
      <c r="A51" s="68"/>
      <c r="B51" s="77"/>
      <c r="C51" s="77" t="s">
        <v>119</v>
      </c>
      <c r="D51" s="77" t="s">
        <v>123</v>
      </c>
      <c r="E51" s="77" t="s">
        <v>124</v>
      </c>
      <c r="F51" s="107" t="s">
        <v>125</v>
      </c>
      <c r="G51" s="94">
        <v>45444.0</v>
      </c>
      <c r="H51" s="95">
        <v>161.0</v>
      </c>
      <c r="I51" s="77" t="s">
        <v>70</v>
      </c>
      <c r="J51" s="96" t="s">
        <v>126</v>
      </c>
      <c r="K51" s="68"/>
      <c r="L51" s="68"/>
    </row>
    <row r="52">
      <c r="A52" s="68"/>
      <c r="B52" s="77"/>
      <c r="C52" s="77" t="s">
        <v>119</v>
      </c>
      <c r="D52" s="77" t="s">
        <v>131</v>
      </c>
      <c r="E52" s="77" t="s">
        <v>132</v>
      </c>
      <c r="F52" s="107" t="s">
        <v>133</v>
      </c>
      <c r="G52" s="94">
        <v>45444.0</v>
      </c>
      <c r="H52" s="95">
        <v>166.0</v>
      </c>
      <c r="I52" s="77" t="s">
        <v>70</v>
      </c>
      <c r="J52" s="96" t="s">
        <v>126</v>
      </c>
      <c r="K52" s="68"/>
      <c r="L52" s="68"/>
    </row>
    <row r="53">
      <c r="A53" s="68"/>
      <c r="B53" s="77"/>
      <c r="C53" s="77" t="s">
        <v>119</v>
      </c>
      <c r="D53" s="77" t="s">
        <v>134</v>
      </c>
      <c r="E53" s="77" t="s">
        <v>135</v>
      </c>
      <c r="F53" s="107" t="s">
        <v>136</v>
      </c>
      <c r="G53" s="94">
        <v>45444.0</v>
      </c>
      <c r="H53" s="95">
        <v>132.0</v>
      </c>
      <c r="I53" s="77" t="s">
        <v>70</v>
      </c>
      <c r="J53" s="96" t="s">
        <v>137</v>
      </c>
      <c r="K53" s="68"/>
      <c r="L53" s="68"/>
    </row>
    <row r="54">
      <c r="A54" s="68"/>
      <c r="B54" s="77"/>
      <c r="C54" s="77" t="s">
        <v>119</v>
      </c>
      <c r="D54" s="77" t="s">
        <v>123</v>
      </c>
      <c r="E54" s="77" t="s">
        <v>138</v>
      </c>
      <c r="F54" s="107" t="s">
        <v>139</v>
      </c>
      <c r="G54" s="94">
        <v>45444.0</v>
      </c>
      <c r="H54" s="95">
        <v>138.0</v>
      </c>
      <c r="I54" s="77" t="s">
        <v>70</v>
      </c>
      <c r="J54" s="96" t="s">
        <v>137</v>
      </c>
      <c r="K54" s="68"/>
      <c r="L54" s="68"/>
    </row>
    <row r="55">
      <c r="A55" s="68"/>
      <c r="B55" s="77"/>
      <c r="C55" s="77" t="s">
        <v>119</v>
      </c>
      <c r="D55" s="77" t="s">
        <v>131</v>
      </c>
      <c r="E55" s="77" t="s">
        <v>98</v>
      </c>
      <c r="F55" s="107" t="s">
        <v>146</v>
      </c>
      <c r="G55" s="94">
        <v>45444.0</v>
      </c>
      <c r="H55" s="95">
        <v>43.0</v>
      </c>
      <c r="I55" s="77" t="s">
        <v>70</v>
      </c>
      <c r="J55" s="96" t="s">
        <v>130</v>
      </c>
      <c r="K55" s="68"/>
      <c r="L55" s="68"/>
    </row>
    <row r="56">
      <c r="A56" s="68"/>
      <c r="B56" s="77"/>
      <c r="C56" s="77" t="s">
        <v>119</v>
      </c>
      <c r="D56" s="77" t="s">
        <v>131</v>
      </c>
      <c r="E56" s="77" t="s">
        <v>95</v>
      </c>
      <c r="F56" s="107" t="s">
        <v>129</v>
      </c>
      <c r="G56" s="94">
        <v>45444.0</v>
      </c>
      <c r="H56" s="95">
        <v>62.0</v>
      </c>
      <c r="I56" s="77" t="s">
        <v>70</v>
      </c>
      <c r="J56" s="96" t="s">
        <v>130</v>
      </c>
      <c r="K56" s="68"/>
      <c r="L56" s="68"/>
    </row>
    <row r="57">
      <c r="A57" s="68"/>
      <c r="B57" s="77"/>
      <c r="C57" s="77" t="s">
        <v>119</v>
      </c>
      <c r="D57" s="77" t="s">
        <v>123</v>
      </c>
      <c r="E57" s="77" t="s">
        <v>143</v>
      </c>
      <c r="F57" s="107" t="s">
        <v>144</v>
      </c>
      <c r="G57" s="94">
        <v>45444.0</v>
      </c>
      <c r="H57" s="95">
        <v>185.0</v>
      </c>
      <c r="I57" s="77" t="s">
        <v>70</v>
      </c>
      <c r="J57" s="96" t="s">
        <v>130</v>
      </c>
      <c r="K57" s="68"/>
      <c r="L57" s="68"/>
    </row>
    <row r="58">
      <c r="A58" s="68"/>
      <c r="B58" s="77"/>
      <c r="C58" s="77" t="s">
        <v>119</v>
      </c>
      <c r="D58" s="77" t="s">
        <v>123</v>
      </c>
      <c r="E58" s="77" t="s">
        <v>89</v>
      </c>
      <c r="F58" s="107" t="s">
        <v>121</v>
      </c>
      <c r="G58" s="94">
        <v>45474.0</v>
      </c>
      <c r="H58" s="95">
        <v>2.0</v>
      </c>
      <c r="I58" s="77" t="s">
        <v>70</v>
      </c>
      <c r="J58" s="96" t="s">
        <v>122</v>
      </c>
      <c r="K58" s="68"/>
      <c r="L58" s="68"/>
    </row>
    <row r="59">
      <c r="A59" s="68"/>
      <c r="B59" s="77"/>
      <c r="C59" s="77" t="s">
        <v>119</v>
      </c>
      <c r="D59" s="77" t="s">
        <v>123</v>
      </c>
      <c r="E59" s="77" t="s">
        <v>124</v>
      </c>
      <c r="F59" s="107" t="s">
        <v>125</v>
      </c>
      <c r="G59" s="94">
        <v>45474.0</v>
      </c>
      <c r="H59" s="95">
        <v>231.0</v>
      </c>
      <c r="I59" s="77" t="s">
        <v>70</v>
      </c>
      <c r="J59" s="96" t="s">
        <v>126</v>
      </c>
      <c r="K59" s="68"/>
      <c r="L59" s="68"/>
    </row>
    <row r="60">
      <c r="A60" s="68"/>
      <c r="B60" s="77"/>
      <c r="C60" s="77" t="s">
        <v>119</v>
      </c>
      <c r="D60" s="77" t="s">
        <v>131</v>
      </c>
      <c r="E60" s="77" t="s">
        <v>132</v>
      </c>
      <c r="F60" s="107" t="s">
        <v>133</v>
      </c>
      <c r="G60" s="94">
        <v>45474.0</v>
      </c>
      <c r="H60" s="95">
        <v>113.0</v>
      </c>
      <c r="I60" s="77" t="s">
        <v>70</v>
      </c>
      <c r="J60" s="96" t="s">
        <v>126</v>
      </c>
      <c r="K60" s="68"/>
      <c r="L60" s="68"/>
    </row>
    <row r="61">
      <c r="A61" s="68"/>
      <c r="B61" s="77"/>
      <c r="C61" s="77" t="s">
        <v>119</v>
      </c>
      <c r="D61" s="77" t="s">
        <v>147</v>
      </c>
      <c r="E61" s="77" t="s">
        <v>135</v>
      </c>
      <c r="F61" s="107" t="s">
        <v>136</v>
      </c>
      <c r="G61" s="94">
        <v>45474.0</v>
      </c>
      <c r="H61" s="95">
        <v>128.0</v>
      </c>
      <c r="I61" s="77" t="s">
        <v>70</v>
      </c>
      <c r="J61" s="96" t="s">
        <v>137</v>
      </c>
      <c r="K61" s="68"/>
      <c r="L61" s="68"/>
    </row>
    <row r="62">
      <c r="A62" s="68"/>
      <c r="B62" s="77"/>
      <c r="C62" s="77" t="s">
        <v>119</v>
      </c>
      <c r="D62" s="77" t="s">
        <v>123</v>
      </c>
      <c r="E62" s="77" t="s">
        <v>138</v>
      </c>
      <c r="F62" s="107" t="s">
        <v>139</v>
      </c>
      <c r="G62" s="94">
        <v>45474.0</v>
      </c>
      <c r="H62" s="95">
        <v>223.0</v>
      </c>
      <c r="I62" s="77" t="s">
        <v>70</v>
      </c>
      <c r="J62" s="96" t="s">
        <v>137</v>
      </c>
      <c r="K62" s="68"/>
      <c r="L62" s="68"/>
    </row>
    <row r="63">
      <c r="A63" s="68"/>
      <c r="B63" s="77"/>
      <c r="C63" s="77" t="s">
        <v>119</v>
      </c>
      <c r="D63" s="77" t="s">
        <v>131</v>
      </c>
      <c r="E63" s="77" t="s">
        <v>98</v>
      </c>
      <c r="F63" s="107" t="s">
        <v>146</v>
      </c>
      <c r="G63" s="94">
        <v>45474.0</v>
      </c>
      <c r="H63" s="95">
        <v>15.0</v>
      </c>
      <c r="I63" s="77" t="s">
        <v>70</v>
      </c>
      <c r="J63" s="96" t="s">
        <v>130</v>
      </c>
      <c r="K63" s="68"/>
      <c r="L63" s="68"/>
    </row>
    <row r="64">
      <c r="A64" s="68"/>
      <c r="B64" s="77"/>
      <c r="C64" s="77" t="s">
        <v>119</v>
      </c>
      <c r="D64" s="77" t="s">
        <v>131</v>
      </c>
      <c r="E64" s="77" t="s">
        <v>95</v>
      </c>
      <c r="F64" s="107" t="s">
        <v>129</v>
      </c>
      <c r="G64" s="94">
        <v>45474.0</v>
      </c>
      <c r="H64" s="95">
        <v>35.0</v>
      </c>
      <c r="I64" s="77" t="s">
        <v>70</v>
      </c>
      <c r="J64" s="96" t="s">
        <v>130</v>
      </c>
      <c r="K64" s="68"/>
      <c r="L64" s="68"/>
    </row>
    <row r="65">
      <c r="A65" s="68"/>
      <c r="B65" s="77"/>
      <c r="C65" s="77" t="s">
        <v>119</v>
      </c>
      <c r="D65" s="77" t="s">
        <v>123</v>
      </c>
      <c r="E65" s="77" t="s">
        <v>143</v>
      </c>
      <c r="F65" s="107" t="s">
        <v>144</v>
      </c>
      <c r="G65" s="94">
        <v>45474.0</v>
      </c>
      <c r="H65" s="95">
        <v>179.0</v>
      </c>
      <c r="I65" s="77" t="s">
        <v>70</v>
      </c>
      <c r="J65" s="96" t="s">
        <v>130</v>
      </c>
      <c r="K65" s="68"/>
      <c r="L65" s="68"/>
    </row>
    <row r="66">
      <c r="A66" s="68"/>
      <c r="B66" s="77"/>
      <c r="C66" s="77" t="s">
        <v>119</v>
      </c>
      <c r="D66" s="77" t="s">
        <v>147</v>
      </c>
      <c r="E66" s="77" t="s">
        <v>148</v>
      </c>
      <c r="F66" s="107" t="s">
        <v>149</v>
      </c>
      <c r="G66" s="94">
        <v>45505.0</v>
      </c>
      <c r="H66" s="95">
        <v>1.0</v>
      </c>
      <c r="I66" s="77" t="s">
        <v>72</v>
      </c>
      <c r="J66" s="96" t="s">
        <v>150</v>
      </c>
      <c r="K66" s="68"/>
      <c r="L66" s="68"/>
    </row>
    <row r="67">
      <c r="A67" s="68"/>
      <c r="B67" s="77"/>
      <c r="C67" s="77" t="s">
        <v>119</v>
      </c>
      <c r="D67" s="77" t="s">
        <v>151</v>
      </c>
      <c r="E67" s="77" t="s">
        <v>124</v>
      </c>
      <c r="F67" s="107" t="s">
        <v>125</v>
      </c>
      <c r="G67" s="94">
        <v>45505.0</v>
      </c>
      <c r="H67" s="95">
        <v>221.0</v>
      </c>
      <c r="I67" s="77" t="s">
        <v>70</v>
      </c>
      <c r="J67" s="96" t="s">
        <v>126</v>
      </c>
      <c r="K67" s="68"/>
      <c r="L67" s="68"/>
    </row>
    <row r="68">
      <c r="A68" s="68"/>
      <c r="B68" s="77"/>
      <c r="C68" s="77" t="s">
        <v>119</v>
      </c>
      <c r="D68" s="77" t="s">
        <v>131</v>
      </c>
      <c r="E68" s="77" t="s">
        <v>132</v>
      </c>
      <c r="F68" s="107" t="s">
        <v>133</v>
      </c>
      <c r="G68" s="94">
        <v>45505.0</v>
      </c>
      <c r="H68" s="95">
        <v>179.0</v>
      </c>
      <c r="I68" s="77" t="s">
        <v>70</v>
      </c>
      <c r="J68" s="96" t="s">
        <v>126</v>
      </c>
      <c r="K68" s="68"/>
      <c r="L68" s="68"/>
    </row>
    <row r="69">
      <c r="A69" s="68"/>
      <c r="B69" s="77"/>
      <c r="C69" s="77" t="s">
        <v>119</v>
      </c>
      <c r="D69" s="77" t="s">
        <v>147</v>
      </c>
      <c r="E69" s="77" t="s">
        <v>135</v>
      </c>
      <c r="F69" s="107" t="s">
        <v>136</v>
      </c>
      <c r="G69" s="94">
        <v>45505.0</v>
      </c>
      <c r="H69" s="95">
        <v>167.0</v>
      </c>
      <c r="I69" s="77" t="s">
        <v>70</v>
      </c>
      <c r="J69" s="96" t="s">
        <v>137</v>
      </c>
      <c r="K69" s="68"/>
      <c r="L69" s="68"/>
    </row>
    <row r="70">
      <c r="A70" s="68"/>
      <c r="B70" s="77"/>
      <c r="C70" s="77" t="s">
        <v>119</v>
      </c>
      <c r="D70" s="77" t="s">
        <v>123</v>
      </c>
      <c r="E70" s="77" t="s">
        <v>138</v>
      </c>
      <c r="F70" s="107" t="s">
        <v>139</v>
      </c>
      <c r="G70" s="94">
        <v>45505.0</v>
      </c>
      <c r="H70" s="95">
        <v>204.0</v>
      </c>
      <c r="I70" s="77" t="s">
        <v>70</v>
      </c>
      <c r="J70" s="96" t="s">
        <v>137</v>
      </c>
      <c r="K70" s="68"/>
      <c r="L70" s="68"/>
    </row>
    <row r="71">
      <c r="A71" s="68"/>
      <c r="B71" s="77"/>
      <c r="C71" s="77" t="s">
        <v>119</v>
      </c>
      <c r="D71" s="77" t="s">
        <v>131</v>
      </c>
      <c r="E71" s="77" t="s">
        <v>98</v>
      </c>
      <c r="F71" s="107" t="s">
        <v>146</v>
      </c>
      <c r="G71" s="94">
        <v>45505.0</v>
      </c>
      <c r="H71" s="95">
        <v>53.0</v>
      </c>
      <c r="I71" s="77" t="s">
        <v>70</v>
      </c>
      <c r="J71" s="96" t="s">
        <v>130</v>
      </c>
      <c r="K71" s="68"/>
      <c r="L71" s="68"/>
    </row>
    <row r="72">
      <c r="A72" s="68"/>
      <c r="B72" s="77"/>
      <c r="C72" s="77" t="s">
        <v>119</v>
      </c>
      <c r="D72" s="77" t="s">
        <v>131</v>
      </c>
      <c r="E72" s="77" t="s">
        <v>95</v>
      </c>
      <c r="F72" s="107" t="s">
        <v>129</v>
      </c>
      <c r="G72" s="94">
        <v>45505.0</v>
      </c>
      <c r="H72" s="95">
        <v>69.0</v>
      </c>
      <c r="I72" s="77" t="s">
        <v>70</v>
      </c>
      <c r="J72" s="96" t="s">
        <v>130</v>
      </c>
      <c r="K72" s="68"/>
      <c r="L72" s="68"/>
    </row>
    <row r="73">
      <c r="A73" s="68"/>
      <c r="B73" s="77"/>
      <c r="C73" s="77" t="s">
        <v>119</v>
      </c>
      <c r="D73" s="77" t="s">
        <v>123</v>
      </c>
      <c r="E73" s="77" t="s">
        <v>143</v>
      </c>
      <c r="F73" s="107" t="s">
        <v>144</v>
      </c>
      <c r="G73" s="94">
        <v>45505.0</v>
      </c>
      <c r="H73" s="95">
        <v>180.0</v>
      </c>
      <c r="I73" s="77" t="s">
        <v>70</v>
      </c>
      <c r="J73" s="96" t="s">
        <v>130</v>
      </c>
      <c r="K73" s="68"/>
      <c r="L73" s="68"/>
    </row>
    <row r="74">
      <c r="A74" s="68"/>
      <c r="B74" s="77"/>
      <c r="C74" s="77" t="s">
        <v>119</v>
      </c>
      <c r="D74" s="77" t="s">
        <v>147</v>
      </c>
      <c r="E74" s="77" t="s">
        <v>141</v>
      </c>
      <c r="F74" s="107" t="s">
        <v>142</v>
      </c>
      <c r="G74" s="94">
        <v>45292.0</v>
      </c>
      <c r="H74" s="95">
        <v>4.0</v>
      </c>
      <c r="I74" s="77" t="s">
        <v>69</v>
      </c>
      <c r="J74" s="96" t="s">
        <v>140</v>
      </c>
      <c r="K74" s="68"/>
      <c r="L74" s="68"/>
    </row>
    <row r="75">
      <c r="A75" s="68"/>
      <c r="B75" s="77"/>
      <c r="C75" s="77" t="s">
        <v>119</v>
      </c>
      <c r="D75" s="77" t="s">
        <v>151</v>
      </c>
      <c r="E75" s="77" t="s">
        <v>124</v>
      </c>
      <c r="F75" s="107" t="s">
        <v>125</v>
      </c>
      <c r="G75" s="94">
        <v>45536.0</v>
      </c>
      <c r="H75" s="95">
        <v>220.0</v>
      </c>
      <c r="I75" s="77" t="s">
        <v>70</v>
      </c>
      <c r="J75" s="96" t="s">
        <v>126</v>
      </c>
      <c r="K75" s="68"/>
      <c r="L75" s="68"/>
    </row>
    <row r="76">
      <c r="A76" s="68"/>
      <c r="B76" s="77"/>
      <c r="C76" s="77" t="s">
        <v>119</v>
      </c>
      <c r="D76" s="77" t="s">
        <v>131</v>
      </c>
      <c r="E76" s="77" t="s">
        <v>132</v>
      </c>
      <c r="F76" s="107" t="s">
        <v>133</v>
      </c>
      <c r="G76" s="94">
        <v>45536.0</v>
      </c>
      <c r="H76" s="95">
        <v>228.0</v>
      </c>
      <c r="I76" s="77" t="s">
        <v>70</v>
      </c>
      <c r="J76" s="96" t="s">
        <v>126</v>
      </c>
      <c r="K76" s="68"/>
      <c r="L76" s="68"/>
    </row>
    <row r="77">
      <c r="A77" s="68"/>
      <c r="B77" s="77"/>
      <c r="C77" s="77" t="s">
        <v>119</v>
      </c>
      <c r="D77" s="77" t="s">
        <v>147</v>
      </c>
      <c r="E77" s="77" t="s">
        <v>135</v>
      </c>
      <c r="F77" s="107" t="s">
        <v>136</v>
      </c>
      <c r="G77" s="94">
        <v>45536.0</v>
      </c>
      <c r="H77" s="95">
        <v>185.0</v>
      </c>
      <c r="I77" s="77" t="s">
        <v>70</v>
      </c>
      <c r="J77" s="96" t="s">
        <v>137</v>
      </c>
      <c r="K77" s="68"/>
      <c r="L77" s="68"/>
    </row>
    <row r="78">
      <c r="A78" s="68"/>
      <c r="B78" s="77"/>
      <c r="C78" s="77" t="s">
        <v>119</v>
      </c>
      <c r="D78" s="77" t="s">
        <v>123</v>
      </c>
      <c r="E78" s="77" t="s">
        <v>138</v>
      </c>
      <c r="F78" s="107" t="s">
        <v>139</v>
      </c>
      <c r="G78" s="94">
        <v>45536.0</v>
      </c>
      <c r="H78" s="95">
        <v>198.0</v>
      </c>
      <c r="I78" s="77" t="s">
        <v>70</v>
      </c>
      <c r="J78" s="96" t="s">
        <v>137</v>
      </c>
      <c r="K78" s="68"/>
      <c r="L78" s="68"/>
    </row>
    <row r="79">
      <c r="A79" s="68"/>
      <c r="B79" s="77"/>
      <c r="C79" s="77" t="s">
        <v>119</v>
      </c>
      <c r="D79" s="77" t="s">
        <v>131</v>
      </c>
      <c r="E79" s="77" t="s">
        <v>98</v>
      </c>
      <c r="F79" s="107" t="s">
        <v>146</v>
      </c>
      <c r="G79" s="94">
        <v>45536.0</v>
      </c>
      <c r="H79" s="95">
        <v>47.0</v>
      </c>
      <c r="I79" s="77" t="s">
        <v>70</v>
      </c>
      <c r="J79" s="96" t="s">
        <v>130</v>
      </c>
      <c r="K79" s="68"/>
      <c r="L79" s="68"/>
    </row>
    <row r="80">
      <c r="A80" s="68"/>
      <c r="B80" s="77"/>
      <c r="C80" s="77" t="s">
        <v>119</v>
      </c>
      <c r="D80" s="77" t="s">
        <v>131</v>
      </c>
      <c r="E80" s="77" t="s">
        <v>95</v>
      </c>
      <c r="F80" s="107" t="s">
        <v>129</v>
      </c>
      <c r="G80" s="94">
        <v>45536.0</v>
      </c>
      <c r="H80" s="95">
        <v>22.0</v>
      </c>
      <c r="I80" s="77" t="s">
        <v>70</v>
      </c>
      <c r="J80" s="96" t="s">
        <v>130</v>
      </c>
      <c r="K80" s="68"/>
      <c r="L80" s="68"/>
    </row>
    <row r="81">
      <c r="A81" s="68"/>
      <c r="B81" s="77"/>
      <c r="C81" s="77" t="s">
        <v>119</v>
      </c>
      <c r="D81" s="77" t="s">
        <v>123</v>
      </c>
      <c r="E81" s="77" t="s">
        <v>143</v>
      </c>
      <c r="F81" s="107" t="s">
        <v>144</v>
      </c>
      <c r="G81" s="101">
        <v>45536.0</v>
      </c>
      <c r="H81" s="107">
        <v>188.0</v>
      </c>
      <c r="I81" s="77" t="s">
        <v>70</v>
      </c>
      <c r="J81" s="96" t="s">
        <v>130</v>
      </c>
      <c r="K81" s="68"/>
      <c r="L81" s="68"/>
    </row>
    <row r="82">
      <c r="A82" s="68"/>
      <c r="B82" s="77"/>
      <c r="C82" s="77" t="s">
        <v>119</v>
      </c>
      <c r="D82" s="77" t="s">
        <v>151</v>
      </c>
      <c r="E82" s="77" t="s">
        <v>124</v>
      </c>
      <c r="F82" s="107" t="s">
        <v>125</v>
      </c>
      <c r="G82" s="101">
        <v>45566.0</v>
      </c>
      <c r="H82" s="95">
        <v>181.0</v>
      </c>
      <c r="I82" s="77" t="s">
        <v>70</v>
      </c>
      <c r="J82" s="96" t="s">
        <v>126</v>
      </c>
      <c r="K82" s="68"/>
      <c r="L82" s="68"/>
    </row>
    <row r="83">
      <c r="A83" s="68"/>
      <c r="B83" s="77"/>
      <c r="C83" s="77" t="s">
        <v>119</v>
      </c>
      <c r="D83" s="77" t="s">
        <v>131</v>
      </c>
      <c r="E83" s="77" t="s">
        <v>132</v>
      </c>
      <c r="F83" s="107" t="s">
        <v>133</v>
      </c>
      <c r="G83" s="101">
        <v>45566.0</v>
      </c>
      <c r="H83" s="95">
        <v>138.0</v>
      </c>
      <c r="I83" s="77" t="s">
        <v>70</v>
      </c>
      <c r="J83" s="96" t="s">
        <v>126</v>
      </c>
      <c r="K83" s="68"/>
      <c r="L83" s="68"/>
    </row>
    <row r="84">
      <c r="A84" s="68"/>
      <c r="B84" s="77"/>
      <c r="C84" s="77" t="s">
        <v>119</v>
      </c>
      <c r="D84" s="77" t="s">
        <v>147</v>
      </c>
      <c r="E84" s="77" t="s">
        <v>135</v>
      </c>
      <c r="F84" s="107" t="s">
        <v>136</v>
      </c>
      <c r="G84" s="101">
        <v>45566.0</v>
      </c>
      <c r="H84" s="95">
        <v>214.0</v>
      </c>
      <c r="I84" s="77" t="s">
        <v>70</v>
      </c>
      <c r="J84" s="96" t="s">
        <v>137</v>
      </c>
      <c r="K84" s="68"/>
      <c r="L84" s="68"/>
    </row>
    <row r="85">
      <c r="A85" s="68"/>
      <c r="B85" s="77"/>
      <c r="C85" s="77" t="s">
        <v>119</v>
      </c>
      <c r="D85" s="77" t="s">
        <v>123</v>
      </c>
      <c r="E85" s="77" t="s">
        <v>138</v>
      </c>
      <c r="F85" s="107" t="s">
        <v>139</v>
      </c>
      <c r="G85" s="101">
        <v>45566.0</v>
      </c>
      <c r="H85" s="95">
        <v>274.0</v>
      </c>
      <c r="I85" s="77" t="s">
        <v>70</v>
      </c>
      <c r="J85" s="96" t="s">
        <v>137</v>
      </c>
      <c r="K85" s="68"/>
      <c r="L85" s="68"/>
    </row>
    <row r="86">
      <c r="A86" s="68"/>
      <c r="B86" s="77"/>
      <c r="C86" s="77" t="s">
        <v>119</v>
      </c>
      <c r="D86" s="77" t="s">
        <v>131</v>
      </c>
      <c r="E86" s="77" t="s">
        <v>98</v>
      </c>
      <c r="F86" s="107" t="s">
        <v>146</v>
      </c>
      <c r="G86" s="101">
        <v>45566.0</v>
      </c>
      <c r="H86" s="95">
        <v>52.0</v>
      </c>
      <c r="I86" s="77" t="s">
        <v>70</v>
      </c>
      <c r="J86" s="96" t="s">
        <v>130</v>
      </c>
      <c r="K86" s="68"/>
      <c r="L86" s="68"/>
    </row>
    <row r="87">
      <c r="A87" s="68"/>
      <c r="B87" s="77"/>
      <c r="C87" s="77" t="s">
        <v>119</v>
      </c>
      <c r="D87" s="77" t="s">
        <v>131</v>
      </c>
      <c r="E87" s="77" t="s">
        <v>95</v>
      </c>
      <c r="F87" s="107" t="s">
        <v>129</v>
      </c>
      <c r="G87" s="101">
        <v>45566.0</v>
      </c>
      <c r="H87" s="95">
        <v>24.0</v>
      </c>
      <c r="I87" s="77" t="s">
        <v>70</v>
      </c>
      <c r="J87" s="96" t="s">
        <v>130</v>
      </c>
      <c r="K87" s="68"/>
      <c r="L87" s="68"/>
    </row>
    <row r="88">
      <c r="A88" s="68"/>
      <c r="B88" s="77"/>
      <c r="C88" s="77" t="s">
        <v>119</v>
      </c>
      <c r="D88" s="77" t="s">
        <v>123</v>
      </c>
      <c r="E88" s="77" t="s">
        <v>143</v>
      </c>
      <c r="F88" s="107" t="s">
        <v>144</v>
      </c>
      <c r="G88" s="101">
        <v>45566.0</v>
      </c>
      <c r="H88" s="95">
        <v>197.0</v>
      </c>
      <c r="I88" s="77" t="s">
        <v>70</v>
      </c>
      <c r="J88" s="96" t="s">
        <v>130</v>
      </c>
      <c r="K88" s="68"/>
      <c r="L88" s="68"/>
    </row>
    <row r="89">
      <c r="A89" s="68"/>
      <c r="B89" s="77"/>
      <c r="C89" s="77" t="s">
        <v>119</v>
      </c>
      <c r="D89" s="77" t="s">
        <v>147</v>
      </c>
      <c r="E89" s="77" t="s">
        <v>148</v>
      </c>
      <c r="F89" s="107" t="s">
        <v>149</v>
      </c>
      <c r="G89" s="101">
        <v>45597.0</v>
      </c>
      <c r="H89" s="95">
        <v>222.0</v>
      </c>
      <c r="I89" s="77" t="s">
        <v>72</v>
      </c>
      <c r="J89" s="96" t="s">
        <v>150</v>
      </c>
      <c r="K89" s="68"/>
      <c r="L89" s="68"/>
    </row>
    <row r="90">
      <c r="A90" s="68"/>
      <c r="B90" s="77"/>
      <c r="C90" s="77" t="s">
        <v>119</v>
      </c>
      <c r="D90" s="77" t="s">
        <v>151</v>
      </c>
      <c r="E90" s="77" t="s">
        <v>124</v>
      </c>
      <c r="F90" s="107" t="s">
        <v>125</v>
      </c>
      <c r="G90" s="101">
        <v>45597.0</v>
      </c>
      <c r="H90" s="95">
        <v>214.0</v>
      </c>
      <c r="I90" s="77" t="s">
        <v>70</v>
      </c>
      <c r="J90" s="96" t="s">
        <v>126</v>
      </c>
      <c r="K90" s="68"/>
      <c r="L90" s="68"/>
    </row>
    <row r="91">
      <c r="A91" s="68"/>
      <c r="B91" s="77"/>
      <c r="C91" s="77" t="s">
        <v>119</v>
      </c>
      <c r="D91" s="77" t="s">
        <v>131</v>
      </c>
      <c r="E91" s="77" t="s">
        <v>132</v>
      </c>
      <c r="F91" s="107" t="s">
        <v>133</v>
      </c>
      <c r="G91" s="101">
        <v>45597.0</v>
      </c>
      <c r="H91" s="95">
        <v>201.0</v>
      </c>
      <c r="I91" s="77" t="s">
        <v>70</v>
      </c>
      <c r="J91" s="96" t="s">
        <v>126</v>
      </c>
      <c r="K91" s="68"/>
      <c r="L91" s="68"/>
    </row>
    <row r="92">
      <c r="A92" s="68"/>
      <c r="B92" s="77"/>
      <c r="C92" s="77" t="s">
        <v>119</v>
      </c>
      <c r="D92" s="77" t="s">
        <v>147</v>
      </c>
      <c r="E92" s="77" t="s">
        <v>135</v>
      </c>
      <c r="F92" s="107" t="s">
        <v>136</v>
      </c>
      <c r="G92" s="101">
        <v>45597.0</v>
      </c>
      <c r="H92" s="95">
        <v>116.0</v>
      </c>
      <c r="I92" s="77" t="s">
        <v>70</v>
      </c>
      <c r="J92" s="96" t="s">
        <v>137</v>
      </c>
      <c r="K92" s="68"/>
      <c r="L92" s="68"/>
    </row>
    <row r="93">
      <c r="A93" s="68"/>
      <c r="B93" s="77"/>
      <c r="C93" s="77" t="s">
        <v>119</v>
      </c>
      <c r="D93" s="77" t="s">
        <v>123</v>
      </c>
      <c r="E93" s="77" t="s">
        <v>138</v>
      </c>
      <c r="F93" s="107" t="s">
        <v>139</v>
      </c>
      <c r="G93" s="101">
        <v>45597.0</v>
      </c>
      <c r="H93" s="95">
        <v>18.0</v>
      </c>
      <c r="I93" s="77" t="s">
        <v>70</v>
      </c>
      <c r="J93" s="96" t="s">
        <v>137</v>
      </c>
      <c r="K93" s="68"/>
      <c r="L93" s="68"/>
    </row>
    <row r="94">
      <c r="A94" s="68"/>
      <c r="B94" s="77"/>
      <c r="C94" s="77" t="s">
        <v>119</v>
      </c>
      <c r="D94" s="77" t="s">
        <v>131</v>
      </c>
      <c r="E94" s="77" t="s">
        <v>98</v>
      </c>
      <c r="F94" s="107" t="s">
        <v>146</v>
      </c>
      <c r="G94" s="101">
        <v>45597.0</v>
      </c>
      <c r="H94" s="95">
        <v>3.0</v>
      </c>
      <c r="I94" s="77" t="s">
        <v>70</v>
      </c>
      <c r="J94" s="96" t="s">
        <v>130</v>
      </c>
      <c r="K94" s="68"/>
      <c r="L94" s="68"/>
    </row>
    <row r="95">
      <c r="A95" s="68"/>
      <c r="B95" s="77"/>
      <c r="C95" s="77" t="s">
        <v>119</v>
      </c>
      <c r="D95" s="77" t="s">
        <v>131</v>
      </c>
      <c r="E95" s="77" t="s">
        <v>95</v>
      </c>
      <c r="F95" s="107" t="s">
        <v>129</v>
      </c>
      <c r="G95" s="101">
        <v>45597.0</v>
      </c>
      <c r="H95" s="95">
        <v>152.0</v>
      </c>
      <c r="I95" s="77" t="s">
        <v>70</v>
      </c>
      <c r="J95" s="96" t="s">
        <v>130</v>
      </c>
      <c r="K95" s="68"/>
      <c r="L95" s="68"/>
    </row>
    <row r="96">
      <c r="A96" s="68"/>
      <c r="B96" s="77"/>
      <c r="C96" s="77" t="s">
        <v>119</v>
      </c>
      <c r="D96" s="77" t="s">
        <v>123</v>
      </c>
      <c r="E96" s="77" t="s">
        <v>143</v>
      </c>
      <c r="F96" s="107" t="s">
        <v>144</v>
      </c>
      <c r="G96" s="101">
        <v>45597.0</v>
      </c>
      <c r="H96" s="95">
        <v>1.0</v>
      </c>
      <c r="I96" s="77" t="s">
        <v>70</v>
      </c>
      <c r="J96" s="96" t="s">
        <v>130</v>
      </c>
      <c r="K96" s="68"/>
      <c r="L96" s="68"/>
    </row>
    <row r="97">
      <c r="A97" s="68"/>
      <c r="B97" s="77"/>
      <c r="C97" s="77" t="s">
        <v>119</v>
      </c>
      <c r="D97" s="77" t="s">
        <v>147</v>
      </c>
      <c r="E97" s="77" t="s">
        <v>148</v>
      </c>
      <c r="F97" s="107" t="s">
        <v>149</v>
      </c>
      <c r="G97" s="101">
        <v>45627.0</v>
      </c>
      <c r="H97" s="95">
        <v>53.0</v>
      </c>
      <c r="I97" s="77" t="s">
        <v>72</v>
      </c>
      <c r="J97" s="96" t="s">
        <v>150</v>
      </c>
      <c r="K97" s="68"/>
      <c r="L97" s="68"/>
    </row>
    <row r="98">
      <c r="A98" s="68"/>
      <c r="B98" s="77"/>
      <c r="C98" s="77" t="s">
        <v>119</v>
      </c>
      <c r="D98" s="77" t="s">
        <v>151</v>
      </c>
      <c r="E98" s="77" t="s">
        <v>124</v>
      </c>
      <c r="F98" s="107" t="s">
        <v>125</v>
      </c>
      <c r="G98" s="101">
        <v>45627.0</v>
      </c>
      <c r="H98" s="95">
        <v>175.0</v>
      </c>
      <c r="I98" s="77" t="s">
        <v>70</v>
      </c>
      <c r="J98" s="96" t="s">
        <v>126</v>
      </c>
      <c r="K98" s="68"/>
      <c r="L98" s="68"/>
    </row>
    <row r="99">
      <c r="A99" s="68"/>
      <c r="B99" s="77"/>
      <c r="C99" s="77" t="s">
        <v>119</v>
      </c>
      <c r="D99" s="77" t="s">
        <v>131</v>
      </c>
      <c r="E99" s="77" t="s">
        <v>132</v>
      </c>
      <c r="F99" s="107" t="s">
        <v>133</v>
      </c>
      <c r="G99" s="101">
        <v>45627.0</v>
      </c>
      <c r="H99" s="95">
        <v>97.0</v>
      </c>
      <c r="I99" s="77" t="s">
        <v>70</v>
      </c>
      <c r="J99" s="96" t="s">
        <v>126</v>
      </c>
      <c r="K99" s="68"/>
      <c r="L99" s="68"/>
    </row>
    <row r="100">
      <c r="A100" s="68"/>
      <c r="B100" s="77"/>
      <c r="C100" s="77" t="s">
        <v>119</v>
      </c>
      <c r="D100" s="77" t="s">
        <v>147</v>
      </c>
      <c r="E100" s="77" t="s">
        <v>135</v>
      </c>
      <c r="F100" s="107" t="s">
        <v>136</v>
      </c>
      <c r="G100" s="101">
        <v>45627.0</v>
      </c>
      <c r="H100" s="95">
        <v>103.0</v>
      </c>
      <c r="I100" s="77" t="s">
        <v>70</v>
      </c>
      <c r="J100" s="96" t="s">
        <v>137</v>
      </c>
      <c r="K100" s="68"/>
      <c r="L100" s="68"/>
    </row>
    <row r="101">
      <c r="A101" s="68"/>
      <c r="B101" s="77"/>
      <c r="C101" s="77" t="s">
        <v>119</v>
      </c>
      <c r="D101" s="77" t="s">
        <v>123</v>
      </c>
      <c r="E101" s="77" t="s">
        <v>138</v>
      </c>
      <c r="F101" s="107" t="s">
        <v>139</v>
      </c>
      <c r="G101" s="101">
        <v>45627.0</v>
      </c>
      <c r="H101" s="95">
        <v>6.0</v>
      </c>
      <c r="I101" s="77" t="s">
        <v>70</v>
      </c>
      <c r="J101" s="96" t="s">
        <v>137</v>
      </c>
      <c r="K101" s="68"/>
      <c r="L101" s="68"/>
    </row>
    <row r="102">
      <c r="A102" s="68"/>
      <c r="B102" s="77"/>
      <c r="C102" s="77" t="s">
        <v>119</v>
      </c>
      <c r="D102" s="77" t="s">
        <v>131</v>
      </c>
      <c r="E102" s="77" t="s">
        <v>98</v>
      </c>
      <c r="F102" s="107" t="s">
        <v>146</v>
      </c>
      <c r="G102" s="101">
        <v>45627.0</v>
      </c>
      <c r="H102" s="95">
        <v>14.0</v>
      </c>
      <c r="I102" s="77" t="s">
        <v>70</v>
      </c>
      <c r="J102" s="96" t="s">
        <v>130</v>
      </c>
      <c r="K102" s="68"/>
      <c r="L102" s="68"/>
    </row>
    <row r="103">
      <c r="A103" s="68"/>
      <c r="B103" s="77"/>
      <c r="C103" s="77" t="s">
        <v>119</v>
      </c>
      <c r="D103" s="77" t="s">
        <v>131</v>
      </c>
      <c r="E103" s="77" t="s">
        <v>95</v>
      </c>
      <c r="F103" s="107" t="s">
        <v>129</v>
      </c>
      <c r="G103" s="101">
        <v>45627.0</v>
      </c>
      <c r="H103" s="95">
        <v>154.0</v>
      </c>
      <c r="I103" s="77" t="s">
        <v>70</v>
      </c>
      <c r="J103" s="96" t="s">
        <v>130</v>
      </c>
      <c r="K103" s="68"/>
      <c r="L103" s="68"/>
    </row>
  </sheetData>
  <autoFilter ref="$B$11:$J$103"/>
  <mergeCells count="1">
    <mergeCell ref="B5:D6"/>
  </mergeCells>
  <dataValidations>
    <dataValidation type="list" allowBlank="1" sqref="E12:E103">
      <formula1>NOTIFY!$E$28:$E$39</formula1>
    </dataValidation>
    <dataValidation type="list" allowBlank="1" sqref="I12:I103">
      <formula1>$I$6:$I$9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3" width="18.88"/>
    <col customWidth="1" min="4" max="4" width="31.38"/>
    <col customWidth="1" min="5" max="5" width="18.88"/>
    <col customWidth="1" min="6" max="7" width="12.63"/>
    <col customWidth="1" min="8" max="8" width="31.38"/>
    <col customWidth="1" min="9" max="10" width="5.13"/>
  </cols>
  <sheetData>
    <row r="1" ht="11.25" customHeight="1">
      <c r="A1" s="68"/>
      <c r="B1" s="68"/>
      <c r="C1" s="68"/>
      <c r="D1" s="68"/>
      <c r="E1" s="68"/>
      <c r="F1" s="81"/>
      <c r="G1" s="68"/>
      <c r="H1" s="68"/>
      <c r="I1" s="68"/>
      <c r="J1" s="68"/>
    </row>
    <row r="2">
      <c r="A2" s="68"/>
      <c r="B2" s="69" t="s">
        <v>56</v>
      </c>
      <c r="C2" s="69"/>
      <c r="D2" s="73"/>
      <c r="E2" s="73"/>
      <c r="F2" s="86"/>
      <c r="G2" s="68"/>
      <c r="H2" s="68"/>
      <c r="I2" s="68"/>
      <c r="J2" s="68"/>
    </row>
    <row r="3">
      <c r="A3" s="68"/>
      <c r="B3" s="70" t="s">
        <v>57</v>
      </c>
      <c r="C3" s="70"/>
      <c r="D3" s="73"/>
      <c r="E3" s="73"/>
      <c r="F3" s="86"/>
      <c r="G3" s="68"/>
      <c r="H3" s="68"/>
      <c r="I3" s="68"/>
      <c r="J3" s="68"/>
    </row>
    <row r="4">
      <c r="A4" s="68"/>
      <c r="B4" s="71" t="s">
        <v>450</v>
      </c>
      <c r="C4" s="71"/>
      <c r="D4" s="73"/>
      <c r="E4" s="73"/>
      <c r="F4" s="86"/>
      <c r="G4" s="68"/>
      <c r="H4" s="68"/>
      <c r="I4" s="68"/>
      <c r="J4" s="68"/>
    </row>
    <row r="5">
      <c r="A5" s="68"/>
      <c r="B5" s="72" t="s">
        <v>59</v>
      </c>
      <c r="E5" s="72"/>
      <c r="F5" s="72"/>
      <c r="G5" s="82"/>
      <c r="H5" s="68"/>
      <c r="I5" s="68"/>
      <c r="J5" s="68"/>
    </row>
    <row r="6">
      <c r="A6" s="68"/>
      <c r="E6" s="72"/>
      <c r="F6" s="72"/>
      <c r="G6" s="82"/>
      <c r="H6" s="68"/>
      <c r="I6" s="68"/>
      <c r="J6" s="68"/>
    </row>
    <row r="7">
      <c r="A7" s="68"/>
      <c r="B7" s="73"/>
      <c r="C7" s="73"/>
      <c r="D7" s="73"/>
      <c r="E7" s="73"/>
      <c r="F7" s="86"/>
      <c r="G7" s="82"/>
      <c r="H7" s="68"/>
      <c r="I7" s="68"/>
      <c r="J7" s="68"/>
    </row>
    <row r="8">
      <c r="A8" s="68"/>
      <c r="B8" s="69" t="s">
        <v>60</v>
      </c>
      <c r="C8" s="69"/>
      <c r="D8" s="73"/>
      <c r="E8" s="233" t="s">
        <v>416</v>
      </c>
      <c r="F8" s="86"/>
      <c r="G8" s="233" t="s">
        <v>417</v>
      </c>
      <c r="H8" s="68"/>
      <c r="I8" s="68"/>
      <c r="J8" s="68"/>
    </row>
    <row r="9">
      <c r="A9" s="68"/>
      <c r="B9" s="70" t="s">
        <v>418</v>
      </c>
      <c r="C9" s="70"/>
      <c r="D9" s="73"/>
      <c r="E9" s="234"/>
      <c r="F9" s="86"/>
      <c r="G9" s="234"/>
      <c r="H9" s="68"/>
      <c r="I9" s="68"/>
      <c r="J9" s="68"/>
    </row>
    <row r="10">
      <c r="A10" s="68"/>
      <c r="B10" s="68"/>
      <c r="C10" s="68"/>
      <c r="D10" s="68"/>
      <c r="E10" s="235"/>
      <c r="F10" s="81"/>
      <c r="G10" s="235"/>
      <c r="H10" s="68"/>
      <c r="I10" s="68"/>
      <c r="J10" s="68"/>
    </row>
    <row r="11">
      <c r="A11" s="68"/>
      <c r="B11" s="74" t="s">
        <v>62</v>
      </c>
      <c r="C11" s="74" t="s">
        <v>74</v>
      </c>
      <c r="D11" s="74" t="s">
        <v>419</v>
      </c>
      <c r="E11" s="74" t="s">
        <v>420</v>
      </c>
      <c r="F11" s="183" t="s">
        <v>421</v>
      </c>
      <c r="G11" s="183" t="s">
        <v>422</v>
      </c>
      <c r="H11" s="74" t="s">
        <v>423</v>
      </c>
      <c r="I11" s="76"/>
      <c r="J11" s="68"/>
    </row>
    <row r="12">
      <c r="A12" s="68"/>
      <c r="B12" s="77" t="s">
        <v>119</v>
      </c>
      <c r="C12" s="77" t="s">
        <v>120</v>
      </c>
      <c r="D12" s="96" t="s">
        <v>451</v>
      </c>
      <c r="E12" s="77" t="s">
        <v>452</v>
      </c>
      <c r="F12" s="94">
        <v>45108.0</v>
      </c>
      <c r="G12" s="94">
        <v>45350.0</v>
      </c>
      <c r="H12" s="100"/>
      <c r="I12" s="68"/>
      <c r="J12" s="68"/>
    </row>
    <row r="13">
      <c r="A13" s="68"/>
      <c r="B13" s="77" t="s">
        <v>119</v>
      </c>
      <c r="C13" s="77" t="s">
        <v>131</v>
      </c>
      <c r="D13" s="96" t="s">
        <v>453</v>
      </c>
      <c r="E13" s="77" t="s">
        <v>454</v>
      </c>
      <c r="F13" s="94">
        <v>45170.0</v>
      </c>
      <c r="G13" s="94">
        <v>45412.0</v>
      </c>
      <c r="H13" s="100"/>
      <c r="I13" s="68"/>
      <c r="J13" s="68"/>
    </row>
    <row r="14">
      <c r="A14" s="68"/>
      <c r="B14" s="77" t="s">
        <v>119</v>
      </c>
      <c r="C14" s="77" t="s">
        <v>134</v>
      </c>
      <c r="D14" s="96" t="s">
        <v>455</v>
      </c>
      <c r="E14" s="77" t="s">
        <v>454</v>
      </c>
      <c r="F14" s="94">
        <v>45200.0</v>
      </c>
      <c r="G14" s="94">
        <v>45443.0</v>
      </c>
      <c r="H14" s="100"/>
      <c r="I14" s="68"/>
      <c r="J14" s="68"/>
    </row>
    <row r="15">
      <c r="A15" s="68"/>
      <c r="B15" s="77" t="s">
        <v>119</v>
      </c>
      <c r="C15" s="77" t="s">
        <v>123</v>
      </c>
      <c r="D15" s="96" t="s">
        <v>456</v>
      </c>
      <c r="E15" s="77" t="s">
        <v>454</v>
      </c>
      <c r="F15" s="94">
        <v>45292.0</v>
      </c>
      <c r="G15" s="94">
        <v>45473.0</v>
      </c>
      <c r="H15" s="100"/>
      <c r="I15" s="68"/>
      <c r="J15" s="68"/>
    </row>
    <row r="16">
      <c r="A16" s="68"/>
      <c r="B16" s="77" t="s">
        <v>119</v>
      </c>
      <c r="C16" s="77" t="s">
        <v>145</v>
      </c>
      <c r="D16" s="96" t="s">
        <v>457</v>
      </c>
      <c r="E16" s="77" t="s">
        <v>452</v>
      </c>
      <c r="F16" s="94">
        <v>45292.0</v>
      </c>
      <c r="G16" s="94">
        <v>45473.0</v>
      </c>
      <c r="H16" s="100"/>
      <c r="I16" s="68"/>
      <c r="J16" s="68"/>
    </row>
    <row r="17">
      <c r="A17" s="68"/>
      <c r="B17" s="254" t="s">
        <v>119</v>
      </c>
      <c r="C17" s="255" t="s">
        <v>151</v>
      </c>
      <c r="D17" s="255" t="s">
        <v>458</v>
      </c>
      <c r="E17" s="261" t="s">
        <v>425</v>
      </c>
      <c r="F17" s="269">
        <v>45505.0</v>
      </c>
      <c r="G17" s="257">
        <v>45657.0</v>
      </c>
      <c r="H17" s="100"/>
      <c r="I17" s="68"/>
      <c r="J17" s="68"/>
    </row>
    <row r="18">
      <c r="A18" s="68"/>
      <c r="B18" s="254" t="s">
        <v>119</v>
      </c>
      <c r="C18" s="255" t="s">
        <v>147</v>
      </c>
      <c r="D18" s="255" t="s">
        <v>459</v>
      </c>
      <c r="E18" s="261" t="s">
        <v>454</v>
      </c>
      <c r="F18" s="269">
        <v>45474.0</v>
      </c>
      <c r="G18" s="257">
        <v>45657.0</v>
      </c>
      <c r="H18" s="100"/>
      <c r="I18" s="68"/>
      <c r="J18" s="68"/>
    </row>
    <row r="19">
      <c r="A19" s="68"/>
      <c r="B19" s="254" t="s">
        <v>119</v>
      </c>
      <c r="C19" s="255" t="s">
        <v>316</v>
      </c>
      <c r="D19" s="262" t="s">
        <v>460</v>
      </c>
      <c r="E19" s="261" t="s">
        <v>454</v>
      </c>
      <c r="F19" s="257">
        <v>45536.0</v>
      </c>
      <c r="G19" s="257">
        <v>45688.0</v>
      </c>
      <c r="H19" s="100"/>
      <c r="I19" s="68"/>
      <c r="J19" s="68"/>
    </row>
    <row r="20">
      <c r="A20" s="68"/>
      <c r="B20" s="254" t="s">
        <v>119</v>
      </c>
      <c r="C20" s="255" t="s">
        <v>461</v>
      </c>
      <c r="D20" s="262" t="s">
        <v>462</v>
      </c>
      <c r="E20" s="261" t="s">
        <v>454</v>
      </c>
      <c r="F20" s="257">
        <v>45689.0</v>
      </c>
      <c r="G20" s="257">
        <v>45838.0</v>
      </c>
      <c r="H20" s="100"/>
      <c r="I20" s="68"/>
      <c r="J20" s="68"/>
    </row>
    <row r="21">
      <c r="A21" s="68"/>
      <c r="B21" s="77"/>
      <c r="C21" s="77"/>
      <c r="D21" s="96"/>
      <c r="E21" s="77"/>
      <c r="F21" s="94"/>
      <c r="G21" s="94"/>
      <c r="H21" s="100"/>
      <c r="I21" s="68"/>
      <c r="J21" s="68"/>
    </row>
    <row r="22">
      <c r="A22" s="68"/>
      <c r="B22" s="77"/>
      <c r="C22" s="77"/>
      <c r="D22" s="96"/>
      <c r="E22" s="77"/>
      <c r="F22" s="94"/>
      <c r="G22" s="94"/>
      <c r="H22" s="100"/>
      <c r="I22" s="68"/>
      <c r="J22" s="68"/>
    </row>
  </sheetData>
  <mergeCells count="3">
    <mergeCell ref="B5:D6"/>
    <mergeCell ref="E8:E9"/>
    <mergeCell ref="G8:G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4" width="18.88"/>
    <col customWidth="1" min="5" max="8" width="12.63"/>
    <col customWidth="1" min="9" max="10" width="31.38"/>
    <col customWidth="1" min="11" max="11" width="12.63"/>
    <col customWidth="1" min="12" max="12" width="5.13"/>
  </cols>
  <sheetData>
    <row r="1" ht="11.25" customHeight="1">
      <c r="A1" s="68"/>
      <c r="B1" s="68"/>
      <c r="C1" s="68"/>
      <c r="D1" s="68"/>
      <c r="E1" s="68"/>
      <c r="F1" s="68"/>
      <c r="G1" s="270"/>
      <c r="H1" s="81"/>
      <c r="I1" s="68"/>
      <c r="J1" s="68"/>
      <c r="K1" s="68"/>
      <c r="L1" s="68"/>
    </row>
    <row r="2">
      <c r="A2" s="68"/>
      <c r="B2" s="69" t="s">
        <v>56</v>
      </c>
      <c r="C2" s="73"/>
      <c r="D2" s="73"/>
      <c r="E2" s="73"/>
      <c r="F2" s="73"/>
      <c r="G2" s="271"/>
      <c r="H2" s="86"/>
      <c r="I2" s="68"/>
      <c r="J2" s="68"/>
      <c r="K2" s="68"/>
      <c r="L2" s="68"/>
    </row>
    <row r="3">
      <c r="A3" s="68"/>
      <c r="B3" s="70" t="s">
        <v>57</v>
      </c>
      <c r="C3" s="73"/>
      <c r="D3" s="73"/>
      <c r="E3" s="73"/>
      <c r="F3" s="73"/>
      <c r="G3" s="271"/>
      <c r="H3" s="86"/>
      <c r="I3" s="68"/>
      <c r="J3" s="68"/>
      <c r="K3" s="68"/>
      <c r="L3" s="68"/>
    </row>
    <row r="4">
      <c r="A4" s="68"/>
      <c r="B4" s="71" t="s">
        <v>463</v>
      </c>
      <c r="C4" s="73"/>
      <c r="D4" s="73"/>
      <c r="E4" s="73"/>
      <c r="F4" s="73"/>
      <c r="G4" s="271"/>
      <c r="H4" s="86"/>
      <c r="I4" s="68"/>
      <c r="J4" s="68"/>
      <c r="K4" s="68"/>
      <c r="L4" s="68"/>
    </row>
    <row r="5">
      <c r="A5" s="68"/>
      <c r="B5" s="72" t="s">
        <v>59</v>
      </c>
      <c r="E5" s="72"/>
      <c r="F5" s="72"/>
      <c r="G5" s="300"/>
      <c r="H5" s="72"/>
      <c r="I5" s="68"/>
      <c r="J5" s="68"/>
      <c r="K5" s="68"/>
      <c r="L5" s="68"/>
    </row>
    <row r="6">
      <c r="A6" s="68"/>
      <c r="E6" s="72"/>
      <c r="F6" s="72"/>
      <c r="G6" s="300"/>
      <c r="H6" s="72"/>
      <c r="I6" s="68"/>
      <c r="J6" s="68"/>
      <c r="K6" s="68"/>
      <c r="L6" s="68"/>
    </row>
    <row r="7">
      <c r="A7" s="68"/>
      <c r="B7" s="73"/>
      <c r="C7" s="82"/>
      <c r="D7" s="82"/>
      <c r="E7" s="82"/>
      <c r="F7" s="82"/>
      <c r="G7" s="82"/>
      <c r="H7" s="82"/>
      <c r="I7" s="68"/>
      <c r="J7" s="68"/>
      <c r="K7" s="68"/>
      <c r="L7" s="68"/>
    </row>
    <row r="8">
      <c r="A8" s="68"/>
      <c r="B8" s="69" t="s">
        <v>60</v>
      </c>
      <c r="C8" s="82"/>
      <c r="D8" s="82"/>
      <c r="E8" s="82"/>
      <c r="F8" s="82"/>
      <c r="G8" s="82"/>
      <c r="H8" s="82"/>
      <c r="I8" s="68"/>
      <c r="J8" s="68"/>
      <c r="K8" s="68"/>
      <c r="L8" s="68"/>
    </row>
    <row r="9">
      <c r="A9" s="68"/>
      <c r="B9" s="70" t="s">
        <v>61</v>
      </c>
      <c r="C9" s="82"/>
      <c r="D9" s="82"/>
      <c r="E9" s="82"/>
      <c r="F9" s="82"/>
      <c r="G9" s="82"/>
      <c r="H9" s="82"/>
      <c r="I9" s="68"/>
      <c r="J9" s="68"/>
      <c r="K9" s="68"/>
      <c r="L9" s="68"/>
    </row>
    <row r="10">
      <c r="A10" s="68"/>
      <c r="B10" s="68"/>
      <c r="C10" s="82"/>
      <c r="D10" s="82"/>
      <c r="E10" s="82"/>
      <c r="F10" s="82"/>
      <c r="G10" s="82"/>
      <c r="H10" s="82"/>
      <c r="I10" s="68"/>
      <c r="J10" s="68"/>
      <c r="K10" s="68"/>
      <c r="L10" s="68"/>
    </row>
    <row r="11">
      <c r="A11" s="68"/>
      <c r="B11" s="74" t="s">
        <v>62</v>
      </c>
      <c r="C11" s="74" t="s">
        <v>74</v>
      </c>
      <c r="D11" s="74" t="s">
        <v>252</v>
      </c>
      <c r="E11" s="183" t="s">
        <v>253</v>
      </c>
      <c r="F11" s="183" t="s">
        <v>254</v>
      </c>
      <c r="G11" s="246" t="s">
        <v>255</v>
      </c>
      <c r="H11" s="183" t="s">
        <v>77</v>
      </c>
      <c r="I11" s="74" t="s">
        <v>256</v>
      </c>
      <c r="J11" s="74" t="s">
        <v>257</v>
      </c>
      <c r="K11" s="275" t="s">
        <v>258</v>
      </c>
      <c r="L11" s="68"/>
    </row>
    <row r="12">
      <c r="A12" s="68"/>
      <c r="B12" s="77" t="s">
        <v>119</v>
      </c>
      <c r="C12" s="77" t="s">
        <v>120</v>
      </c>
      <c r="D12" s="96" t="s">
        <v>277</v>
      </c>
      <c r="E12" s="107" t="s">
        <v>278</v>
      </c>
      <c r="F12" s="107">
        <v>650.0</v>
      </c>
      <c r="G12" s="301">
        <v>32040.0</v>
      </c>
      <c r="H12" s="302">
        <v>45293.0</v>
      </c>
      <c r="I12" s="77" t="s">
        <v>279</v>
      </c>
      <c r="J12" s="77" t="s">
        <v>280</v>
      </c>
      <c r="K12" s="279" t="b">
        <v>1</v>
      </c>
      <c r="L12" s="68"/>
    </row>
    <row r="13">
      <c r="A13" s="68"/>
      <c r="B13" s="77" t="s">
        <v>119</v>
      </c>
      <c r="C13" s="77" t="s">
        <v>134</v>
      </c>
      <c r="D13" s="77" t="s">
        <v>281</v>
      </c>
      <c r="E13" s="107" t="s">
        <v>282</v>
      </c>
      <c r="F13" s="107">
        <v>3169.0</v>
      </c>
      <c r="G13" s="301">
        <v>19849.28</v>
      </c>
      <c r="H13" s="302">
        <v>45308.0</v>
      </c>
      <c r="I13" s="77" t="s">
        <v>279</v>
      </c>
      <c r="J13" s="77" t="s">
        <v>283</v>
      </c>
      <c r="K13" s="279" t="b">
        <v>1</v>
      </c>
      <c r="L13" s="68"/>
    </row>
    <row r="14">
      <c r="A14" s="68"/>
      <c r="B14" s="77" t="s">
        <v>119</v>
      </c>
      <c r="C14" s="77" t="s">
        <v>120</v>
      </c>
      <c r="D14" s="96" t="s">
        <v>281</v>
      </c>
      <c r="E14" s="107" t="s">
        <v>282</v>
      </c>
      <c r="F14" s="107">
        <v>3169.0</v>
      </c>
      <c r="G14" s="301">
        <v>19849.28</v>
      </c>
      <c r="H14" s="302">
        <v>45308.0</v>
      </c>
      <c r="I14" s="77" t="s">
        <v>279</v>
      </c>
      <c r="J14" s="77" t="s">
        <v>283</v>
      </c>
      <c r="K14" s="279" t="b">
        <v>1</v>
      </c>
      <c r="L14" s="68"/>
    </row>
    <row r="15">
      <c r="A15" s="68"/>
      <c r="B15" s="77" t="s">
        <v>119</v>
      </c>
      <c r="C15" s="77" t="s">
        <v>134</v>
      </c>
      <c r="D15" s="96" t="s">
        <v>284</v>
      </c>
      <c r="E15" s="107" t="s">
        <v>285</v>
      </c>
      <c r="F15" s="107" t="s">
        <v>286</v>
      </c>
      <c r="G15" s="301">
        <v>5412.76</v>
      </c>
      <c r="H15" s="302">
        <v>45293.0</v>
      </c>
      <c r="I15" s="77" t="s">
        <v>287</v>
      </c>
      <c r="J15" s="303" t="s">
        <v>288</v>
      </c>
      <c r="K15" s="279" t="b">
        <v>1</v>
      </c>
      <c r="L15" s="68"/>
    </row>
    <row r="16">
      <c r="A16" s="68"/>
      <c r="B16" s="77" t="s">
        <v>119</v>
      </c>
      <c r="C16" s="77" t="s">
        <v>120</v>
      </c>
      <c r="D16" s="96" t="s">
        <v>284</v>
      </c>
      <c r="E16" s="107" t="s">
        <v>285</v>
      </c>
      <c r="F16" s="107" t="s">
        <v>286</v>
      </c>
      <c r="G16" s="301">
        <v>5412.76</v>
      </c>
      <c r="H16" s="302">
        <v>45293.0</v>
      </c>
      <c r="I16" s="77" t="s">
        <v>287</v>
      </c>
      <c r="J16" s="303" t="s">
        <v>288</v>
      </c>
      <c r="K16" s="279" t="b">
        <v>1</v>
      </c>
      <c r="L16" s="68"/>
    </row>
    <row r="17">
      <c r="A17" s="68"/>
      <c r="B17" s="77" t="s">
        <v>119</v>
      </c>
      <c r="C17" s="77" t="s">
        <v>134</v>
      </c>
      <c r="D17" s="77" t="s">
        <v>277</v>
      </c>
      <c r="E17" s="107" t="s">
        <v>278</v>
      </c>
      <c r="F17" s="107">
        <v>684.0</v>
      </c>
      <c r="G17" s="301">
        <v>32040.0</v>
      </c>
      <c r="H17" s="302">
        <v>45323.0</v>
      </c>
      <c r="I17" s="77" t="s">
        <v>279</v>
      </c>
      <c r="J17" s="77" t="s">
        <v>280</v>
      </c>
      <c r="K17" s="279" t="b">
        <v>1</v>
      </c>
      <c r="L17" s="68"/>
    </row>
    <row r="18">
      <c r="A18" s="68"/>
      <c r="B18" s="77" t="s">
        <v>119</v>
      </c>
      <c r="C18" s="77" t="s">
        <v>134</v>
      </c>
      <c r="D18" s="77" t="s">
        <v>281</v>
      </c>
      <c r="E18" s="107" t="s">
        <v>282</v>
      </c>
      <c r="F18" s="107">
        <v>3188.0</v>
      </c>
      <c r="G18" s="301">
        <v>22059.44</v>
      </c>
      <c r="H18" s="302">
        <v>45328.0</v>
      </c>
      <c r="I18" s="77" t="s">
        <v>279</v>
      </c>
      <c r="J18" s="77" t="s">
        <v>289</v>
      </c>
      <c r="K18" s="279" t="b">
        <v>1</v>
      </c>
      <c r="L18" s="68"/>
    </row>
    <row r="19">
      <c r="A19" s="68"/>
      <c r="B19" s="77" t="s">
        <v>119</v>
      </c>
      <c r="C19" s="77" t="s">
        <v>120</v>
      </c>
      <c r="D19" s="77" t="s">
        <v>281</v>
      </c>
      <c r="E19" s="107" t="s">
        <v>282</v>
      </c>
      <c r="F19" s="107">
        <v>3188.0</v>
      </c>
      <c r="G19" s="301">
        <v>22059.44</v>
      </c>
      <c r="H19" s="302">
        <v>45328.0</v>
      </c>
      <c r="I19" s="77" t="s">
        <v>279</v>
      </c>
      <c r="J19" s="77" t="s">
        <v>289</v>
      </c>
      <c r="K19" s="279" t="b">
        <v>1</v>
      </c>
      <c r="L19" s="68"/>
    </row>
    <row r="20">
      <c r="A20" s="68"/>
      <c r="B20" s="77" t="s">
        <v>119</v>
      </c>
      <c r="C20" s="77" t="s">
        <v>134</v>
      </c>
      <c r="D20" s="96" t="s">
        <v>284</v>
      </c>
      <c r="E20" s="107" t="s">
        <v>285</v>
      </c>
      <c r="F20" s="107" t="s">
        <v>290</v>
      </c>
      <c r="G20" s="301">
        <v>5496.54</v>
      </c>
      <c r="H20" s="304">
        <v>45324.0</v>
      </c>
      <c r="I20" s="77" t="s">
        <v>287</v>
      </c>
      <c r="J20" s="77" t="s">
        <v>291</v>
      </c>
      <c r="K20" s="279" t="b">
        <v>1</v>
      </c>
      <c r="L20" s="68"/>
    </row>
    <row r="21">
      <c r="A21" s="68"/>
      <c r="B21" s="77" t="s">
        <v>119</v>
      </c>
      <c r="C21" s="77" t="s">
        <v>120</v>
      </c>
      <c r="D21" s="96" t="s">
        <v>284</v>
      </c>
      <c r="E21" s="107" t="s">
        <v>285</v>
      </c>
      <c r="F21" s="107" t="s">
        <v>290</v>
      </c>
      <c r="G21" s="301">
        <v>5496.54</v>
      </c>
      <c r="H21" s="304">
        <v>45324.0</v>
      </c>
      <c r="I21" s="77" t="s">
        <v>287</v>
      </c>
      <c r="J21" s="77" t="s">
        <v>291</v>
      </c>
      <c r="K21" s="279" t="b">
        <v>1</v>
      </c>
      <c r="L21" s="68"/>
    </row>
    <row r="22">
      <c r="A22" s="68"/>
      <c r="B22" s="77" t="s">
        <v>119</v>
      </c>
      <c r="C22" s="77" t="s">
        <v>134</v>
      </c>
      <c r="D22" s="96" t="s">
        <v>277</v>
      </c>
      <c r="E22" s="107" t="s">
        <v>278</v>
      </c>
      <c r="F22" s="107">
        <v>710.0</v>
      </c>
      <c r="G22" s="301">
        <v>32040.0</v>
      </c>
      <c r="H22" s="304">
        <v>45355.0</v>
      </c>
      <c r="I22" s="77" t="s">
        <v>279</v>
      </c>
      <c r="J22" s="77" t="s">
        <v>280</v>
      </c>
      <c r="K22" s="279" t="b">
        <v>1</v>
      </c>
      <c r="L22" s="68"/>
    </row>
    <row r="23">
      <c r="A23" s="68"/>
      <c r="B23" s="77" t="s">
        <v>119</v>
      </c>
      <c r="C23" s="77" t="s">
        <v>134</v>
      </c>
      <c r="D23" s="96" t="s">
        <v>281</v>
      </c>
      <c r="E23" s="107" t="s">
        <v>282</v>
      </c>
      <c r="F23" s="107">
        <v>3225.0</v>
      </c>
      <c r="G23" s="301">
        <v>16057.73</v>
      </c>
      <c r="H23" s="304">
        <v>45359.0</v>
      </c>
      <c r="I23" s="77" t="s">
        <v>279</v>
      </c>
      <c r="J23" s="77" t="s">
        <v>292</v>
      </c>
      <c r="K23" s="279" t="b">
        <v>1</v>
      </c>
      <c r="L23" s="68"/>
    </row>
    <row r="24">
      <c r="A24" s="68"/>
      <c r="B24" s="77" t="s">
        <v>119</v>
      </c>
      <c r="C24" s="77" t="s">
        <v>123</v>
      </c>
      <c r="D24" s="77" t="s">
        <v>281</v>
      </c>
      <c r="E24" s="107" t="s">
        <v>282</v>
      </c>
      <c r="F24" s="107">
        <v>3228.0</v>
      </c>
      <c r="G24" s="305">
        <v>16057.73</v>
      </c>
      <c r="H24" s="302">
        <v>45359.0</v>
      </c>
      <c r="I24" s="77" t="s">
        <v>279</v>
      </c>
      <c r="J24" s="77" t="s">
        <v>292</v>
      </c>
      <c r="K24" s="279" t="b">
        <v>1</v>
      </c>
      <c r="L24" s="68"/>
    </row>
    <row r="25">
      <c r="A25" s="68"/>
      <c r="B25" s="77" t="s">
        <v>119</v>
      </c>
      <c r="C25" s="77" t="s">
        <v>145</v>
      </c>
      <c r="D25" s="77" t="s">
        <v>281</v>
      </c>
      <c r="E25" s="107" t="s">
        <v>282</v>
      </c>
      <c r="F25" s="107">
        <v>3228.0</v>
      </c>
      <c r="G25" s="306">
        <v>16057.73</v>
      </c>
      <c r="H25" s="302">
        <v>45359.0</v>
      </c>
      <c r="I25" s="77" t="s">
        <v>279</v>
      </c>
      <c r="J25" s="77" t="s">
        <v>292</v>
      </c>
      <c r="K25" s="279" t="b">
        <v>1</v>
      </c>
      <c r="L25" s="68"/>
    </row>
    <row r="26">
      <c r="A26" s="68"/>
      <c r="B26" s="77" t="s">
        <v>119</v>
      </c>
      <c r="C26" s="77" t="s">
        <v>134</v>
      </c>
      <c r="D26" s="77" t="s">
        <v>284</v>
      </c>
      <c r="E26" s="107" t="s">
        <v>285</v>
      </c>
      <c r="F26" s="107" t="s">
        <v>293</v>
      </c>
      <c r="G26" s="305">
        <v>5486.78</v>
      </c>
      <c r="H26" s="302">
        <v>45353.0</v>
      </c>
      <c r="I26" s="77" t="s">
        <v>287</v>
      </c>
      <c r="J26" s="77" t="s">
        <v>294</v>
      </c>
      <c r="K26" s="279" t="b">
        <v>1</v>
      </c>
      <c r="L26" s="68"/>
    </row>
    <row r="27">
      <c r="A27" s="68"/>
      <c r="B27" s="77" t="s">
        <v>119</v>
      </c>
      <c r="C27" s="77" t="s">
        <v>123</v>
      </c>
      <c r="D27" s="77" t="s">
        <v>284</v>
      </c>
      <c r="E27" s="107" t="s">
        <v>285</v>
      </c>
      <c r="F27" s="107" t="s">
        <v>293</v>
      </c>
      <c r="G27" s="305">
        <v>5486.78</v>
      </c>
      <c r="H27" s="302">
        <v>45353.0</v>
      </c>
      <c r="I27" s="77" t="s">
        <v>287</v>
      </c>
      <c r="J27" s="77" t="s">
        <v>294</v>
      </c>
      <c r="K27" s="279" t="b">
        <v>1</v>
      </c>
      <c r="L27" s="68"/>
    </row>
    <row r="28">
      <c r="A28" s="68"/>
      <c r="B28" s="77" t="s">
        <v>119</v>
      </c>
      <c r="C28" s="77" t="s">
        <v>134</v>
      </c>
      <c r="D28" s="96" t="s">
        <v>277</v>
      </c>
      <c r="E28" s="107" t="s">
        <v>278</v>
      </c>
      <c r="F28" s="107">
        <v>729.0</v>
      </c>
      <c r="G28" s="301">
        <v>32040.0</v>
      </c>
      <c r="H28" s="302">
        <v>45383.0</v>
      </c>
      <c r="I28" s="77" t="s">
        <v>295</v>
      </c>
      <c r="J28" s="77" t="s">
        <v>280</v>
      </c>
      <c r="K28" s="279" t="b">
        <v>1</v>
      </c>
      <c r="L28" s="68"/>
    </row>
    <row r="29">
      <c r="A29" s="68"/>
      <c r="B29" s="77" t="s">
        <v>119</v>
      </c>
      <c r="C29" s="77" t="s">
        <v>134</v>
      </c>
      <c r="D29" s="77" t="s">
        <v>281</v>
      </c>
      <c r="E29" s="107" t="s">
        <v>282</v>
      </c>
      <c r="F29" s="107">
        <v>3266.0</v>
      </c>
      <c r="G29" s="301">
        <v>14884.61</v>
      </c>
      <c r="H29" s="302">
        <v>45386.0</v>
      </c>
      <c r="I29" s="77" t="s">
        <v>295</v>
      </c>
      <c r="J29" s="77" t="s">
        <v>296</v>
      </c>
      <c r="K29" s="279" t="b">
        <v>1</v>
      </c>
      <c r="L29" s="68"/>
    </row>
    <row r="30">
      <c r="A30" s="68"/>
      <c r="B30" s="77" t="s">
        <v>119</v>
      </c>
      <c r="C30" s="77" t="s">
        <v>123</v>
      </c>
      <c r="D30" s="96" t="s">
        <v>281</v>
      </c>
      <c r="E30" s="107" t="s">
        <v>282</v>
      </c>
      <c r="F30" s="107">
        <v>3266.0</v>
      </c>
      <c r="G30" s="301">
        <v>14884.61</v>
      </c>
      <c r="H30" s="302">
        <v>45386.0</v>
      </c>
      <c r="I30" s="77" t="s">
        <v>295</v>
      </c>
      <c r="J30" s="77" t="s">
        <v>296</v>
      </c>
      <c r="K30" s="279" t="b">
        <v>1</v>
      </c>
      <c r="L30" s="68"/>
    </row>
    <row r="31">
      <c r="A31" s="68"/>
      <c r="B31" s="77" t="s">
        <v>119</v>
      </c>
      <c r="C31" s="77" t="s">
        <v>145</v>
      </c>
      <c r="D31" s="96" t="s">
        <v>281</v>
      </c>
      <c r="E31" s="107" t="s">
        <v>282</v>
      </c>
      <c r="F31" s="107">
        <v>3266.0</v>
      </c>
      <c r="G31" s="301">
        <v>14884.61</v>
      </c>
      <c r="H31" s="302">
        <v>45386.0</v>
      </c>
      <c r="I31" s="77" t="s">
        <v>295</v>
      </c>
      <c r="J31" s="77" t="s">
        <v>296</v>
      </c>
      <c r="K31" s="279" t="b">
        <v>1</v>
      </c>
      <c r="L31" s="68"/>
    </row>
    <row r="32">
      <c r="A32" s="68"/>
      <c r="B32" s="77" t="s">
        <v>119</v>
      </c>
      <c r="C32" s="77" t="s">
        <v>134</v>
      </c>
      <c r="D32" s="96" t="s">
        <v>284</v>
      </c>
      <c r="E32" s="107" t="s">
        <v>285</v>
      </c>
      <c r="F32" s="107" t="s">
        <v>297</v>
      </c>
      <c r="G32" s="301">
        <v>6465.15</v>
      </c>
      <c r="H32" s="302">
        <v>45384.0</v>
      </c>
      <c r="I32" s="77" t="s">
        <v>287</v>
      </c>
      <c r="J32" s="77" t="s">
        <v>298</v>
      </c>
      <c r="K32" s="279" t="b">
        <v>1</v>
      </c>
      <c r="L32" s="68"/>
    </row>
    <row r="33">
      <c r="A33" s="68"/>
      <c r="B33" s="77" t="s">
        <v>119</v>
      </c>
      <c r="C33" s="77" t="s">
        <v>123</v>
      </c>
      <c r="D33" s="77" t="s">
        <v>284</v>
      </c>
      <c r="E33" s="107" t="s">
        <v>285</v>
      </c>
      <c r="F33" s="107" t="s">
        <v>297</v>
      </c>
      <c r="G33" s="305">
        <v>6465.15</v>
      </c>
      <c r="H33" s="302">
        <v>45384.0</v>
      </c>
      <c r="I33" s="77" t="s">
        <v>287</v>
      </c>
      <c r="J33" s="77" t="s">
        <v>298</v>
      </c>
      <c r="K33" s="279" t="b">
        <v>1</v>
      </c>
      <c r="L33" s="68"/>
    </row>
    <row r="34">
      <c r="A34" s="68"/>
      <c r="B34" s="77" t="s">
        <v>119</v>
      </c>
      <c r="C34" s="77" t="s">
        <v>134</v>
      </c>
      <c r="D34" s="77" t="s">
        <v>277</v>
      </c>
      <c r="E34" s="107" t="s">
        <v>278</v>
      </c>
      <c r="F34" s="107">
        <v>757.0</v>
      </c>
      <c r="G34" s="305">
        <v>32040.0</v>
      </c>
      <c r="H34" s="302">
        <v>45414.0</v>
      </c>
      <c r="I34" s="77" t="s">
        <v>295</v>
      </c>
      <c r="J34" s="77" t="s">
        <v>280</v>
      </c>
      <c r="K34" s="279" t="b">
        <v>1</v>
      </c>
      <c r="L34" s="68"/>
    </row>
    <row r="35">
      <c r="A35" s="68"/>
      <c r="B35" s="77" t="s">
        <v>119</v>
      </c>
      <c r="C35" s="77" t="s">
        <v>134</v>
      </c>
      <c r="D35" s="77" t="s">
        <v>281</v>
      </c>
      <c r="E35" s="107" t="s">
        <v>282</v>
      </c>
      <c r="F35" s="107">
        <v>3317.0</v>
      </c>
      <c r="G35" s="305">
        <v>14668.75</v>
      </c>
      <c r="H35" s="302">
        <v>45422.0</v>
      </c>
      <c r="I35" s="77" t="s">
        <v>295</v>
      </c>
      <c r="J35" s="77" t="s">
        <v>299</v>
      </c>
      <c r="K35" s="279" t="b">
        <v>1</v>
      </c>
      <c r="L35" s="68"/>
    </row>
    <row r="36">
      <c r="A36" s="68"/>
      <c r="B36" s="77" t="s">
        <v>119</v>
      </c>
      <c r="C36" s="77" t="s">
        <v>123</v>
      </c>
      <c r="D36" s="77" t="s">
        <v>281</v>
      </c>
      <c r="E36" s="107" t="s">
        <v>282</v>
      </c>
      <c r="F36" s="107">
        <v>3317.0</v>
      </c>
      <c r="G36" s="305">
        <v>14668.75</v>
      </c>
      <c r="H36" s="302">
        <v>45422.0</v>
      </c>
      <c r="I36" s="77" t="s">
        <v>295</v>
      </c>
      <c r="J36" s="77" t="s">
        <v>299</v>
      </c>
      <c r="K36" s="279" t="b">
        <v>1</v>
      </c>
      <c r="L36" s="68"/>
    </row>
    <row r="37">
      <c r="A37" s="68"/>
      <c r="B37" s="77" t="s">
        <v>119</v>
      </c>
      <c r="C37" s="77" t="s">
        <v>145</v>
      </c>
      <c r="D37" s="77" t="s">
        <v>281</v>
      </c>
      <c r="E37" s="107" t="s">
        <v>282</v>
      </c>
      <c r="F37" s="107">
        <v>3317.0</v>
      </c>
      <c r="G37" s="301">
        <v>14668.75</v>
      </c>
      <c r="H37" s="302">
        <v>45422.0</v>
      </c>
      <c r="I37" s="77" t="s">
        <v>295</v>
      </c>
      <c r="J37" s="77" t="s">
        <v>299</v>
      </c>
      <c r="K37" s="279" t="b">
        <v>1</v>
      </c>
      <c r="L37" s="68"/>
    </row>
    <row r="38">
      <c r="A38" s="68"/>
      <c r="B38" s="77" t="s">
        <v>119</v>
      </c>
      <c r="C38" s="77" t="s">
        <v>134</v>
      </c>
      <c r="D38" s="96" t="s">
        <v>284</v>
      </c>
      <c r="E38" s="107" t="s">
        <v>285</v>
      </c>
      <c r="F38" s="107" t="s">
        <v>300</v>
      </c>
      <c r="G38" s="301">
        <v>10010.61</v>
      </c>
      <c r="H38" s="302">
        <v>45414.0</v>
      </c>
      <c r="I38" s="77" t="s">
        <v>287</v>
      </c>
      <c r="J38" s="77" t="s">
        <v>301</v>
      </c>
      <c r="K38" s="279" t="b">
        <v>1</v>
      </c>
      <c r="L38" s="68"/>
    </row>
    <row r="39">
      <c r="A39" s="68"/>
      <c r="B39" s="77" t="s">
        <v>119</v>
      </c>
      <c r="C39" s="77" t="s">
        <v>123</v>
      </c>
      <c r="D39" s="96" t="s">
        <v>284</v>
      </c>
      <c r="E39" s="107" t="s">
        <v>285</v>
      </c>
      <c r="F39" s="107" t="s">
        <v>300</v>
      </c>
      <c r="G39" s="301">
        <v>10010.61</v>
      </c>
      <c r="H39" s="302">
        <v>45414.0</v>
      </c>
      <c r="I39" s="77" t="s">
        <v>287</v>
      </c>
      <c r="J39" s="77" t="s">
        <v>301</v>
      </c>
      <c r="K39" s="279" t="b">
        <v>1</v>
      </c>
      <c r="L39" s="68"/>
    </row>
    <row r="40">
      <c r="A40" s="68"/>
      <c r="B40" s="77" t="s">
        <v>119</v>
      </c>
      <c r="C40" s="77" t="s">
        <v>123</v>
      </c>
      <c r="D40" s="96" t="s">
        <v>277</v>
      </c>
      <c r="E40" s="107" t="s">
        <v>278</v>
      </c>
      <c r="F40" s="107">
        <v>781.0</v>
      </c>
      <c r="G40" s="301">
        <v>32040.0</v>
      </c>
      <c r="H40" s="302">
        <v>45414.0</v>
      </c>
      <c r="I40" s="77" t="s">
        <v>295</v>
      </c>
      <c r="J40" s="77" t="s">
        <v>280</v>
      </c>
      <c r="K40" s="279" t="b">
        <v>1</v>
      </c>
      <c r="L40" s="68"/>
    </row>
    <row r="41">
      <c r="A41" s="68"/>
      <c r="B41" s="77" t="s">
        <v>119</v>
      </c>
      <c r="C41" s="77" t="s">
        <v>123</v>
      </c>
      <c r="D41" s="96" t="s">
        <v>281</v>
      </c>
      <c r="E41" s="107" t="s">
        <v>282</v>
      </c>
      <c r="F41" s="107">
        <v>3357.0</v>
      </c>
      <c r="G41" s="301">
        <v>5067.9</v>
      </c>
      <c r="H41" s="302">
        <v>45446.0</v>
      </c>
      <c r="I41" s="77" t="s">
        <v>295</v>
      </c>
      <c r="J41" s="77" t="s">
        <v>302</v>
      </c>
      <c r="K41" s="279" t="b">
        <v>1</v>
      </c>
      <c r="L41" s="68"/>
    </row>
    <row r="42">
      <c r="A42" s="68"/>
      <c r="B42" s="77" t="s">
        <v>119</v>
      </c>
      <c r="C42" s="77" t="s">
        <v>145</v>
      </c>
      <c r="D42" s="77" t="s">
        <v>281</v>
      </c>
      <c r="E42" s="107" t="s">
        <v>282</v>
      </c>
      <c r="F42" s="107">
        <v>3357.0</v>
      </c>
      <c r="G42" s="305">
        <v>5067.9</v>
      </c>
      <c r="H42" s="302">
        <v>45446.0</v>
      </c>
      <c r="I42" s="77" t="s">
        <v>295</v>
      </c>
      <c r="J42" s="77" t="s">
        <v>302</v>
      </c>
      <c r="K42" s="279" t="b">
        <v>1</v>
      </c>
      <c r="L42" s="68"/>
    </row>
    <row r="43">
      <c r="A43" s="68"/>
      <c r="B43" s="77" t="s">
        <v>119</v>
      </c>
      <c r="C43" s="77" t="s">
        <v>123</v>
      </c>
      <c r="D43" s="77" t="s">
        <v>281</v>
      </c>
      <c r="E43" s="107" t="s">
        <v>282</v>
      </c>
      <c r="F43" s="107">
        <v>3370.0</v>
      </c>
      <c r="G43" s="305">
        <v>15210.0</v>
      </c>
      <c r="H43" s="302">
        <v>45450.0</v>
      </c>
      <c r="I43" s="77" t="s">
        <v>295</v>
      </c>
      <c r="J43" s="77" t="s">
        <v>303</v>
      </c>
      <c r="K43" s="279" t="b">
        <v>1</v>
      </c>
      <c r="L43" s="68"/>
    </row>
    <row r="44">
      <c r="A44" s="68"/>
      <c r="B44" s="77" t="s">
        <v>119</v>
      </c>
      <c r="C44" s="77" t="s">
        <v>145</v>
      </c>
      <c r="D44" s="77" t="s">
        <v>281</v>
      </c>
      <c r="E44" s="107" t="s">
        <v>282</v>
      </c>
      <c r="F44" s="107">
        <v>3370.0</v>
      </c>
      <c r="G44" s="305">
        <v>15210.0</v>
      </c>
      <c r="H44" s="302">
        <v>45450.0</v>
      </c>
      <c r="I44" s="77" t="s">
        <v>295</v>
      </c>
      <c r="J44" s="77" t="s">
        <v>303</v>
      </c>
      <c r="K44" s="279" t="b">
        <v>1</v>
      </c>
      <c r="L44" s="68"/>
    </row>
    <row r="45">
      <c r="A45" s="68"/>
      <c r="B45" s="77" t="s">
        <v>119</v>
      </c>
      <c r="C45" s="77" t="s">
        <v>123</v>
      </c>
      <c r="D45" s="77" t="s">
        <v>284</v>
      </c>
      <c r="E45" s="107" t="s">
        <v>285</v>
      </c>
      <c r="F45" s="107" t="s">
        <v>304</v>
      </c>
      <c r="G45" s="305">
        <v>21043.05</v>
      </c>
      <c r="H45" s="302">
        <v>45414.0</v>
      </c>
      <c r="I45" s="77" t="s">
        <v>287</v>
      </c>
      <c r="J45" s="77" t="s">
        <v>305</v>
      </c>
      <c r="K45" s="279" t="b">
        <v>1</v>
      </c>
      <c r="L45" s="68"/>
    </row>
    <row r="46">
      <c r="A46" s="68"/>
      <c r="B46" s="77" t="s">
        <v>119</v>
      </c>
      <c r="C46" s="77" t="s">
        <v>123</v>
      </c>
      <c r="D46" s="77" t="s">
        <v>281</v>
      </c>
      <c r="E46" s="107" t="s">
        <v>282</v>
      </c>
      <c r="F46" s="107">
        <v>3417.0</v>
      </c>
      <c r="G46" s="305">
        <v>13950.0</v>
      </c>
      <c r="H46" s="302">
        <v>45478.0</v>
      </c>
      <c r="I46" s="77" t="s">
        <v>295</v>
      </c>
      <c r="J46" s="77" t="s">
        <v>306</v>
      </c>
      <c r="K46" s="279" t="b">
        <v>1</v>
      </c>
      <c r="L46" s="68"/>
    </row>
    <row r="47">
      <c r="A47" s="68"/>
      <c r="B47" s="77" t="s">
        <v>119</v>
      </c>
      <c r="C47" s="77" t="s">
        <v>147</v>
      </c>
      <c r="D47" s="77" t="s">
        <v>281</v>
      </c>
      <c r="E47" s="107" t="s">
        <v>282</v>
      </c>
      <c r="F47" s="107">
        <v>3417.0</v>
      </c>
      <c r="G47" s="305">
        <v>13950.0</v>
      </c>
      <c r="H47" s="302">
        <v>45478.0</v>
      </c>
      <c r="I47" s="77" t="s">
        <v>295</v>
      </c>
      <c r="J47" s="77" t="s">
        <v>306</v>
      </c>
      <c r="K47" s="279" t="b">
        <v>1</v>
      </c>
      <c r="L47" s="68"/>
    </row>
    <row r="48">
      <c r="A48" s="68"/>
      <c r="B48" s="77" t="s">
        <v>119</v>
      </c>
      <c r="C48" s="77" t="s">
        <v>123</v>
      </c>
      <c r="D48" s="77" t="s">
        <v>284</v>
      </c>
      <c r="E48" s="107" t="s">
        <v>285</v>
      </c>
      <c r="F48" s="107" t="s">
        <v>307</v>
      </c>
      <c r="G48" s="305">
        <v>21293.57</v>
      </c>
      <c r="H48" s="302">
        <v>45475.0</v>
      </c>
      <c r="I48" s="77" t="s">
        <v>287</v>
      </c>
      <c r="J48" s="77" t="s">
        <v>308</v>
      </c>
      <c r="K48" s="279" t="b">
        <v>1</v>
      </c>
      <c r="L48" s="68"/>
    </row>
    <row r="49">
      <c r="A49" s="68"/>
      <c r="B49" s="77" t="s">
        <v>119</v>
      </c>
      <c r="C49" s="77" t="s">
        <v>123</v>
      </c>
      <c r="D49" s="77" t="s">
        <v>277</v>
      </c>
      <c r="E49" s="107" t="s">
        <v>278</v>
      </c>
      <c r="F49" s="107">
        <v>817.0</v>
      </c>
      <c r="G49" s="305">
        <v>32040.0</v>
      </c>
      <c r="H49" s="302">
        <v>45512.0</v>
      </c>
      <c r="I49" s="77" t="s">
        <v>295</v>
      </c>
      <c r="J49" s="77" t="s">
        <v>280</v>
      </c>
      <c r="K49" s="279" t="b">
        <v>1</v>
      </c>
      <c r="L49" s="68"/>
    </row>
    <row r="50">
      <c r="A50" s="68"/>
      <c r="B50" s="77" t="s">
        <v>119</v>
      </c>
      <c r="C50" s="77" t="s">
        <v>123</v>
      </c>
      <c r="D50" s="77" t="s">
        <v>281</v>
      </c>
      <c r="E50" s="107" t="s">
        <v>282</v>
      </c>
      <c r="F50" s="107">
        <v>3518.0</v>
      </c>
      <c r="G50" s="305">
        <v>16605.0</v>
      </c>
      <c r="H50" s="302">
        <v>45519.0</v>
      </c>
      <c r="I50" s="77" t="s">
        <v>295</v>
      </c>
      <c r="J50" s="77" t="s">
        <v>309</v>
      </c>
      <c r="K50" s="279" t="b">
        <v>1</v>
      </c>
      <c r="L50" s="68"/>
    </row>
    <row r="51">
      <c r="A51" s="68"/>
      <c r="B51" s="77" t="s">
        <v>119</v>
      </c>
      <c r="C51" s="77" t="s">
        <v>147</v>
      </c>
      <c r="D51" s="77" t="s">
        <v>281</v>
      </c>
      <c r="E51" s="107" t="s">
        <v>282</v>
      </c>
      <c r="F51" s="107">
        <v>3518.0</v>
      </c>
      <c r="G51" s="305">
        <v>16605.0</v>
      </c>
      <c r="H51" s="302">
        <v>45519.0</v>
      </c>
      <c r="I51" s="77" t="s">
        <v>295</v>
      </c>
      <c r="J51" s="77" t="s">
        <v>309</v>
      </c>
      <c r="K51" s="279" t="b">
        <v>1</v>
      </c>
      <c r="L51" s="68"/>
    </row>
    <row r="52">
      <c r="A52" s="68"/>
      <c r="B52" s="77" t="s">
        <v>119</v>
      </c>
      <c r="C52" s="77" t="s">
        <v>123</v>
      </c>
      <c r="D52" s="77" t="s">
        <v>284</v>
      </c>
      <c r="E52" s="107" t="s">
        <v>285</v>
      </c>
      <c r="F52" s="107" t="s">
        <v>310</v>
      </c>
      <c r="G52" s="305">
        <v>19166.67</v>
      </c>
      <c r="H52" s="302">
        <v>45506.0</v>
      </c>
      <c r="I52" s="77" t="s">
        <v>287</v>
      </c>
      <c r="J52" s="77" t="s">
        <v>311</v>
      </c>
      <c r="K52" s="279" t="b">
        <v>1</v>
      </c>
      <c r="L52" s="68"/>
    </row>
    <row r="53">
      <c r="A53" s="68"/>
      <c r="B53" s="77" t="s">
        <v>119</v>
      </c>
      <c r="C53" s="77" t="s">
        <v>123</v>
      </c>
      <c r="D53" s="77" t="s">
        <v>277</v>
      </c>
      <c r="E53" s="107" t="s">
        <v>278</v>
      </c>
      <c r="F53" s="107">
        <v>825.0</v>
      </c>
      <c r="G53" s="305">
        <v>32040.0</v>
      </c>
      <c r="H53" s="302">
        <v>45538.0</v>
      </c>
      <c r="I53" s="77" t="s">
        <v>295</v>
      </c>
      <c r="J53" s="77" t="s">
        <v>280</v>
      </c>
      <c r="K53" s="279" t="b">
        <v>1</v>
      </c>
      <c r="L53" s="68"/>
    </row>
    <row r="54">
      <c r="A54" s="68"/>
      <c r="B54" s="77" t="s">
        <v>119</v>
      </c>
      <c r="C54" s="77" t="s">
        <v>123</v>
      </c>
      <c r="D54" s="77" t="s">
        <v>281</v>
      </c>
      <c r="E54" s="107" t="s">
        <v>282</v>
      </c>
      <c r="F54" s="107">
        <v>3584.0</v>
      </c>
      <c r="G54" s="305">
        <v>15345.0</v>
      </c>
      <c r="H54" s="302">
        <v>45546.0</v>
      </c>
      <c r="I54" s="77" t="s">
        <v>295</v>
      </c>
      <c r="J54" s="77" t="s">
        <v>312</v>
      </c>
      <c r="K54" s="279" t="b">
        <v>1</v>
      </c>
      <c r="L54" s="68"/>
    </row>
    <row r="55">
      <c r="A55" s="68"/>
      <c r="B55" s="77" t="s">
        <v>119</v>
      </c>
      <c r="C55" s="77" t="s">
        <v>147</v>
      </c>
      <c r="D55" s="77" t="s">
        <v>281</v>
      </c>
      <c r="E55" s="107" t="s">
        <v>282</v>
      </c>
      <c r="F55" s="107">
        <v>3584.0</v>
      </c>
      <c r="G55" s="305">
        <v>15345.0</v>
      </c>
      <c r="H55" s="302">
        <v>45546.0</v>
      </c>
      <c r="I55" s="77" t="s">
        <v>295</v>
      </c>
      <c r="J55" s="77" t="s">
        <v>312</v>
      </c>
      <c r="K55" s="279" t="b">
        <v>1</v>
      </c>
      <c r="L55" s="68"/>
    </row>
    <row r="56">
      <c r="A56" s="68"/>
      <c r="B56" s="77" t="s">
        <v>119</v>
      </c>
      <c r="C56" s="77" t="s">
        <v>123</v>
      </c>
      <c r="D56" s="77" t="s">
        <v>284</v>
      </c>
      <c r="E56" s="107" t="s">
        <v>285</v>
      </c>
      <c r="F56" s="107" t="s">
        <v>313</v>
      </c>
      <c r="G56" s="305">
        <v>17677.81</v>
      </c>
      <c r="H56" s="302">
        <v>45537.0</v>
      </c>
      <c r="I56" s="77" t="s">
        <v>287</v>
      </c>
      <c r="J56" s="77" t="s">
        <v>314</v>
      </c>
      <c r="K56" s="279" t="b">
        <v>1</v>
      </c>
      <c r="L56" s="68"/>
    </row>
    <row r="57">
      <c r="A57" s="68"/>
      <c r="B57" s="77" t="s">
        <v>119</v>
      </c>
      <c r="C57" s="77" t="s">
        <v>147</v>
      </c>
      <c r="D57" s="77" t="s">
        <v>277</v>
      </c>
      <c r="E57" s="107" t="s">
        <v>278</v>
      </c>
      <c r="F57" s="107">
        <v>832.0</v>
      </c>
      <c r="G57" s="305">
        <v>17216.12</v>
      </c>
      <c r="H57" s="302">
        <v>45567.0</v>
      </c>
      <c r="I57" s="77" t="s">
        <v>295</v>
      </c>
      <c r="J57" s="77" t="s">
        <v>315</v>
      </c>
      <c r="K57" s="279" t="b">
        <v>1</v>
      </c>
      <c r="L57" s="68"/>
    </row>
    <row r="58">
      <c r="A58" s="68"/>
      <c r="B58" s="77" t="s">
        <v>119</v>
      </c>
      <c r="C58" s="77" t="s">
        <v>316</v>
      </c>
      <c r="D58" s="77" t="s">
        <v>281</v>
      </c>
      <c r="E58" s="107" t="s">
        <v>282</v>
      </c>
      <c r="F58" s="107">
        <v>3748.0</v>
      </c>
      <c r="G58" s="305">
        <v>15668.26</v>
      </c>
      <c r="H58" s="302">
        <v>45602.0</v>
      </c>
      <c r="I58" s="77" t="s">
        <v>295</v>
      </c>
      <c r="J58" s="77" t="s">
        <v>317</v>
      </c>
      <c r="K58" s="279" t="b">
        <v>1</v>
      </c>
      <c r="L58" s="68"/>
    </row>
    <row r="59">
      <c r="A59" s="68"/>
      <c r="B59" s="77" t="s">
        <v>119</v>
      </c>
      <c r="C59" s="77" t="s">
        <v>147</v>
      </c>
      <c r="D59" s="77" t="s">
        <v>281</v>
      </c>
      <c r="E59" s="107" t="s">
        <v>282</v>
      </c>
      <c r="F59" s="107">
        <v>3748.0</v>
      </c>
      <c r="G59" s="305">
        <v>15668.26</v>
      </c>
      <c r="H59" s="302">
        <v>45602.0</v>
      </c>
      <c r="I59" s="77" t="s">
        <v>295</v>
      </c>
      <c r="J59" s="77" t="s">
        <v>317</v>
      </c>
      <c r="K59" s="279" t="b">
        <v>1</v>
      </c>
      <c r="L59" s="68"/>
    </row>
    <row r="60">
      <c r="A60" s="68"/>
      <c r="B60" s="77" t="s">
        <v>119</v>
      </c>
      <c r="C60" s="77" t="s">
        <v>316</v>
      </c>
      <c r="D60" s="77" t="s">
        <v>284</v>
      </c>
      <c r="E60" s="107" t="s">
        <v>285</v>
      </c>
      <c r="F60" s="107" t="s">
        <v>318</v>
      </c>
      <c r="G60" s="305">
        <v>17216.12</v>
      </c>
      <c r="H60" s="302">
        <v>45566.0</v>
      </c>
      <c r="I60" s="77" t="s">
        <v>287</v>
      </c>
      <c r="J60" s="77" t="s">
        <v>315</v>
      </c>
      <c r="K60" s="279" t="b">
        <v>1</v>
      </c>
      <c r="L60" s="68"/>
    </row>
    <row r="61">
      <c r="A61" s="68"/>
      <c r="B61" s="77" t="s">
        <v>119</v>
      </c>
      <c r="C61" s="77" t="s">
        <v>123</v>
      </c>
      <c r="D61" s="77" t="s">
        <v>277</v>
      </c>
      <c r="E61" s="107" t="s">
        <v>278</v>
      </c>
      <c r="F61" s="107">
        <v>2.0240000000088E14</v>
      </c>
      <c r="G61" s="305">
        <v>32040.0</v>
      </c>
      <c r="H61" s="302">
        <v>45603.0</v>
      </c>
      <c r="I61" s="77" t="s">
        <v>295</v>
      </c>
      <c r="J61" s="77" t="s">
        <v>280</v>
      </c>
      <c r="K61" s="279" t="b">
        <v>1</v>
      </c>
      <c r="L61" s="68"/>
    </row>
    <row r="62">
      <c r="A62" s="68"/>
      <c r="B62" s="77" t="s">
        <v>119</v>
      </c>
      <c r="C62" s="77" t="s">
        <v>316</v>
      </c>
      <c r="D62" s="77" t="s">
        <v>281</v>
      </c>
      <c r="E62" s="107" t="s">
        <v>282</v>
      </c>
      <c r="F62" s="107">
        <v>3665.0</v>
      </c>
      <c r="G62" s="305">
        <v>17235.0</v>
      </c>
      <c r="H62" s="302">
        <v>45573.0</v>
      </c>
      <c r="I62" s="77" t="s">
        <v>295</v>
      </c>
      <c r="J62" s="77" t="s">
        <v>319</v>
      </c>
      <c r="K62" s="279" t="b">
        <v>1</v>
      </c>
      <c r="L62" s="68"/>
    </row>
    <row r="63">
      <c r="A63" s="68"/>
      <c r="B63" s="77" t="s">
        <v>119</v>
      </c>
      <c r="C63" s="77" t="s">
        <v>147</v>
      </c>
      <c r="D63" s="77" t="s">
        <v>281</v>
      </c>
      <c r="E63" s="107" t="s">
        <v>282</v>
      </c>
      <c r="F63" s="107">
        <v>3665.0</v>
      </c>
      <c r="G63" s="305">
        <v>17235.0</v>
      </c>
      <c r="H63" s="302">
        <v>45573.0</v>
      </c>
      <c r="I63" s="77" t="s">
        <v>295</v>
      </c>
      <c r="J63" s="77" t="s">
        <v>319</v>
      </c>
      <c r="K63" s="279" t="b">
        <v>1</v>
      </c>
      <c r="L63" s="68"/>
    </row>
    <row r="64">
      <c r="A64" s="68"/>
      <c r="B64" s="77" t="s">
        <v>119</v>
      </c>
      <c r="C64" s="77" t="s">
        <v>123</v>
      </c>
      <c r="D64" s="77" t="s">
        <v>284</v>
      </c>
      <c r="E64" s="107" t="s">
        <v>285</v>
      </c>
      <c r="F64" s="107" t="s">
        <v>320</v>
      </c>
      <c r="G64" s="305">
        <v>18479.53</v>
      </c>
      <c r="H64" s="302">
        <v>45597.0</v>
      </c>
      <c r="I64" s="77" t="s">
        <v>287</v>
      </c>
      <c r="J64" s="77" t="s">
        <v>321</v>
      </c>
      <c r="K64" s="279" t="b">
        <v>1</v>
      </c>
      <c r="L64" s="68"/>
    </row>
    <row r="65">
      <c r="A65" s="68"/>
      <c r="B65" s="77" t="s">
        <v>119</v>
      </c>
      <c r="C65" s="77" t="s">
        <v>123</v>
      </c>
      <c r="D65" s="77" t="s">
        <v>277</v>
      </c>
      <c r="E65" s="107" t="s">
        <v>278</v>
      </c>
      <c r="F65" s="107">
        <v>2.02400000000901E14</v>
      </c>
      <c r="G65" s="305">
        <v>32040.0</v>
      </c>
      <c r="H65" s="302">
        <v>45629.0</v>
      </c>
      <c r="I65" s="77" t="s">
        <v>295</v>
      </c>
      <c r="J65" s="77" t="s">
        <v>280</v>
      </c>
      <c r="K65" s="279" t="b">
        <v>1</v>
      </c>
      <c r="L65" s="68"/>
    </row>
    <row r="66">
      <c r="A66" s="68"/>
      <c r="B66" s="77" t="s">
        <v>119</v>
      </c>
      <c r="C66" s="77" t="s">
        <v>123</v>
      </c>
      <c r="D66" s="77" t="s">
        <v>281</v>
      </c>
      <c r="E66" s="107" t="s">
        <v>282</v>
      </c>
      <c r="F66" s="107">
        <v>3841.0</v>
      </c>
      <c r="G66" s="305">
        <v>15480.0</v>
      </c>
      <c r="H66" s="302">
        <v>45631.0</v>
      </c>
      <c r="I66" s="77" t="s">
        <v>295</v>
      </c>
      <c r="J66" s="77" t="s">
        <v>322</v>
      </c>
      <c r="K66" s="279" t="b">
        <v>1</v>
      </c>
      <c r="L66" s="68"/>
    </row>
    <row r="67">
      <c r="A67" s="68"/>
      <c r="B67" s="77" t="s">
        <v>119</v>
      </c>
      <c r="C67" s="77" t="s">
        <v>147</v>
      </c>
      <c r="D67" s="77" t="s">
        <v>281</v>
      </c>
      <c r="E67" s="107" t="s">
        <v>282</v>
      </c>
      <c r="F67" s="107">
        <v>3841.0</v>
      </c>
      <c r="G67" s="305">
        <v>15480.0</v>
      </c>
      <c r="H67" s="302">
        <v>45631.0</v>
      </c>
      <c r="I67" s="77" t="s">
        <v>295</v>
      </c>
      <c r="J67" s="77" t="s">
        <v>322</v>
      </c>
      <c r="K67" s="279" t="b">
        <v>1</v>
      </c>
      <c r="L67" s="68"/>
    </row>
    <row r="68">
      <c r="A68" s="68"/>
      <c r="B68" s="77" t="s">
        <v>119</v>
      </c>
      <c r="C68" s="77" t="s">
        <v>123</v>
      </c>
      <c r="D68" s="77" t="s">
        <v>284</v>
      </c>
      <c r="E68" s="107" t="s">
        <v>285</v>
      </c>
      <c r="F68" s="107" t="s">
        <v>323</v>
      </c>
      <c r="G68" s="305">
        <v>22299.43</v>
      </c>
      <c r="H68" s="302">
        <v>45627.0</v>
      </c>
      <c r="I68" s="77" t="s">
        <v>287</v>
      </c>
      <c r="J68" s="77" t="s">
        <v>324</v>
      </c>
      <c r="K68" s="279" t="b">
        <v>1</v>
      </c>
      <c r="L68" s="68"/>
    </row>
  </sheetData>
  <autoFilter ref="$A$11:$L$56"/>
  <mergeCells count="1">
    <mergeCell ref="B5:D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E0E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3" max="3" width="6.38"/>
    <col customWidth="1" min="4" max="4" width="2.0"/>
    <col customWidth="1" min="5" max="5" width="18.88"/>
    <col customWidth="1" min="8" max="9" width="2.0"/>
    <col customWidth="1" min="10" max="10" width="6.38"/>
    <col customWidth="1" min="11" max="11" width="2.0"/>
    <col customWidth="1" min="13" max="13" width="2.63"/>
    <col customWidth="1" min="14" max="14" width="2.75"/>
  </cols>
  <sheetData>
    <row r="1" ht="11.25" customHeight="1">
      <c r="A1" s="71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>
      <c r="A2" s="73"/>
      <c r="B2" s="69" t="s">
        <v>377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>
      <c r="A3" s="73"/>
      <c r="B3" s="70" t="s">
        <v>57</v>
      </c>
      <c r="C3" s="73"/>
      <c r="D3" s="73"/>
      <c r="E3" s="73"/>
      <c r="F3" s="73"/>
      <c r="G3" s="73"/>
      <c r="N3" s="73"/>
    </row>
    <row r="4">
      <c r="A4" s="73"/>
      <c r="B4" s="71" t="s">
        <v>464</v>
      </c>
      <c r="C4" s="73"/>
      <c r="D4" s="73"/>
      <c r="E4" s="73"/>
      <c r="F4" s="73"/>
      <c r="G4" s="73"/>
      <c r="H4" s="73"/>
      <c r="I4" s="196"/>
      <c r="J4" s="124" t="s">
        <v>63</v>
      </c>
      <c r="K4" s="73"/>
      <c r="L4" s="73"/>
      <c r="M4" s="197" t="b">
        <v>0</v>
      </c>
      <c r="N4" s="73"/>
    </row>
    <row r="5">
      <c r="A5" s="73"/>
      <c r="B5" s="72" t="s">
        <v>465</v>
      </c>
      <c r="G5" s="73"/>
      <c r="H5" s="73"/>
      <c r="I5" s="196"/>
      <c r="J5" s="124" t="s">
        <v>64</v>
      </c>
      <c r="K5" s="73"/>
      <c r="L5" s="73"/>
      <c r="M5" s="197" t="b">
        <v>0</v>
      </c>
      <c r="N5" s="73"/>
    </row>
    <row r="6">
      <c r="A6" s="73"/>
      <c r="G6" s="73"/>
      <c r="H6" s="73"/>
      <c r="I6" s="196"/>
      <c r="J6" s="124" t="s">
        <v>65</v>
      </c>
      <c r="K6" s="73"/>
      <c r="L6" s="73"/>
      <c r="M6" s="197" t="b">
        <v>0</v>
      </c>
      <c r="N6" s="73"/>
    </row>
    <row r="7">
      <c r="A7" s="73"/>
      <c r="B7" s="73"/>
      <c r="C7" s="73"/>
      <c r="D7" s="73"/>
      <c r="E7" s="73"/>
      <c r="F7" s="73"/>
      <c r="G7" s="73"/>
      <c r="H7" s="73"/>
      <c r="I7" s="73"/>
      <c r="J7" s="124"/>
      <c r="K7" s="73"/>
      <c r="L7" s="73"/>
      <c r="M7" s="73"/>
      <c r="N7" s="73"/>
    </row>
    <row r="8">
      <c r="A8" s="73"/>
      <c r="B8" s="69" t="s">
        <v>60</v>
      </c>
      <c r="C8" s="73"/>
      <c r="D8" s="73"/>
      <c r="E8" s="73"/>
      <c r="F8" s="73"/>
      <c r="G8" s="73"/>
      <c r="H8" s="73"/>
      <c r="N8" s="73"/>
    </row>
    <row r="9">
      <c r="A9" s="73"/>
      <c r="B9" s="70" t="s">
        <v>380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</row>
    <row r="10">
      <c r="A10" s="73"/>
      <c r="B10" s="73"/>
      <c r="C10" s="73"/>
      <c r="D10" s="73"/>
      <c r="E10" s="307" t="s">
        <v>466</v>
      </c>
      <c r="F10" s="73"/>
      <c r="G10" s="73"/>
      <c r="H10" s="73"/>
      <c r="I10" s="73"/>
      <c r="J10" s="73"/>
      <c r="K10" s="73"/>
      <c r="L10" s="73"/>
      <c r="M10" s="73"/>
      <c r="N10" s="73"/>
    </row>
    <row r="11">
      <c r="A11" s="73"/>
      <c r="B11" s="215" t="s">
        <v>381</v>
      </c>
      <c r="C11" s="73"/>
      <c r="D11" s="196"/>
      <c r="E11" s="201" t="s">
        <v>467</v>
      </c>
      <c r="H11" s="73"/>
      <c r="I11" s="73"/>
      <c r="J11" s="73"/>
      <c r="K11" s="73"/>
      <c r="L11" s="73"/>
      <c r="M11" s="73"/>
      <c r="N11" s="73"/>
    </row>
    <row r="12">
      <c r="A12" s="73"/>
      <c r="B12" s="73"/>
      <c r="C12" s="73"/>
      <c r="D12" s="73"/>
      <c r="E12" s="200"/>
      <c r="F12" s="200"/>
      <c r="G12" s="200"/>
      <c r="H12" s="73"/>
      <c r="I12" s="196"/>
      <c r="J12" s="124" t="s">
        <v>383</v>
      </c>
      <c r="K12" s="85"/>
      <c r="L12" s="85"/>
      <c r="M12" s="202" t="s">
        <v>384</v>
      </c>
      <c r="N12" s="73"/>
    </row>
    <row r="13">
      <c r="A13" s="73"/>
      <c r="B13" s="215" t="s">
        <v>385</v>
      </c>
      <c r="C13" s="73"/>
      <c r="D13" s="196"/>
      <c r="E13" s="209" t="s">
        <v>386</v>
      </c>
      <c r="G13" s="205"/>
      <c r="H13" s="73"/>
      <c r="I13" s="196"/>
      <c r="J13" s="124" t="s">
        <v>387</v>
      </c>
      <c r="K13" s="85"/>
      <c r="L13" s="85"/>
      <c r="M13" s="202" t="s">
        <v>384</v>
      </c>
      <c r="N13" s="73"/>
    </row>
    <row r="14">
      <c r="A14" s="73"/>
      <c r="B14" s="73"/>
      <c r="C14" s="73"/>
      <c r="D14" s="73"/>
      <c r="E14" s="200"/>
      <c r="F14" s="200"/>
      <c r="G14" s="200"/>
      <c r="H14" s="73"/>
      <c r="I14" s="196"/>
      <c r="J14" s="124" t="s">
        <v>386</v>
      </c>
      <c r="K14" s="85"/>
      <c r="L14" s="85"/>
      <c r="M14" s="202" t="s">
        <v>384</v>
      </c>
      <c r="N14" s="73"/>
    </row>
    <row r="15">
      <c r="A15" s="73"/>
      <c r="B15" s="215" t="s">
        <v>388</v>
      </c>
      <c r="C15" s="73"/>
      <c r="D15" s="196"/>
      <c r="E15" s="201" t="s">
        <v>468</v>
      </c>
      <c r="H15" s="207"/>
      <c r="I15" s="207"/>
      <c r="J15" s="208"/>
      <c r="K15" s="208"/>
      <c r="L15" s="208"/>
      <c r="M15" s="208"/>
      <c r="N15" s="73"/>
    </row>
    <row r="16">
      <c r="A16" s="73"/>
      <c r="B16" s="73"/>
      <c r="C16" s="73"/>
      <c r="D16" s="73"/>
      <c r="E16" s="200"/>
      <c r="F16" s="200"/>
      <c r="G16" s="200"/>
      <c r="H16" s="73"/>
      <c r="I16" s="196"/>
      <c r="J16" s="124" t="s">
        <v>390</v>
      </c>
      <c r="K16" s="85"/>
      <c r="L16" s="85"/>
      <c r="M16" s="202" t="s">
        <v>384</v>
      </c>
      <c r="N16" s="73"/>
    </row>
    <row r="17">
      <c r="A17" s="73"/>
      <c r="B17" s="215" t="s">
        <v>391</v>
      </c>
      <c r="C17" s="73"/>
      <c r="D17" s="196"/>
      <c r="E17" s="209" t="s">
        <v>392</v>
      </c>
      <c r="G17" s="205"/>
      <c r="H17" s="73"/>
      <c r="I17" s="196"/>
      <c r="J17" s="124" t="s">
        <v>392</v>
      </c>
      <c r="K17" s="85"/>
      <c r="L17" s="85"/>
      <c r="M17" s="202" t="s">
        <v>384</v>
      </c>
      <c r="N17" s="73"/>
    </row>
    <row r="18">
      <c r="A18" s="73"/>
      <c r="B18" s="220"/>
      <c r="C18" s="308"/>
      <c r="D18" s="308"/>
      <c r="E18" s="205"/>
      <c r="F18" s="200"/>
      <c r="G18" s="200"/>
      <c r="H18" s="73"/>
      <c r="I18" s="196"/>
      <c r="J18" s="211" t="s">
        <v>393</v>
      </c>
      <c r="K18" s="212"/>
      <c r="L18" s="212"/>
      <c r="M18" s="213" t="s">
        <v>384</v>
      </c>
      <c r="N18" s="73"/>
    </row>
    <row r="19">
      <c r="A19" s="73"/>
      <c r="B19" s="215" t="s">
        <v>394</v>
      </c>
      <c r="C19" s="73"/>
      <c r="D19" s="196"/>
      <c r="E19" s="201" t="s">
        <v>469</v>
      </c>
      <c r="H19" s="73"/>
      <c r="I19" s="73"/>
      <c r="J19" s="214" t="s">
        <v>396</v>
      </c>
      <c r="N19" s="73"/>
    </row>
    <row r="20">
      <c r="A20" s="73"/>
      <c r="B20" s="73"/>
      <c r="C20" s="73"/>
      <c r="D20" s="73"/>
      <c r="E20" s="200"/>
      <c r="F20" s="200"/>
      <c r="G20" s="200"/>
      <c r="H20" s="73"/>
      <c r="I20" s="196"/>
      <c r="J20" s="124" t="s">
        <v>397</v>
      </c>
      <c r="K20" s="85"/>
      <c r="L20" s="85"/>
      <c r="M20" s="202" t="s">
        <v>384</v>
      </c>
      <c r="N20" s="73"/>
    </row>
    <row r="21">
      <c r="A21" s="73"/>
      <c r="B21" s="215" t="s">
        <v>398</v>
      </c>
      <c r="C21" s="73"/>
      <c r="D21" s="196"/>
      <c r="E21" s="209" t="s">
        <v>400</v>
      </c>
      <c r="G21" s="205"/>
      <c r="H21" s="73"/>
      <c r="I21" s="196"/>
      <c r="J21" s="124" t="s">
        <v>399</v>
      </c>
      <c r="K21" s="85"/>
      <c r="L21" s="85"/>
      <c r="M21" s="202" t="s">
        <v>384</v>
      </c>
      <c r="N21" s="73"/>
    </row>
    <row r="22">
      <c r="A22" s="73"/>
      <c r="B22" s="73"/>
      <c r="C22" s="73"/>
      <c r="D22" s="73"/>
      <c r="E22" s="200"/>
      <c r="F22" s="200"/>
      <c r="G22" s="200"/>
      <c r="H22" s="73"/>
      <c r="I22" s="196"/>
      <c r="J22" s="124" t="s">
        <v>400</v>
      </c>
      <c r="K22" s="85"/>
      <c r="L22" s="85"/>
      <c r="M22" s="202" t="s">
        <v>384</v>
      </c>
      <c r="N22" s="73"/>
    </row>
    <row r="23">
      <c r="A23" s="73"/>
      <c r="B23" s="215" t="s">
        <v>401</v>
      </c>
      <c r="C23" s="73"/>
      <c r="D23" s="196"/>
      <c r="E23" s="201" t="s">
        <v>470</v>
      </c>
      <c r="H23" s="73"/>
      <c r="I23" s="73"/>
      <c r="J23" s="73"/>
      <c r="K23" s="73"/>
      <c r="L23" s="73"/>
      <c r="M23" s="73"/>
      <c r="N23" s="73"/>
    </row>
    <row r="24">
      <c r="A24" s="73"/>
      <c r="B24" s="73"/>
      <c r="C24" s="73"/>
      <c r="D24" s="73"/>
      <c r="E24" s="200"/>
      <c r="F24" s="200"/>
      <c r="G24" s="200"/>
      <c r="H24" s="73"/>
      <c r="I24" s="73"/>
      <c r="J24" s="73"/>
      <c r="K24" s="73"/>
      <c r="L24" s="73"/>
      <c r="M24" s="73"/>
      <c r="N24" s="73"/>
    </row>
    <row r="25">
      <c r="A25" s="73"/>
      <c r="B25" s="215" t="s">
        <v>403</v>
      </c>
      <c r="C25" s="73"/>
      <c r="D25" s="196"/>
      <c r="E25" s="201" t="s">
        <v>471</v>
      </c>
      <c r="H25" s="73"/>
      <c r="I25" s="73"/>
      <c r="J25" s="73"/>
      <c r="K25" s="73"/>
      <c r="L25" s="73"/>
      <c r="M25" s="73"/>
      <c r="N25" s="73"/>
    </row>
    <row r="26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</row>
    <row r="27">
      <c r="A27" s="73"/>
      <c r="B27" s="215" t="s">
        <v>405</v>
      </c>
      <c r="C27" s="73"/>
      <c r="D27" s="196"/>
      <c r="E27" s="216" t="s">
        <v>188</v>
      </c>
      <c r="F27" s="217" t="s">
        <v>406</v>
      </c>
      <c r="G27" s="216" t="s">
        <v>407</v>
      </c>
      <c r="H27" s="218" t="s">
        <v>408</v>
      </c>
      <c r="I27" s="219"/>
      <c r="J27" s="220"/>
      <c r="K27" s="220"/>
      <c r="L27" s="221"/>
      <c r="M27" s="73"/>
      <c r="N27" s="73"/>
    </row>
    <row r="28">
      <c r="A28" s="73"/>
      <c r="B28" s="222" t="s">
        <v>409</v>
      </c>
      <c r="D28" s="196"/>
      <c r="E28" s="309" t="s">
        <v>472</v>
      </c>
      <c r="F28" s="309" t="s">
        <v>473</v>
      </c>
      <c r="G28" s="309" t="s">
        <v>410</v>
      </c>
      <c r="H28" s="310" t="b">
        <v>1</v>
      </c>
      <c r="I28" s="311"/>
      <c r="J28" s="220"/>
      <c r="K28" s="196"/>
      <c r="L28" s="124" t="s">
        <v>39</v>
      </c>
      <c r="M28" s="202" t="s">
        <v>384</v>
      </c>
      <c r="N28" s="73"/>
    </row>
    <row r="29">
      <c r="A29" s="73"/>
      <c r="D29" s="196"/>
      <c r="E29" s="312" t="s">
        <v>153</v>
      </c>
      <c r="F29" s="312" t="s">
        <v>474</v>
      </c>
      <c r="G29" s="312" t="s">
        <v>411</v>
      </c>
      <c r="H29" s="313" t="b">
        <v>1</v>
      </c>
      <c r="J29" s="220"/>
      <c r="K29" s="196"/>
      <c r="L29" s="124" t="s">
        <v>410</v>
      </c>
      <c r="M29" s="73"/>
      <c r="N29" s="73"/>
    </row>
    <row r="30">
      <c r="A30" s="73"/>
      <c r="B30" s="73"/>
      <c r="C30" s="73"/>
      <c r="D30" s="196"/>
      <c r="E30" s="314"/>
      <c r="F30" s="315"/>
      <c r="G30" s="316"/>
      <c r="H30" s="77" t="b">
        <v>0</v>
      </c>
      <c r="J30" s="220"/>
      <c r="K30" s="196"/>
      <c r="L30" s="124" t="s">
        <v>411</v>
      </c>
      <c r="M30" s="73"/>
      <c r="N30" s="73"/>
    </row>
    <row r="31">
      <c r="A31" s="73"/>
      <c r="B31" s="73"/>
      <c r="C31" s="73"/>
      <c r="D31" s="196"/>
      <c r="E31" s="314"/>
      <c r="F31" s="315"/>
      <c r="G31" s="316"/>
      <c r="H31" s="77" t="b">
        <v>0</v>
      </c>
      <c r="J31" s="220"/>
      <c r="K31" s="196"/>
      <c r="L31" s="124" t="s">
        <v>43</v>
      </c>
      <c r="M31" s="73"/>
      <c r="N31" s="73"/>
    </row>
    <row r="32">
      <c r="A32" s="73"/>
      <c r="B32" s="73"/>
      <c r="C32" s="73"/>
      <c r="D32" s="196"/>
      <c r="E32" s="314"/>
      <c r="F32" s="316"/>
      <c r="G32" s="316"/>
      <c r="H32" s="77" t="b">
        <v>0</v>
      </c>
      <c r="J32" s="73"/>
      <c r="K32" s="196"/>
      <c r="L32" s="124" t="s">
        <v>44</v>
      </c>
      <c r="M32" s="73"/>
      <c r="N32" s="73"/>
    </row>
    <row r="33">
      <c r="A33" s="73"/>
      <c r="B33" s="73"/>
      <c r="C33" s="73"/>
      <c r="D33" s="196"/>
      <c r="E33" s="314"/>
      <c r="F33" s="315"/>
      <c r="G33" s="316"/>
      <c r="H33" s="77" t="b">
        <v>0</v>
      </c>
      <c r="J33" s="73"/>
      <c r="K33" s="73"/>
      <c r="L33" s="73"/>
      <c r="M33" s="73"/>
      <c r="N33" s="73"/>
    </row>
    <row r="34">
      <c r="A34" s="73"/>
      <c r="B34" s="73"/>
      <c r="C34" s="73"/>
      <c r="D34" s="196"/>
      <c r="E34" s="314"/>
      <c r="F34" s="315"/>
      <c r="G34" s="315"/>
      <c r="H34" s="77" t="b">
        <v>0</v>
      </c>
      <c r="J34" s="73"/>
      <c r="K34" s="73"/>
      <c r="L34" s="73"/>
      <c r="M34" s="73"/>
      <c r="N34" s="73"/>
    </row>
    <row r="35">
      <c r="A35" s="73"/>
      <c r="B35" s="215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</row>
    <row r="36">
      <c r="A36" s="73"/>
      <c r="B36" s="215" t="s">
        <v>412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</row>
    <row r="37">
      <c r="A37" s="73"/>
      <c r="B37" s="124" t="s">
        <v>475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</row>
    <row r="38">
      <c r="A38" s="73"/>
      <c r="B38" s="215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</row>
    <row r="39">
      <c r="A39" s="73"/>
      <c r="B39" s="215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</row>
    <row r="40">
      <c r="A40" s="73"/>
      <c r="B40" s="215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</row>
    <row r="41">
      <c r="A41" s="73"/>
      <c r="B41" s="215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</row>
    <row r="42">
      <c r="A42" s="73"/>
      <c r="B42" s="215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</row>
    <row r="47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</row>
    <row r="48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</row>
    <row r="49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</row>
    <row r="50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</row>
    <row r="5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</row>
  </sheetData>
  <mergeCells count="19">
    <mergeCell ref="B5:F6"/>
    <mergeCell ref="E11:G11"/>
    <mergeCell ref="E13:F13"/>
    <mergeCell ref="E15:G15"/>
    <mergeCell ref="E17:F17"/>
    <mergeCell ref="E19:G19"/>
    <mergeCell ref="J19:M19"/>
    <mergeCell ref="H30:I30"/>
    <mergeCell ref="H31:I31"/>
    <mergeCell ref="H32:I32"/>
    <mergeCell ref="H33:I33"/>
    <mergeCell ref="H34:I34"/>
    <mergeCell ref="E21:F21"/>
    <mergeCell ref="E23:G23"/>
    <mergeCell ref="E25:G25"/>
    <mergeCell ref="H27:I27"/>
    <mergeCell ref="B28:C29"/>
    <mergeCell ref="H28:I28"/>
    <mergeCell ref="H29:I29"/>
  </mergeCells>
  <dataValidations>
    <dataValidation type="list" allowBlank="1" showInputMessage="1" showErrorMessage="1" prompt="Clique e insira um valor de intervalo Página1!I9:I11" sqref="E17">
      <formula1>$J$16:$J$18</formula1>
    </dataValidation>
    <dataValidation type="list" allowBlank="1" showInputMessage="1" showErrorMessage="1" prompt="Clique e insira um valor de intervalo Página1!I9:I11" sqref="E13">
      <formula1>$J$12:$J$14</formula1>
    </dataValidation>
    <dataValidation type="list" allowBlank="1" showInputMessage="1" showErrorMessage="1" prompt="Clique e insira um valor de intervalo Página1!I9:I11" sqref="E21">
      <formula1>$J$20:$J$22</formula1>
    </dataValidation>
    <dataValidation type="list" allowBlank="1" showInputMessage="1" prompt="Clique e insira um valor de intervalo" sqref="G28:G34">
      <formula1>$L$28:$L$32</formula1>
    </dataValidation>
  </dataValidation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E0E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3" width="18.88"/>
    <col customWidth="1" min="4" max="4" width="31.38"/>
    <col customWidth="1" min="5" max="5" width="18.88"/>
    <col customWidth="1" min="6" max="7" width="12.63"/>
    <col customWidth="1" min="8" max="8" width="31.38"/>
    <col customWidth="1" min="9" max="10" width="5.13"/>
  </cols>
  <sheetData>
    <row r="1" ht="11.25" customHeight="1">
      <c r="A1" s="68"/>
      <c r="B1" s="68"/>
      <c r="C1" s="68"/>
      <c r="D1" s="68"/>
      <c r="E1" s="68"/>
      <c r="F1" s="81"/>
      <c r="G1" s="68"/>
      <c r="H1" s="68"/>
      <c r="I1" s="68"/>
      <c r="J1" s="68"/>
    </row>
    <row r="2">
      <c r="A2" s="68"/>
      <c r="B2" s="69" t="s">
        <v>56</v>
      </c>
      <c r="C2" s="69"/>
      <c r="D2" s="73"/>
      <c r="E2" s="73"/>
      <c r="F2" s="86"/>
      <c r="G2" s="68"/>
      <c r="H2" s="68"/>
      <c r="I2" s="68"/>
      <c r="J2" s="68"/>
    </row>
    <row r="3">
      <c r="A3" s="68"/>
      <c r="B3" s="70" t="s">
        <v>57</v>
      </c>
      <c r="C3" s="70"/>
      <c r="D3" s="73"/>
      <c r="E3" s="73"/>
      <c r="F3" s="86"/>
      <c r="G3" s="68"/>
      <c r="H3" s="68"/>
      <c r="I3" s="68"/>
      <c r="J3" s="68"/>
    </row>
    <row r="4">
      <c r="A4" s="68"/>
      <c r="B4" s="71" t="s">
        <v>476</v>
      </c>
      <c r="C4" s="71"/>
      <c r="D4" s="73"/>
      <c r="E4" s="73"/>
      <c r="F4" s="86"/>
      <c r="G4" s="68"/>
      <c r="H4" s="68"/>
      <c r="I4" s="68"/>
      <c r="J4" s="68"/>
    </row>
    <row r="5">
      <c r="A5" s="68"/>
      <c r="B5" s="72" t="s">
        <v>59</v>
      </c>
      <c r="E5" s="72"/>
      <c r="F5" s="72"/>
      <c r="G5" s="82"/>
      <c r="H5" s="68"/>
      <c r="I5" s="68"/>
      <c r="J5" s="68"/>
    </row>
    <row r="6">
      <c r="A6" s="68"/>
      <c r="E6" s="72"/>
      <c r="F6" s="72"/>
      <c r="G6" s="82"/>
      <c r="H6" s="68"/>
      <c r="I6" s="68"/>
      <c r="J6" s="68"/>
    </row>
    <row r="7">
      <c r="A7" s="68"/>
      <c r="B7" s="73"/>
      <c r="C7" s="73"/>
      <c r="D7" s="73"/>
      <c r="E7" s="73"/>
      <c r="F7" s="86"/>
      <c r="G7" s="82"/>
      <c r="H7" s="68"/>
      <c r="I7" s="68"/>
      <c r="J7" s="68"/>
    </row>
    <row r="8">
      <c r="A8" s="68"/>
      <c r="B8" s="69" t="s">
        <v>60</v>
      </c>
      <c r="C8" s="69"/>
      <c r="D8" s="73"/>
      <c r="E8" s="233" t="s">
        <v>416</v>
      </c>
      <c r="F8" s="86"/>
      <c r="G8" s="233" t="s">
        <v>417</v>
      </c>
      <c r="H8" s="68"/>
      <c r="I8" s="68"/>
      <c r="J8" s="68"/>
    </row>
    <row r="9">
      <c r="A9" s="68"/>
      <c r="B9" s="70" t="s">
        <v>418</v>
      </c>
      <c r="C9" s="70"/>
      <c r="D9" s="73"/>
      <c r="E9" s="234"/>
      <c r="F9" s="86"/>
      <c r="G9" s="234"/>
      <c r="H9" s="68"/>
      <c r="I9" s="68"/>
      <c r="J9" s="68"/>
    </row>
    <row r="10">
      <c r="A10" s="68"/>
      <c r="B10" s="68"/>
      <c r="C10" s="68"/>
      <c r="D10" s="68"/>
      <c r="E10" s="235"/>
      <c r="F10" s="81"/>
      <c r="G10" s="235"/>
      <c r="H10" s="68"/>
      <c r="I10" s="68"/>
      <c r="J10" s="68"/>
    </row>
    <row r="11">
      <c r="A11" s="68"/>
      <c r="B11" s="74" t="s">
        <v>62</v>
      </c>
      <c r="C11" s="74" t="s">
        <v>74</v>
      </c>
      <c r="D11" s="74" t="s">
        <v>419</v>
      </c>
      <c r="E11" s="74" t="s">
        <v>420</v>
      </c>
      <c r="F11" s="183" t="s">
        <v>421</v>
      </c>
      <c r="G11" s="183" t="s">
        <v>422</v>
      </c>
      <c r="H11" s="74" t="s">
        <v>423</v>
      </c>
      <c r="I11" s="76"/>
      <c r="J11" s="68"/>
    </row>
    <row r="12">
      <c r="A12" s="68"/>
      <c r="B12" s="102" t="s">
        <v>52</v>
      </c>
      <c r="C12" s="105" t="s">
        <v>477</v>
      </c>
      <c r="D12" s="105" t="s">
        <v>478</v>
      </c>
      <c r="E12" s="105" t="s">
        <v>479</v>
      </c>
      <c r="F12" s="93">
        <v>45323.0</v>
      </c>
      <c r="G12" s="93">
        <v>45474.0</v>
      </c>
      <c r="H12" s="100"/>
      <c r="I12" s="68"/>
      <c r="J12" s="68"/>
    </row>
    <row r="13">
      <c r="A13" s="68"/>
      <c r="B13" s="317"/>
      <c r="C13" s="318"/>
      <c r="D13" s="318"/>
      <c r="E13" s="318"/>
      <c r="F13" s="319"/>
      <c r="G13" s="320"/>
      <c r="H13" s="100"/>
      <c r="I13" s="68"/>
      <c r="J13" s="68"/>
    </row>
    <row r="14">
      <c r="A14" s="68"/>
      <c r="B14" s="317"/>
      <c r="C14" s="317"/>
      <c r="D14" s="318"/>
      <c r="E14" s="318"/>
      <c r="F14" s="320"/>
      <c r="G14" s="320"/>
      <c r="H14" s="100"/>
      <c r="I14" s="68"/>
      <c r="J14" s="68"/>
    </row>
    <row r="15">
      <c r="A15" s="68"/>
      <c r="B15" s="317"/>
      <c r="C15" s="318"/>
      <c r="D15" s="318"/>
      <c r="E15" s="318"/>
      <c r="F15" s="320"/>
      <c r="G15" s="320"/>
      <c r="H15" s="100"/>
      <c r="I15" s="68"/>
      <c r="J15" s="68"/>
    </row>
    <row r="16">
      <c r="A16" s="68"/>
      <c r="B16" s="317"/>
      <c r="C16" s="318"/>
      <c r="D16" s="318"/>
      <c r="E16" s="318"/>
      <c r="F16" s="320"/>
      <c r="G16" s="320"/>
      <c r="H16" s="100"/>
      <c r="I16" s="68"/>
      <c r="J16" s="68"/>
    </row>
  </sheetData>
  <mergeCells count="3">
    <mergeCell ref="B5:D6"/>
    <mergeCell ref="E8:E9"/>
    <mergeCell ref="G8:G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E0E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6.38"/>
    <col customWidth="1" min="3" max="6" width="18.88"/>
    <col customWidth="1" min="8" max="8" width="10.13"/>
    <col customWidth="1" min="10" max="10" width="30.38"/>
    <col customWidth="1" min="11" max="12" width="5.13"/>
  </cols>
  <sheetData>
    <row r="1" ht="11.25" customHeight="1">
      <c r="A1" s="68"/>
      <c r="B1" s="68"/>
      <c r="C1" s="68"/>
      <c r="D1" s="68"/>
      <c r="E1" s="68"/>
      <c r="F1" s="68"/>
      <c r="G1" s="81"/>
      <c r="H1" s="82"/>
      <c r="I1" s="68"/>
      <c r="J1" s="68"/>
      <c r="K1" s="68"/>
      <c r="L1" s="68"/>
    </row>
    <row r="2">
      <c r="A2" s="68"/>
      <c r="B2" s="69" t="s">
        <v>56</v>
      </c>
      <c r="C2" s="73"/>
      <c r="D2" s="73"/>
      <c r="E2" s="73"/>
      <c r="F2" s="73"/>
      <c r="G2" s="86"/>
      <c r="H2" s="82"/>
      <c r="I2" s="68"/>
      <c r="J2" s="68"/>
      <c r="K2" s="68"/>
      <c r="L2" s="68"/>
    </row>
    <row r="3">
      <c r="A3" s="68"/>
      <c r="B3" s="70" t="s">
        <v>57</v>
      </c>
      <c r="C3" s="73"/>
      <c r="D3" s="73"/>
      <c r="E3" s="73"/>
      <c r="F3" s="73"/>
      <c r="G3" s="86"/>
      <c r="H3" s="82"/>
      <c r="I3" s="68"/>
      <c r="J3" s="68"/>
      <c r="K3" s="68"/>
      <c r="L3" s="68"/>
    </row>
    <row r="4">
      <c r="A4" s="68"/>
      <c r="B4" s="71" t="s">
        <v>480</v>
      </c>
      <c r="C4" s="73"/>
      <c r="D4" s="73"/>
      <c r="E4" s="73"/>
      <c r="F4" s="73"/>
      <c r="G4" s="86"/>
      <c r="H4" s="82"/>
      <c r="I4" s="68"/>
      <c r="J4" s="68"/>
      <c r="K4" s="68"/>
      <c r="L4" s="68"/>
    </row>
    <row r="5">
      <c r="A5" s="68"/>
      <c r="B5" s="117" t="s">
        <v>59</v>
      </c>
      <c r="E5" s="117"/>
      <c r="F5" s="117"/>
      <c r="G5" s="117"/>
      <c r="H5" s="82"/>
      <c r="I5" s="68"/>
      <c r="J5" s="68"/>
      <c r="K5" s="68"/>
      <c r="L5" s="68"/>
    </row>
    <row r="6">
      <c r="A6" s="68"/>
      <c r="E6" s="117"/>
      <c r="F6" s="117"/>
      <c r="G6" s="117"/>
      <c r="H6" s="82"/>
      <c r="I6" s="88" t="s">
        <v>68</v>
      </c>
      <c r="J6" s="68"/>
      <c r="K6" s="68"/>
      <c r="L6" s="68"/>
    </row>
    <row r="7">
      <c r="A7" s="68"/>
      <c r="B7" s="73"/>
      <c r="C7" s="73"/>
      <c r="D7" s="73"/>
      <c r="E7" s="73"/>
      <c r="F7" s="73"/>
      <c r="G7" s="86"/>
      <c r="H7" s="82"/>
      <c r="I7" s="88" t="s">
        <v>69</v>
      </c>
      <c r="J7" s="68"/>
      <c r="K7" s="68"/>
      <c r="L7" s="68"/>
    </row>
    <row r="8">
      <c r="A8" s="68"/>
      <c r="B8" s="69" t="s">
        <v>60</v>
      </c>
      <c r="C8" s="73"/>
      <c r="D8" s="73"/>
      <c r="E8" s="73"/>
      <c r="F8" s="73"/>
      <c r="G8" s="86"/>
      <c r="H8" s="82"/>
      <c r="I8" s="88" t="s">
        <v>70</v>
      </c>
      <c r="J8" s="68"/>
      <c r="K8" s="68"/>
      <c r="L8" s="68"/>
    </row>
    <row r="9">
      <c r="A9" s="68"/>
      <c r="B9" s="70" t="s">
        <v>71</v>
      </c>
      <c r="C9" s="73"/>
      <c r="D9" s="73"/>
      <c r="E9" s="73"/>
      <c r="F9" s="73"/>
      <c r="G9" s="86"/>
      <c r="H9" s="82"/>
      <c r="I9" s="88" t="s">
        <v>72</v>
      </c>
      <c r="J9" s="68"/>
      <c r="K9" s="68"/>
      <c r="L9" s="68"/>
    </row>
    <row r="10">
      <c r="A10" s="68"/>
      <c r="B10" s="68"/>
      <c r="C10" s="68"/>
      <c r="D10" s="68"/>
      <c r="E10" s="68"/>
      <c r="F10" s="68"/>
      <c r="G10" s="81"/>
      <c r="H10" s="82"/>
      <c r="I10" s="90"/>
      <c r="J10" s="68"/>
      <c r="K10" s="68"/>
      <c r="L10" s="68"/>
    </row>
    <row r="11">
      <c r="A11" s="68"/>
      <c r="B11" s="74" t="s">
        <v>73</v>
      </c>
      <c r="C11" s="74" t="s">
        <v>62</v>
      </c>
      <c r="D11" s="74" t="s">
        <v>74</v>
      </c>
      <c r="E11" s="74" t="s">
        <v>75</v>
      </c>
      <c r="F11" s="74" t="s">
        <v>76</v>
      </c>
      <c r="G11" s="184" t="s">
        <v>77</v>
      </c>
      <c r="H11" s="246" t="s">
        <v>78</v>
      </c>
      <c r="I11" s="74" t="s">
        <v>79</v>
      </c>
      <c r="J11" s="74" t="s">
        <v>80</v>
      </c>
      <c r="K11" s="76"/>
      <c r="L11" s="68"/>
    </row>
    <row r="12">
      <c r="A12" s="68"/>
      <c r="B12" s="77"/>
      <c r="C12" s="321"/>
      <c r="D12" s="322"/>
      <c r="E12" s="321"/>
      <c r="F12" s="323"/>
      <c r="G12" s="324"/>
      <c r="H12" s="325"/>
      <c r="I12" s="321"/>
      <c r="J12" s="322"/>
      <c r="K12" s="68"/>
      <c r="L12" s="68"/>
    </row>
  </sheetData>
  <mergeCells count="1">
    <mergeCell ref="B5:D6"/>
  </mergeCells>
  <dataValidations>
    <dataValidation type="list" allowBlank="1" sqref="I12">
      <formula1>$I$6:$I$9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E0E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5" width="18.88"/>
    <col customWidth="1" min="6" max="8" width="12.63"/>
    <col customWidth="1" min="9" max="10" width="31.38"/>
    <col customWidth="1" min="11" max="11" width="12.63"/>
    <col customWidth="1" min="12" max="12" width="5.13"/>
  </cols>
  <sheetData>
    <row r="1" ht="11.25" customHeight="1">
      <c r="A1" s="68"/>
      <c r="B1" s="68"/>
      <c r="C1" s="68"/>
      <c r="D1" s="68"/>
      <c r="E1" s="68"/>
      <c r="F1" s="68"/>
      <c r="G1" s="270"/>
      <c r="H1" s="81"/>
      <c r="I1" s="68"/>
      <c r="J1" s="68"/>
      <c r="K1" s="68"/>
      <c r="L1" s="68"/>
    </row>
    <row r="2">
      <c r="A2" s="68"/>
      <c r="B2" s="69" t="s">
        <v>56</v>
      </c>
      <c r="C2" s="73"/>
      <c r="D2" s="73"/>
      <c r="E2" s="73"/>
      <c r="F2" s="73"/>
      <c r="G2" s="271"/>
      <c r="H2" s="86"/>
      <c r="I2" s="68"/>
      <c r="J2" s="68"/>
      <c r="K2" s="68"/>
      <c r="L2" s="68"/>
    </row>
    <row r="3">
      <c r="A3" s="68"/>
      <c r="B3" s="70" t="s">
        <v>57</v>
      </c>
      <c r="C3" s="73"/>
      <c r="D3" s="73"/>
      <c r="E3" s="73"/>
      <c r="F3" s="73"/>
      <c r="G3" s="271"/>
      <c r="H3" s="86"/>
      <c r="I3" s="68"/>
      <c r="J3" s="68"/>
      <c r="K3" s="68"/>
      <c r="L3" s="68"/>
    </row>
    <row r="4">
      <c r="A4" s="68"/>
      <c r="B4" s="71" t="s">
        <v>476</v>
      </c>
      <c r="C4" s="73"/>
      <c r="D4" s="73"/>
      <c r="E4" s="73"/>
      <c r="F4" s="73"/>
      <c r="G4" s="271"/>
      <c r="H4" s="86"/>
      <c r="I4" s="68"/>
      <c r="J4" s="68"/>
      <c r="K4" s="68"/>
      <c r="L4" s="68"/>
    </row>
    <row r="5">
      <c r="A5" s="68"/>
      <c r="B5" s="72" t="s">
        <v>59</v>
      </c>
      <c r="E5" s="72"/>
      <c r="F5" s="72"/>
      <c r="G5" s="300"/>
      <c r="H5" s="72"/>
      <c r="I5" s="68"/>
      <c r="J5" s="68"/>
      <c r="K5" s="68"/>
      <c r="L5" s="68"/>
    </row>
    <row r="6">
      <c r="A6" s="68"/>
      <c r="E6" s="72"/>
      <c r="F6" s="72"/>
      <c r="G6" s="300"/>
      <c r="H6" s="72"/>
      <c r="I6" s="68"/>
      <c r="J6" s="68"/>
      <c r="K6" s="68"/>
      <c r="L6" s="68"/>
    </row>
    <row r="7">
      <c r="A7" s="68"/>
      <c r="B7" s="73"/>
      <c r="C7" s="82"/>
      <c r="D7" s="82"/>
      <c r="E7" s="82"/>
      <c r="F7" s="82"/>
      <c r="G7" s="82"/>
      <c r="H7" s="82"/>
      <c r="I7" s="68"/>
      <c r="J7" s="68"/>
      <c r="K7" s="68"/>
      <c r="L7" s="68"/>
    </row>
    <row r="8">
      <c r="A8" s="68"/>
      <c r="B8" s="69" t="s">
        <v>60</v>
      </c>
      <c r="C8" s="82"/>
      <c r="D8" s="82"/>
      <c r="E8" s="82"/>
      <c r="F8" s="82"/>
      <c r="G8" s="82"/>
      <c r="H8" s="82"/>
      <c r="I8" s="68"/>
      <c r="J8" s="68"/>
      <c r="K8" s="68"/>
      <c r="L8" s="68"/>
    </row>
    <row r="9">
      <c r="A9" s="68"/>
      <c r="B9" s="70" t="s">
        <v>61</v>
      </c>
      <c r="C9" s="82"/>
      <c r="D9" s="82"/>
      <c r="E9" s="82"/>
      <c r="F9" s="82"/>
      <c r="G9" s="82"/>
      <c r="H9" s="82"/>
      <c r="I9" s="68"/>
      <c r="J9" s="68"/>
      <c r="K9" s="68"/>
      <c r="L9" s="68"/>
    </row>
    <row r="10">
      <c r="A10" s="68"/>
      <c r="B10" s="68"/>
      <c r="C10" s="82"/>
      <c r="D10" s="82"/>
      <c r="E10" s="82"/>
      <c r="F10" s="82"/>
      <c r="G10" s="82"/>
      <c r="H10" s="82"/>
      <c r="I10" s="68"/>
      <c r="J10" s="68"/>
      <c r="K10" s="68"/>
      <c r="L10" s="68"/>
    </row>
    <row r="11">
      <c r="A11" s="68"/>
      <c r="B11" s="74" t="s">
        <v>62</v>
      </c>
      <c r="C11" s="74" t="s">
        <v>74</v>
      </c>
      <c r="D11" s="74" t="s">
        <v>252</v>
      </c>
      <c r="E11" s="74" t="s">
        <v>253</v>
      </c>
      <c r="F11" s="183" t="s">
        <v>254</v>
      </c>
      <c r="G11" s="246" t="s">
        <v>255</v>
      </c>
      <c r="H11" s="183" t="s">
        <v>77</v>
      </c>
      <c r="I11" s="74" t="s">
        <v>256</v>
      </c>
      <c r="J11" s="74" t="s">
        <v>257</v>
      </c>
      <c r="K11" s="275" t="s">
        <v>258</v>
      </c>
      <c r="L11" s="68"/>
    </row>
    <row r="12">
      <c r="A12" s="68"/>
      <c r="B12" s="326"/>
      <c r="C12" s="327"/>
      <c r="D12" s="328"/>
      <c r="E12" s="329"/>
      <c r="F12" s="330"/>
      <c r="G12" s="331"/>
      <c r="H12" s="332"/>
      <c r="I12" s="328"/>
      <c r="J12" s="192"/>
      <c r="K12" s="279" t="b">
        <v>0</v>
      </c>
      <c r="L12" s="68"/>
    </row>
  </sheetData>
  <mergeCells count="1">
    <mergeCell ref="B5:D6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3" max="3" width="6.38"/>
    <col customWidth="1" min="4" max="4" width="2.0"/>
    <col customWidth="1" min="5" max="5" width="18.88"/>
    <col customWidth="1" min="8" max="9" width="2.0"/>
    <col customWidth="1" min="10" max="10" width="6.38"/>
    <col customWidth="1" min="11" max="11" width="2.0"/>
    <col customWidth="1" min="13" max="13" width="2.63"/>
    <col customWidth="1" min="14" max="14" width="2.75"/>
  </cols>
  <sheetData>
    <row r="1" ht="11.25" customHeight="1">
      <c r="A1" s="71" t="b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>
      <c r="A2" s="73"/>
      <c r="B2" s="69" t="s">
        <v>377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>
      <c r="A3" s="73"/>
      <c r="B3" s="70" t="s">
        <v>57</v>
      </c>
      <c r="C3" s="73"/>
      <c r="D3" s="73"/>
      <c r="E3" s="73"/>
      <c r="F3" s="73"/>
      <c r="G3" s="73"/>
      <c r="N3" s="73"/>
    </row>
    <row r="4">
      <c r="A4" s="73"/>
      <c r="B4" s="71" t="s">
        <v>481</v>
      </c>
      <c r="C4" s="73"/>
      <c r="D4" s="73"/>
      <c r="E4" s="73"/>
      <c r="F4" s="73"/>
      <c r="G4" s="73"/>
      <c r="H4" s="73"/>
      <c r="I4" s="196"/>
      <c r="J4" s="124" t="s">
        <v>63</v>
      </c>
      <c r="K4" s="73"/>
      <c r="L4" s="73"/>
      <c r="M4" s="197" t="b">
        <v>0</v>
      </c>
      <c r="N4" s="73"/>
    </row>
    <row r="5">
      <c r="A5" s="73"/>
      <c r="B5" s="72" t="s">
        <v>482</v>
      </c>
      <c r="G5" s="73"/>
      <c r="H5" s="73"/>
      <c r="I5" s="196"/>
      <c r="J5" s="124" t="s">
        <v>64</v>
      </c>
      <c r="K5" s="73"/>
      <c r="L5" s="73"/>
      <c r="M5" s="197" t="b">
        <v>0</v>
      </c>
      <c r="N5" s="73"/>
    </row>
    <row r="6">
      <c r="A6" s="73"/>
      <c r="G6" s="73"/>
      <c r="H6" s="73"/>
      <c r="I6" s="196"/>
      <c r="J6" s="124" t="s">
        <v>65</v>
      </c>
      <c r="K6" s="73"/>
      <c r="L6" s="73"/>
      <c r="M6" s="197" t="b">
        <v>0</v>
      </c>
      <c r="N6" s="73"/>
    </row>
    <row r="7">
      <c r="A7" s="73"/>
      <c r="B7" s="73"/>
      <c r="C7" s="73"/>
      <c r="D7" s="73"/>
      <c r="E7" s="73"/>
      <c r="F7" s="73"/>
      <c r="G7" s="73"/>
      <c r="H7" s="73"/>
      <c r="I7" s="73"/>
      <c r="J7" s="124"/>
      <c r="K7" s="73"/>
      <c r="L7" s="73"/>
      <c r="M7" s="73"/>
      <c r="N7" s="73"/>
    </row>
    <row r="8">
      <c r="A8" s="73"/>
      <c r="B8" s="69" t="s">
        <v>60</v>
      </c>
      <c r="C8" s="73"/>
      <c r="D8" s="73"/>
      <c r="E8" s="73"/>
      <c r="F8" s="73"/>
      <c r="G8" s="73"/>
      <c r="H8" s="73"/>
      <c r="N8" s="73"/>
    </row>
    <row r="9">
      <c r="A9" s="73"/>
      <c r="B9" s="70" t="s">
        <v>380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</row>
    <row r="10">
      <c r="A10" s="73"/>
      <c r="B10" s="73"/>
      <c r="C10" s="73"/>
      <c r="D10" s="73"/>
      <c r="E10" s="307" t="s">
        <v>483</v>
      </c>
      <c r="F10" s="73"/>
      <c r="G10" s="73"/>
      <c r="H10" s="73"/>
      <c r="I10" s="73"/>
      <c r="J10" s="73"/>
      <c r="K10" s="73"/>
      <c r="L10" s="73"/>
      <c r="M10" s="73"/>
      <c r="N10" s="73"/>
    </row>
    <row r="11">
      <c r="A11" s="73"/>
      <c r="B11" s="215" t="s">
        <v>381</v>
      </c>
      <c r="C11" s="73"/>
      <c r="D11" s="196"/>
      <c r="E11" s="285" t="s">
        <v>484</v>
      </c>
      <c r="H11" s="73"/>
      <c r="I11" s="73"/>
      <c r="J11" s="73"/>
      <c r="K11" s="73"/>
      <c r="L11" s="73"/>
      <c r="M11" s="73"/>
      <c r="N11" s="73"/>
    </row>
    <row r="12">
      <c r="A12" s="73"/>
      <c r="B12" s="73"/>
      <c r="C12" s="73"/>
      <c r="D12" s="73"/>
      <c r="E12" s="200"/>
      <c r="F12" s="200"/>
      <c r="G12" s="200"/>
      <c r="H12" s="73"/>
      <c r="I12" s="196"/>
      <c r="J12" s="124" t="s">
        <v>383</v>
      </c>
      <c r="K12" s="85"/>
      <c r="L12" s="85"/>
      <c r="M12" s="202" t="s">
        <v>384</v>
      </c>
      <c r="N12" s="73"/>
    </row>
    <row r="13">
      <c r="A13" s="73"/>
      <c r="B13" s="215" t="s">
        <v>385</v>
      </c>
      <c r="C13" s="73"/>
      <c r="D13" s="196"/>
      <c r="E13" s="209" t="s">
        <v>386</v>
      </c>
      <c r="G13" s="205"/>
      <c r="H13" s="73"/>
      <c r="I13" s="196"/>
      <c r="J13" s="124" t="s">
        <v>387</v>
      </c>
      <c r="K13" s="85"/>
      <c r="L13" s="85"/>
      <c r="M13" s="202" t="s">
        <v>384</v>
      </c>
      <c r="N13" s="73"/>
    </row>
    <row r="14">
      <c r="A14" s="73"/>
      <c r="B14" s="73"/>
      <c r="C14" s="73"/>
      <c r="D14" s="73"/>
      <c r="E14" s="200"/>
      <c r="F14" s="200"/>
      <c r="G14" s="200"/>
      <c r="H14" s="73"/>
      <c r="I14" s="196"/>
      <c r="J14" s="124" t="s">
        <v>386</v>
      </c>
      <c r="K14" s="85"/>
      <c r="L14" s="85"/>
      <c r="M14" s="202" t="s">
        <v>384</v>
      </c>
      <c r="N14" s="73"/>
    </row>
    <row r="15">
      <c r="A15" s="73"/>
      <c r="B15" s="215" t="s">
        <v>388</v>
      </c>
      <c r="C15" s="73"/>
      <c r="D15" s="196"/>
      <c r="E15" s="285" t="s">
        <v>485</v>
      </c>
      <c r="H15" s="207"/>
      <c r="I15" s="207"/>
      <c r="J15" s="208"/>
      <c r="K15" s="208"/>
      <c r="L15" s="208"/>
      <c r="M15" s="208"/>
      <c r="N15" s="73"/>
    </row>
    <row r="16">
      <c r="A16" s="73"/>
      <c r="B16" s="73"/>
      <c r="C16" s="73"/>
      <c r="D16" s="73"/>
      <c r="E16" s="200"/>
      <c r="F16" s="200"/>
      <c r="G16" s="200"/>
      <c r="H16" s="73"/>
      <c r="I16" s="196"/>
      <c r="J16" s="124" t="s">
        <v>390</v>
      </c>
      <c r="K16" s="85"/>
      <c r="L16" s="85"/>
      <c r="M16" s="202" t="s">
        <v>384</v>
      </c>
      <c r="N16" s="73"/>
    </row>
    <row r="17">
      <c r="A17" s="73"/>
      <c r="B17" s="215" t="s">
        <v>391</v>
      </c>
      <c r="C17" s="73"/>
      <c r="D17" s="196"/>
      <c r="E17" s="209" t="s">
        <v>390</v>
      </c>
      <c r="G17" s="205"/>
      <c r="H17" s="73"/>
      <c r="I17" s="196"/>
      <c r="J17" s="124" t="s">
        <v>392</v>
      </c>
      <c r="K17" s="85"/>
      <c r="L17" s="85"/>
      <c r="M17" s="202" t="s">
        <v>384</v>
      </c>
      <c r="N17" s="73"/>
    </row>
    <row r="18">
      <c r="A18" s="73"/>
      <c r="B18" s="220"/>
      <c r="C18" s="308"/>
      <c r="D18" s="308"/>
      <c r="E18" s="205"/>
      <c r="F18" s="200"/>
      <c r="G18" s="200"/>
      <c r="H18" s="73"/>
      <c r="I18" s="196"/>
      <c r="J18" s="211" t="s">
        <v>393</v>
      </c>
      <c r="K18" s="212"/>
      <c r="L18" s="212"/>
      <c r="M18" s="213" t="s">
        <v>384</v>
      </c>
      <c r="N18" s="73"/>
    </row>
    <row r="19">
      <c r="A19" s="73"/>
      <c r="B19" s="215" t="s">
        <v>394</v>
      </c>
      <c r="C19" s="73"/>
      <c r="D19" s="196"/>
      <c r="E19" s="285" t="s">
        <v>486</v>
      </c>
      <c r="H19" s="73"/>
      <c r="I19" s="73"/>
      <c r="J19" s="214" t="s">
        <v>396</v>
      </c>
      <c r="N19" s="73"/>
    </row>
    <row r="20">
      <c r="A20" s="73"/>
      <c r="B20" s="73"/>
      <c r="C20" s="73"/>
      <c r="D20" s="73"/>
      <c r="E20" s="200"/>
      <c r="F20" s="200"/>
      <c r="G20" s="200"/>
      <c r="H20" s="73"/>
      <c r="I20" s="196"/>
      <c r="J20" s="124" t="s">
        <v>397</v>
      </c>
      <c r="K20" s="85"/>
      <c r="L20" s="85"/>
      <c r="M20" s="202" t="s">
        <v>384</v>
      </c>
      <c r="N20" s="73"/>
    </row>
    <row r="21">
      <c r="A21" s="73"/>
      <c r="B21" s="215" t="s">
        <v>398</v>
      </c>
      <c r="C21" s="73"/>
      <c r="D21" s="196"/>
      <c r="E21" s="209" t="s">
        <v>400</v>
      </c>
      <c r="G21" s="205"/>
      <c r="H21" s="73"/>
      <c r="I21" s="196"/>
      <c r="J21" s="124" t="s">
        <v>399</v>
      </c>
      <c r="K21" s="85"/>
      <c r="L21" s="85"/>
      <c r="M21" s="202" t="s">
        <v>384</v>
      </c>
      <c r="N21" s="73"/>
    </row>
    <row r="22">
      <c r="A22" s="73"/>
      <c r="B22" s="73"/>
      <c r="C22" s="73"/>
      <c r="D22" s="73"/>
      <c r="E22" s="200"/>
      <c r="F22" s="200"/>
      <c r="G22" s="200"/>
      <c r="H22" s="73"/>
      <c r="I22" s="196"/>
      <c r="J22" s="124" t="s">
        <v>400</v>
      </c>
      <c r="K22" s="85"/>
      <c r="L22" s="85"/>
      <c r="M22" s="202" t="s">
        <v>384</v>
      </c>
      <c r="N22" s="73"/>
    </row>
    <row r="23">
      <c r="A23" s="73"/>
      <c r="B23" s="215" t="s">
        <v>401</v>
      </c>
      <c r="C23" s="73"/>
      <c r="D23" s="196"/>
      <c r="E23" s="285" t="s">
        <v>470</v>
      </c>
      <c r="H23" s="73"/>
      <c r="I23" s="73"/>
      <c r="J23" s="73"/>
      <c r="K23" s="73"/>
      <c r="L23" s="73"/>
      <c r="M23" s="73"/>
      <c r="N23" s="73"/>
    </row>
    <row r="24">
      <c r="A24" s="73"/>
      <c r="B24" s="73"/>
      <c r="C24" s="73"/>
      <c r="D24" s="73"/>
      <c r="E24" s="200"/>
      <c r="F24" s="200"/>
      <c r="G24" s="200"/>
      <c r="H24" s="73"/>
      <c r="I24" s="73"/>
      <c r="J24" s="73"/>
      <c r="K24" s="73"/>
      <c r="L24" s="73"/>
      <c r="M24" s="73"/>
      <c r="N24" s="73"/>
    </row>
    <row r="25">
      <c r="A25" s="73"/>
      <c r="B25" s="215" t="s">
        <v>403</v>
      </c>
      <c r="C25" s="73"/>
      <c r="D25" s="196"/>
      <c r="E25" s="285" t="s">
        <v>487</v>
      </c>
      <c r="H25" s="73"/>
      <c r="I25" s="73"/>
      <c r="J25" s="73"/>
      <c r="K25" s="73"/>
      <c r="L25" s="73"/>
      <c r="M25" s="73"/>
      <c r="N25" s="73"/>
    </row>
    <row r="26">
      <c r="A26" s="73"/>
      <c r="B26" s="73"/>
      <c r="C26" s="73"/>
      <c r="D26" s="73"/>
      <c r="E26" s="333"/>
      <c r="F26" s="333"/>
      <c r="G26" s="333"/>
      <c r="H26" s="73"/>
      <c r="I26" s="73"/>
      <c r="J26" s="73"/>
      <c r="K26" s="73"/>
      <c r="L26" s="73"/>
      <c r="M26" s="73"/>
      <c r="N26" s="73"/>
    </row>
    <row r="27">
      <c r="A27" s="73"/>
      <c r="B27" s="215" t="s">
        <v>405</v>
      </c>
      <c r="C27" s="73"/>
      <c r="D27" s="196"/>
      <c r="E27" s="334" t="s">
        <v>188</v>
      </c>
      <c r="F27" s="335" t="s">
        <v>406</v>
      </c>
      <c r="G27" s="335" t="s">
        <v>407</v>
      </c>
      <c r="H27" s="218" t="s">
        <v>408</v>
      </c>
      <c r="I27" s="219"/>
      <c r="J27" s="220"/>
      <c r="K27" s="220"/>
      <c r="L27" s="221"/>
      <c r="M27" s="73"/>
      <c r="N27" s="73"/>
    </row>
    <row r="28">
      <c r="A28" s="73"/>
      <c r="B28" s="222" t="s">
        <v>409</v>
      </c>
      <c r="D28" s="196"/>
      <c r="E28" s="336" t="s">
        <v>101</v>
      </c>
      <c r="F28" s="229" t="s">
        <v>473</v>
      </c>
      <c r="G28" s="229" t="s">
        <v>410</v>
      </c>
      <c r="H28" s="77"/>
      <c r="J28" s="220"/>
      <c r="K28" s="196"/>
      <c r="L28" s="124" t="s">
        <v>39</v>
      </c>
      <c r="M28" s="202" t="s">
        <v>384</v>
      </c>
      <c r="N28" s="73"/>
    </row>
    <row r="29">
      <c r="A29" s="73"/>
      <c r="D29" s="196"/>
      <c r="E29" s="337" t="s">
        <v>87</v>
      </c>
      <c r="F29" s="229" t="s">
        <v>474</v>
      </c>
      <c r="G29" s="229" t="s">
        <v>411</v>
      </c>
      <c r="H29" s="77"/>
      <c r="J29" s="220"/>
      <c r="K29" s="196"/>
      <c r="L29" s="124" t="s">
        <v>410</v>
      </c>
      <c r="M29" s="73"/>
      <c r="N29" s="73"/>
    </row>
    <row r="30">
      <c r="A30" s="73"/>
      <c r="B30" s="73"/>
      <c r="C30" s="73"/>
      <c r="D30" s="196"/>
      <c r="E30" s="338" t="s">
        <v>89</v>
      </c>
      <c r="F30" s="315"/>
      <c r="G30" s="316"/>
      <c r="H30" s="77"/>
      <c r="J30" s="220"/>
      <c r="K30" s="196"/>
      <c r="L30" s="124" t="s">
        <v>411</v>
      </c>
      <c r="M30" s="73"/>
      <c r="N30" s="73"/>
    </row>
    <row r="31">
      <c r="A31" s="73"/>
      <c r="B31" s="73"/>
      <c r="C31" s="73"/>
      <c r="D31" s="196"/>
      <c r="E31" s="338" t="s">
        <v>92</v>
      </c>
      <c r="F31" s="315"/>
      <c r="G31" s="316"/>
      <c r="H31" s="77"/>
      <c r="J31" s="220"/>
      <c r="K31" s="196"/>
      <c r="L31" s="124" t="s">
        <v>43</v>
      </c>
      <c r="M31" s="73"/>
      <c r="N31" s="73"/>
    </row>
    <row r="32">
      <c r="A32" s="73"/>
      <c r="B32" s="73"/>
      <c r="C32" s="73"/>
      <c r="D32" s="196"/>
      <c r="E32" s="338" t="s">
        <v>95</v>
      </c>
      <c r="F32" s="316"/>
      <c r="G32" s="316"/>
      <c r="H32" s="77"/>
      <c r="J32" s="73"/>
      <c r="K32" s="196"/>
      <c r="L32" s="124" t="s">
        <v>44</v>
      </c>
      <c r="M32" s="73"/>
      <c r="N32" s="73"/>
    </row>
    <row r="33">
      <c r="A33" s="73"/>
      <c r="B33" s="73"/>
      <c r="C33" s="73"/>
      <c r="D33" s="196"/>
      <c r="E33" s="338" t="s">
        <v>97</v>
      </c>
      <c r="F33" s="315"/>
      <c r="G33" s="316"/>
      <c r="H33" s="77"/>
      <c r="J33" s="73"/>
      <c r="K33" s="73"/>
      <c r="L33" s="73"/>
      <c r="M33" s="73"/>
      <c r="N33" s="73"/>
    </row>
    <row r="34">
      <c r="A34" s="73"/>
      <c r="B34" s="73"/>
      <c r="C34" s="73"/>
      <c r="D34" s="196"/>
      <c r="E34" s="338" t="s">
        <v>98</v>
      </c>
      <c r="F34" s="315"/>
      <c r="G34" s="315"/>
      <c r="H34" s="77"/>
      <c r="J34" s="73"/>
      <c r="K34" s="73"/>
      <c r="L34" s="73"/>
      <c r="M34" s="73"/>
      <c r="N34" s="73"/>
    </row>
    <row r="35">
      <c r="A35" s="73"/>
      <c r="B35" s="215"/>
      <c r="C35" s="73"/>
      <c r="D35" s="73"/>
      <c r="E35" s="339" t="s">
        <v>99</v>
      </c>
      <c r="F35" s="73"/>
      <c r="G35" s="73"/>
      <c r="H35" s="73"/>
      <c r="I35" s="73"/>
      <c r="J35" s="73"/>
      <c r="K35" s="73"/>
      <c r="L35" s="73"/>
      <c r="M35" s="73"/>
      <c r="N35" s="73"/>
    </row>
    <row r="36">
      <c r="A36" s="73"/>
      <c r="B36" s="215"/>
      <c r="C36" s="73"/>
      <c r="D36" s="73"/>
      <c r="E36" s="339" t="s">
        <v>112</v>
      </c>
      <c r="F36" s="73"/>
      <c r="G36" s="73"/>
      <c r="H36" s="73"/>
      <c r="I36" s="73"/>
      <c r="J36" s="73"/>
      <c r="K36" s="73"/>
      <c r="L36" s="73"/>
      <c r="M36" s="73"/>
      <c r="N36" s="73"/>
    </row>
    <row r="37">
      <c r="A37" s="73"/>
      <c r="B37" s="215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</row>
    <row r="38">
      <c r="A38" s="73"/>
      <c r="B38" s="215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</row>
    <row r="39">
      <c r="A39" s="73"/>
      <c r="B39" s="215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</row>
    <row r="40">
      <c r="A40" s="73"/>
      <c r="B40" s="215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</row>
    <row r="41">
      <c r="A41" s="73"/>
      <c r="B41" s="215" t="s">
        <v>412</v>
      </c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</row>
    <row r="42">
      <c r="A42" s="73"/>
      <c r="B42" s="124" t="s">
        <v>475</v>
      </c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</row>
    <row r="47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</row>
    <row r="48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</row>
    <row r="49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</row>
    <row r="50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</row>
    <row r="5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</row>
  </sheetData>
  <mergeCells count="19">
    <mergeCell ref="B5:F6"/>
    <mergeCell ref="E11:G11"/>
    <mergeCell ref="E13:F13"/>
    <mergeCell ref="E15:G15"/>
    <mergeCell ref="E17:F17"/>
    <mergeCell ref="E19:G19"/>
    <mergeCell ref="J19:M19"/>
    <mergeCell ref="H30:I30"/>
    <mergeCell ref="H31:I31"/>
    <mergeCell ref="H32:I32"/>
    <mergeCell ref="H33:I33"/>
    <mergeCell ref="H34:I34"/>
    <mergeCell ref="E21:F21"/>
    <mergeCell ref="E23:G23"/>
    <mergeCell ref="E25:G25"/>
    <mergeCell ref="H27:I27"/>
    <mergeCell ref="B28:C29"/>
    <mergeCell ref="H28:I28"/>
    <mergeCell ref="H29:I29"/>
  </mergeCells>
  <dataValidations>
    <dataValidation type="list" allowBlank="1" showInputMessage="1" showErrorMessage="1" prompt="Clique e insira um valor de intervalo Página1!I9:I11" sqref="E17">
      <formula1>$J$16:$J$18</formula1>
    </dataValidation>
    <dataValidation type="list" allowBlank="1" showInputMessage="1" showErrorMessage="1" prompt="Clique e insira um valor de intervalo Página1!I9:I11" sqref="E13">
      <formula1>$J$12:$J$14</formula1>
    </dataValidation>
    <dataValidation type="list" allowBlank="1" showInputMessage="1" showErrorMessage="1" prompt="Clique e insira um valor de intervalo Página1!I9:I11" sqref="E21">
      <formula1>$J$20:$J$22</formula1>
    </dataValidation>
    <dataValidation type="list" allowBlank="1" showInputMessage="1" prompt="Clique e insira um valor de intervalo" sqref="G28:G34">
      <formula1>$L$28:$L$32</formula1>
    </dataValidation>
  </dataValidation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3" width="18.88"/>
    <col customWidth="1" min="4" max="4" width="31.38"/>
    <col customWidth="1" min="5" max="5" width="18.88"/>
    <col customWidth="1" min="6" max="7" width="12.63"/>
    <col customWidth="1" min="8" max="8" width="31.38"/>
    <col customWidth="1" min="9" max="10" width="5.13"/>
  </cols>
  <sheetData>
    <row r="1" ht="11.25" customHeight="1">
      <c r="A1" s="68"/>
      <c r="B1" s="68"/>
      <c r="C1" s="68"/>
      <c r="D1" s="68"/>
      <c r="E1" s="68"/>
      <c r="F1" s="81"/>
      <c r="G1" s="68"/>
      <c r="H1" s="68"/>
      <c r="I1" s="68"/>
      <c r="J1" s="68"/>
    </row>
    <row r="2">
      <c r="A2" s="68"/>
      <c r="B2" s="69" t="s">
        <v>56</v>
      </c>
      <c r="C2" s="69"/>
      <c r="D2" s="73"/>
      <c r="E2" s="73"/>
      <c r="F2" s="86"/>
      <c r="G2" s="68"/>
      <c r="H2" s="68"/>
      <c r="I2" s="68"/>
      <c r="J2" s="68"/>
    </row>
    <row r="3">
      <c r="A3" s="68"/>
      <c r="B3" s="70" t="s">
        <v>57</v>
      </c>
      <c r="C3" s="70"/>
      <c r="D3" s="73"/>
      <c r="E3" s="73"/>
      <c r="F3" s="86"/>
      <c r="G3" s="68"/>
      <c r="H3" s="68"/>
      <c r="I3" s="68"/>
      <c r="J3" s="68"/>
    </row>
    <row r="4">
      <c r="A4" s="68"/>
      <c r="B4" s="71" t="s">
        <v>476</v>
      </c>
      <c r="C4" s="71"/>
      <c r="D4" s="73"/>
      <c r="E4" s="73"/>
      <c r="F4" s="86"/>
      <c r="G4" s="68"/>
      <c r="H4" s="68"/>
      <c r="I4" s="68"/>
      <c r="J4" s="68"/>
    </row>
    <row r="5">
      <c r="A5" s="68"/>
      <c r="B5" s="117" t="s">
        <v>59</v>
      </c>
      <c r="E5" s="117"/>
      <c r="F5" s="117"/>
      <c r="G5" s="82"/>
      <c r="H5" s="68"/>
      <c r="I5" s="68"/>
      <c r="J5" s="68"/>
    </row>
    <row r="6">
      <c r="A6" s="68"/>
      <c r="E6" s="117"/>
      <c r="F6" s="117"/>
      <c r="G6" s="82"/>
      <c r="H6" s="68"/>
      <c r="I6" s="68"/>
      <c r="J6" s="68"/>
    </row>
    <row r="7">
      <c r="A7" s="68"/>
      <c r="B7" s="73"/>
      <c r="C7" s="73"/>
      <c r="D7" s="73"/>
      <c r="E7" s="73"/>
      <c r="F7" s="86"/>
      <c r="G7" s="82"/>
      <c r="H7" s="68"/>
      <c r="I7" s="68"/>
      <c r="J7" s="68"/>
    </row>
    <row r="8">
      <c r="A8" s="68"/>
      <c r="B8" s="69" t="s">
        <v>60</v>
      </c>
      <c r="C8" s="69"/>
      <c r="D8" s="73"/>
      <c r="E8" s="233" t="s">
        <v>416</v>
      </c>
      <c r="F8" s="86"/>
      <c r="G8" s="233" t="s">
        <v>417</v>
      </c>
      <c r="H8" s="68"/>
      <c r="I8" s="68"/>
      <c r="J8" s="68"/>
    </row>
    <row r="9">
      <c r="A9" s="68"/>
      <c r="B9" s="70" t="s">
        <v>418</v>
      </c>
      <c r="C9" s="70"/>
      <c r="D9" s="73"/>
      <c r="E9" s="234"/>
      <c r="F9" s="86"/>
      <c r="G9" s="234"/>
      <c r="H9" s="68"/>
      <c r="I9" s="68"/>
      <c r="J9" s="68"/>
    </row>
    <row r="10">
      <c r="A10" s="68"/>
      <c r="B10" s="68"/>
      <c r="C10" s="68"/>
      <c r="D10" s="68"/>
      <c r="E10" s="235"/>
      <c r="F10" s="81"/>
      <c r="G10" s="235"/>
      <c r="H10" s="68"/>
      <c r="I10" s="68"/>
      <c r="J10" s="68"/>
    </row>
    <row r="11">
      <c r="A11" s="68"/>
      <c r="B11" s="74" t="s">
        <v>62</v>
      </c>
      <c r="C11" s="74" t="s">
        <v>74</v>
      </c>
      <c r="D11" s="74" t="s">
        <v>419</v>
      </c>
      <c r="E11" s="74" t="s">
        <v>420</v>
      </c>
      <c r="F11" s="183" t="s">
        <v>421</v>
      </c>
      <c r="G11" s="183" t="s">
        <v>422</v>
      </c>
      <c r="H11" s="74" t="s">
        <v>423</v>
      </c>
      <c r="I11" s="76"/>
      <c r="J11" s="68"/>
    </row>
    <row r="12">
      <c r="A12" s="68"/>
      <c r="B12" s="321" t="s">
        <v>53</v>
      </c>
      <c r="C12" s="322" t="s">
        <v>152</v>
      </c>
      <c r="D12" s="322" t="s">
        <v>488</v>
      </c>
      <c r="E12" s="322" t="s">
        <v>489</v>
      </c>
      <c r="F12" s="324">
        <v>45203.0</v>
      </c>
      <c r="G12" s="324">
        <v>45566.0</v>
      </c>
      <c r="H12" s="100"/>
      <c r="I12" s="68"/>
      <c r="J12" s="68"/>
    </row>
    <row r="13">
      <c r="A13" s="68"/>
      <c r="B13" s="243" t="s">
        <v>53</v>
      </c>
      <c r="C13" s="243" t="s">
        <v>157</v>
      </c>
      <c r="D13" s="244" t="s">
        <v>490</v>
      </c>
      <c r="E13" s="244" t="s">
        <v>491</v>
      </c>
      <c r="F13" s="340">
        <v>45139.0</v>
      </c>
      <c r="G13" s="245">
        <v>45505.0</v>
      </c>
      <c r="H13" s="100"/>
      <c r="I13" s="68"/>
      <c r="J13" s="68"/>
    </row>
    <row r="14">
      <c r="A14" s="68"/>
      <c r="B14" s="243" t="s">
        <v>53</v>
      </c>
      <c r="C14" s="243" t="s">
        <v>492</v>
      </c>
      <c r="D14" s="244" t="s">
        <v>493</v>
      </c>
      <c r="E14" s="244" t="s">
        <v>494</v>
      </c>
      <c r="F14" s="245">
        <v>45198.0</v>
      </c>
      <c r="G14" s="245">
        <v>45564.0</v>
      </c>
      <c r="H14" s="100"/>
      <c r="I14" s="68"/>
      <c r="J14" s="68"/>
    </row>
    <row r="15">
      <c r="A15" s="68"/>
      <c r="B15" s="243" t="s">
        <v>53</v>
      </c>
      <c r="C15" s="243" t="s">
        <v>495</v>
      </c>
      <c r="D15" s="244" t="s">
        <v>496</v>
      </c>
      <c r="E15" s="244" t="s">
        <v>497</v>
      </c>
      <c r="F15" s="245">
        <v>45444.0</v>
      </c>
      <c r="G15" s="245">
        <v>45627.0</v>
      </c>
      <c r="H15" s="100"/>
      <c r="I15" s="68"/>
      <c r="J15" s="68"/>
    </row>
    <row r="16">
      <c r="A16" s="68"/>
      <c r="B16" s="243" t="s">
        <v>53</v>
      </c>
      <c r="C16" s="243" t="s">
        <v>498</v>
      </c>
      <c r="D16" s="244" t="s">
        <v>499</v>
      </c>
      <c r="E16" s="243" t="s">
        <v>500</v>
      </c>
      <c r="F16" s="245">
        <v>45444.0</v>
      </c>
      <c r="G16" s="245">
        <v>45627.0</v>
      </c>
      <c r="H16" s="100"/>
      <c r="I16" s="68"/>
      <c r="J16" s="68"/>
    </row>
    <row r="17">
      <c r="A17" s="68"/>
      <c r="B17" s="243" t="s">
        <v>53</v>
      </c>
      <c r="C17" s="244" t="s">
        <v>161</v>
      </c>
      <c r="D17" s="244" t="s">
        <v>501</v>
      </c>
      <c r="E17" s="244" t="s">
        <v>502</v>
      </c>
      <c r="F17" s="340">
        <v>45444.0</v>
      </c>
      <c r="G17" s="245">
        <v>45627.0</v>
      </c>
      <c r="H17" s="100"/>
      <c r="I17" s="68"/>
      <c r="J17" s="68"/>
    </row>
    <row r="18">
      <c r="A18" s="68"/>
      <c r="B18" s="243" t="s">
        <v>53</v>
      </c>
      <c r="C18" s="244" t="s">
        <v>503</v>
      </c>
      <c r="D18" s="244" t="s">
        <v>504</v>
      </c>
      <c r="E18" s="244" t="s">
        <v>505</v>
      </c>
      <c r="F18" s="245">
        <v>45198.0</v>
      </c>
      <c r="G18" s="245">
        <v>45564.0</v>
      </c>
      <c r="H18" s="100"/>
      <c r="I18" s="68"/>
      <c r="J18" s="68"/>
    </row>
    <row r="19">
      <c r="A19" s="68"/>
      <c r="B19" s="243" t="s">
        <v>53</v>
      </c>
      <c r="C19" s="244" t="s">
        <v>159</v>
      </c>
      <c r="D19" s="244" t="s">
        <v>506</v>
      </c>
      <c r="E19" s="244" t="s">
        <v>507</v>
      </c>
      <c r="F19" s="245">
        <v>45167.0</v>
      </c>
      <c r="G19" s="245">
        <v>45533.0</v>
      </c>
      <c r="H19" s="100"/>
      <c r="I19" s="68"/>
      <c r="J19" s="68"/>
    </row>
  </sheetData>
  <mergeCells count="3">
    <mergeCell ref="B5:D6"/>
    <mergeCell ref="E8:E9"/>
    <mergeCell ref="G8:G9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5" width="18.88"/>
    <col customWidth="1" min="6" max="8" width="12.63"/>
    <col customWidth="1" min="9" max="10" width="31.38"/>
    <col customWidth="1" min="11" max="11" width="12.63"/>
    <col customWidth="1" min="12" max="12" width="5.13"/>
  </cols>
  <sheetData>
    <row r="1" ht="11.25" customHeight="1">
      <c r="A1" s="68"/>
      <c r="B1" s="68"/>
      <c r="C1" s="68"/>
      <c r="D1" s="68"/>
      <c r="E1" s="68"/>
      <c r="F1" s="68"/>
      <c r="G1" s="270"/>
      <c r="H1" s="81"/>
      <c r="I1" s="68"/>
      <c r="J1" s="68"/>
      <c r="K1" s="68"/>
      <c r="L1" s="68"/>
    </row>
    <row r="2">
      <c r="A2" s="68"/>
      <c r="B2" s="69" t="s">
        <v>56</v>
      </c>
      <c r="C2" s="73"/>
      <c r="D2" s="73"/>
      <c r="E2" s="73"/>
      <c r="F2" s="73"/>
      <c r="G2" s="271"/>
      <c r="H2" s="86"/>
      <c r="I2" s="68"/>
      <c r="J2" s="68"/>
      <c r="K2" s="68"/>
      <c r="L2" s="68"/>
    </row>
    <row r="3">
      <c r="A3" s="68"/>
      <c r="B3" s="70" t="s">
        <v>57</v>
      </c>
      <c r="C3" s="73"/>
      <c r="D3" s="73"/>
      <c r="E3" s="73"/>
      <c r="F3" s="73"/>
      <c r="G3" s="271"/>
      <c r="H3" s="86"/>
      <c r="I3" s="68"/>
      <c r="J3" s="68"/>
      <c r="K3" s="68"/>
      <c r="L3" s="68"/>
    </row>
    <row r="4">
      <c r="A4" s="68"/>
      <c r="B4" s="71" t="s">
        <v>476</v>
      </c>
      <c r="C4" s="73"/>
      <c r="D4" s="73"/>
      <c r="E4" s="73"/>
      <c r="F4" s="73"/>
      <c r="G4" s="271"/>
      <c r="H4" s="86"/>
      <c r="I4" s="68"/>
      <c r="J4" s="68"/>
      <c r="K4" s="68"/>
      <c r="L4" s="68"/>
    </row>
    <row r="5">
      <c r="A5" s="68"/>
      <c r="B5" s="117" t="s">
        <v>59</v>
      </c>
      <c r="E5" s="117"/>
      <c r="F5" s="117"/>
      <c r="G5" s="272"/>
      <c r="H5" s="117"/>
      <c r="I5" s="68"/>
      <c r="J5" s="68"/>
      <c r="K5" s="68"/>
      <c r="L5" s="68"/>
    </row>
    <row r="6">
      <c r="A6" s="68"/>
      <c r="E6" s="117"/>
      <c r="F6" s="117"/>
      <c r="G6" s="272"/>
      <c r="H6" s="117"/>
      <c r="I6" s="68"/>
      <c r="J6" s="68"/>
      <c r="K6" s="68"/>
      <c r="L6" s="68"/>
    </row>
    <row r="7">
      <c r="A7" s="68"/>
      <c r="B7" s="73"/>
      <c r="C7" s="82"/>
      <c r="D7" s="82"/>
      <c r="E7" s="82"/>
      <c r="F7" s="82"/>
      <c r="G7" s="82"/>
      <c r="H7" s="82"/>
      <c r="I7" s="68"/>
      <c r="J7" s="68"/>
      <c r="K7" s="68"/>
      <c r="L7" s="68"/>
    </row>
    <row r="8">
      <c r="A8" s="68"/>
      <c r="B8" s="69" t="s">
        <v>60</v>
      </c>
      <c r="C8" s="82"/>
      <c r="D8" s="82"/>
      <c r="E8" s="82"/>
      <c r="F8" s="82"/>
      <c r="G8" s="82"/>
      <c r="H8" s="82"/>
      <c r="I8" s="68"/>
      <c r="J8" s="68"/>
      <c r="K8" s="68"/>
      <c r="L8" s="68"/>
    </row>
    <row r="9">
      <c r="A9" s="68"/>
      <c r="B9" s="70" t="s">
        <v>61</v>
      </c>
      <c r="C9" s="82"/>
      <c r="D9" s="82"/>
      <c r="E9" s="82"/>
      <c r="F9" s="82"/>
      <c r="G9" s="82"/>
      <c r="H9" s="82"/>
      <c r="I9" s="68"/>
      <c r="J9" s="68"/>
      <c r="K9" s="68"/>
      <c r="L9" s="68"/>
    </row>
    <row r="10">
      <c r="A10" s="68"/>
      <c r="B10" s="68"/>
      <c r="C10" s="82"/>
      <c r="D10" s="82"/>
      <c r="E10" s="82"/>
      <c r="F10" s="82"/>
      <c r="G10" s="82"/>
      <c r="H10" s="82"/>
      <c r="I10" s="68"/>
      <c r="J10" s="68"/>
      <c r="K10" s="68"/>
      <c r="L10" s="68"/>
    </row>
    <row r="11">
      <c r="A11" s="68"/>
      <c r="B11" s="74" t="s">
        <v>62</v>
      </c>
      <c r="C11" s="74" t="s">
        <v>74</v>
      </c>
      <c r="D11" s="74" t="s">
        <v>252</v>
      </c>
      <c r="E11" s="74" t="s">
        <v>253</v>
      </c>
      <c r="F11" s="183" t="s">
        <v>254</v>
      </c>
      <c r="G11" s="246" t="s">
        <v>255</v>
      </c>
      <c r="H11" s="183" t="s">
        <v>77</v>
      </c>
      <c r="I11" s="74" t="s">
        <v>256</v>
      </c>
      <c r="J11" s="74" t="s">
        <v>257</v>
      </c>
      <c r="K11" s="275" t="s">
        <v>258</v>
      </c>
      <c r="L11" s="68"/>
    </row>
    <row r="12">
      <c r="A12" s="68"/>
      <c r="B12" s="236" t="s">
        <v>53</v>
      </c>
      <c r="C12" s="322" t="s">
        <v>325</v>
      </c>
      <c r="D12" s="341"/>
      <c r="E12" s="341"/>
      <c r="F12" s="342"/>
      <c r="G12" s="343">
        <v>1250.0</v>
      </c>
      <c r="H12" s="94">
        <v>45343.0</v>
      </c>
      <c r="I12" s="321" t="s">
        <v>326</v>
      </c>
      <c r="J12" s="321" t="s">
        <v>130</v>
      </c>
      <c r="K12" s="279" t="b">
        <v>0</v>
      </c>
      <c r="L12" s="68"/>
    </row>
    <row r="13">
      <c r="A13" s="68"/>
      <c r="B13" s="77" t="s">
        <v>53</v>
      </c>
      <c r="C13" s="244" t="s">
        <v>325</v>
      </c>
      <c r="D13" s="344"/>
      <c r="E13" s="344"/>
      <c r="F13" s="342"/>
      <c r="G13" s="345">
        <v>349.84</v>
      </c>
      <c r="H13" s="94">
        <v>45343.0</v>
      </c>
      <c r="I13" s="244" t="s">
        <v>327</v>
      </c>
      <c r="J13" s="243" t="s">
        <v>130</v>
      </c>
      <c r="K13" s="279" t="b">
        <v>0</v>
      </c>
      <c r="L13" s="68"/>
    </row>
    <row r="14">
      <c r="A14" s="68"/>
      <c r="B14" s="77" t="s">
        <v>53</v>
      </c>
      <c r="C14" s="244" t="s">
        <v>161</v>
      </c>
      <c r="D14" s="344"/>
      <c r="E14" s="344"/>
      <c r="F14" s="342"/>
      <c r="G14" s="345">
        <v>17.1</v>
      </c>
      <c r="H14" s="94">
        <v>45343.0</v>
      </c>
      <c r="I14" s="243" t="s">
        <v>328</v>
      </c>
      <c r="J14" s="243" t="s">
        <v>130</v>
      </c>
      <c r="K14" s="279" t="b">
        <v>0</v>
      </c>
      <c r="L14" s="68"/>
    </row>
    <row r="15">
      <c r="A15" s="68"/>
      <c r="B15" s="77" t="s">
        <v>53</v>
      </c>
      <c r="C15" s="244" t="s">
        <v>161</v>
      </c>
      <c r="D15" s="344"/>
      <c r="E15" s="344"/>
      <c r="F15" s="342"/>
      <c r="G15" s="345">
        <v>154.08</v>
      </c>
      <c r="H15" s="94">
        <v>45343.0</v>
      </c>
      <c r="I15" s="243" t="s">
        <v>329</v>
      </c>
      <c r="J15" s="243" t="s">
        <v>130</v>
      </c>
      <c r="K15" s="279" t="b">
        <v>0</v>
      </c>
      <c r="L15" s="68"/>
    </row>
    <row r="16">
      <c r="A16" s="68"/>
      <c r="B16" s="77" t="s">
        <v>53</v>
      </c>
      <c r="C16" s="244" t="s">
        <v>161</v>
      </c>
      <c r="D16" s="344"/>
      <c r="E16" s="344"/>
      <c r="F16" s="342"/>
      <c r="G16" s="345">
        <v>240.0</v>
      </c>
      <c r="H16" s="94">
        <v>45343.0</v>
      </c>
      <c r="I16" s="243" t="s">
        <v>329</v>
      </c>
      <c r="J16" s="243" t="s">
        <v>130</v>
      </c>
      <c r="K16" s="279" t="b">
        <v>0</v>
      </c>
      <c r="L16" s="68"/>
    </row>
  </sheetData>
  <mergeCells count="1">
    <mergeCell ref="B5:D6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6.38"/>
    <col customWidth="1" min="3" max="6" width="18.88"/>
    <col customWidth="1" min="8" max="8" width="10.13"/>
    <col customWidth="1" min="10" max="10" width="30.38"/>
    <col customWidth="1" min="11" max="12" width="5.13"/>
  </cols>
  <sheetData>
    <row r="1" ht="11.25" customHeight="1">
      <c r="A1" s="68"/>
      <c r="B1" s="68"/>
      <c r="C1" s="68"/>
      <c r="D1" s="68"/>
      <c r="E1" s="68"/>
      <c r="F1" s="68"/>
      <c r="G1" s="81"/>
      <c r="H1" s="82"/>
      <c r="I1" s="68"/>
      <c r="J1" s="68"/>
      <c r="K1" s="68"/>
      <c r="L1" s="68"/>
    </row>
    <row r="2">
      <c r="A2" s="68"/>
      <c r="B2" s="69" t="s">
        <v>56</v>
      </c>
      <c r="C2" s="73"/>
      <c r="D2" s="73"/>
      <c r="E2" s="73"/>
      <c r="F2" s="73"/>
      <c r="G2" s="86"/>
      <c r="H2" s="82"/>
      <c r="I2" s="68"/>
      <c r="J2" s="68"/>
      <c r="K2" s="68"/>
      <c r="L2" s="68"/>
    </row>
    <row r="3">
      <c r="A3" s="68"/>
      <c r="B3" s="70" t="s">
        <v>57</v>
      </c>
      <c r="C3" s="73"/>
      <c r="D3" s="73"/>
      <c r="E3" s="73"/>
      <c r="F3" s="73"/>
      <c r="G3" s="86"/>
      <c r="H3" s="82"/>
      <c r="I3" s="68"/>
      <c r="J3" s="68"/>
      <c r="K3" s="68"/>
      <c r="L3" s="68"/>
    </row>
    <row r="4">
      <c r="A4" s="68"/>
      <c r="B4" s="71" t="s">
        <v>508</v>
      </c>
      <c r="C4" s="73"/>
      <c r="D4" s="73"/>
      <c r="E4" s="73"/>
      <c r="F4" s="73"/>
      <c r="G4" s="86"/>
      <c r="H4" s="82"/>
      <c r="I4" s="68"/>
      <c r="J4" s="68"/>
      <c r="K4" s="68"/>
      <c r="L4" s="68"/>
    </row>
    <row r="5">
      <c r="A5" s="68"/>
      <c r="B5" s="117" t="s">
        <v>59</v>
      </c>
      <c r="E5" s="117"/>
      <c r="F5" s="117"/>
      <c r="G5" s="117"/>
      <c r="H5" s="82"/>
      <c r="I5" s="68"/>
      <c r="J5" s="68"/>
      <c r="K5" s="68"/>
      <c r="L5" s="68"/>
    </row>
    <row r="6">
      <c r="A6" s="68"/>
      <c r="E6" s="117"/>
      <c r="F6" s="117"/>
      <c r="G6" s="117"/>
      <c r="H6" s="82"/>
      <c r="I6" s="88" t="s">
        <v>68</v>
      </c>
      <c r="J6" s="68"/>
      <c r="K6" s="68"/>
      <c r="L6" s="68"/>
    </row>
    <row r="7">
      <c r="A7" s="68"/>
      <c r="B7" s="73"/>
      <c r="C7" s="73"/>
      <c r="D7" s="73"/>
      <c r="E7" s="73"/>
      <c r="F7" s="73"/>
      <c r="G7" s="86"/>
      <c r="H7" s="82"/>
      <c r="I7" s="88" t="s">
        <v>69</v>
      </c>
      <c r="J7" s="68"/>
      <c r="K7" s="68"/>
      <c r="L7" s="68"/>
    </row>
    <row r="8">
      <c r="A8" s="68"/>
      <c r="B8" s="69" t="s">
        <v>60</v>
      </c>
      <c r="C8" s="73"/>
      <c r="D8" s="73"/>
      <c r="E8" s="73"/>
      <c r="F8" s="73"/>
      <c r="G8" s="86"/>
      <c r="H8" s="82"/>
      <c r="I8" s="88" t="s">
        <v>70</v>
      </c>
      <c r="J8" s="68"/>
      <c r="K8" s="68"/>
      <c r="L8" s="68"/>
    </row>
    <row r="9">
      <c r="A9" s="68"/>
      <c r="B9" s="70" t="s">
        <v>71</v>
      </c>
      <c r="C9" s="73"/>
      <c r="D9" s="73"/>
      <c r="E9" s="73"/>
      <c r="F9" s="73"/>
      <c r="G9" s="86"/>
      <c r="H9" s="82"/>
      <c r="I9" s="88" t="s">
        <v>72</v>
      </c>
      <c r="J9" s="68"/>
      <c r="K9" s="68"/>
      <c r="L9" s="68"/>
    </row>
    <row r="10">
      <c r="A10" s="68"/>
      <c r="B10" s="68"/>
      <c r="C10" s="68"/>
      <c r="D10" s="68"/>
      <c r="E10" s="68"/>
      <c r="F10" s="68"/>
      <c r="G10" s="81"/>
      <c r="H10" s="82"/>
      <c r="I10" s="90"/>
      <c r="J10" s="68"/>
      <c r="K10" s="68"/>
      <c r="L10" s="68"/>
    </row>
    <row r="11">
      <c r="A11" s="68"/>
      <c r="B11" s="74" t="s">
        <v>73</v>
      </c>
      <c r="C11" s="74" t="s">
        <v>62</v>
      </c>
      <c r="D11" s="74" t="s">
        <v>74</v>
      </c>
      <c r="E11" s="74" t="s">
        <v>75</v>
      </c>
      <c r="F11" s="74" t="s">
        <v>76</v>
      </c>
      <c r="G11" s="184" t="s">
        <v>77</v>
      </c>
      <c r="H11" s="246" t="s">
        <v>78</v>
      </c>
      <c r="I11" s="74" t="s">
        <v>79</v>
      </c>
      <c r="J11" s="74" t="s">
        <v>80</v>
      </c>
      <c r="K11" s="76"/>
      <c r="L11" s="68"/>
    </row>
    <row r="12">
      <c r="A12" s="68"/>
      <c r="B12" s="77"/>
      <c r="C12" s="321" t="s">
        <v>53</v>
      </c>
      <c r="D12" s="322" t="s">
        <v>152</v>
      </c>
      <c r="E12" s="321" t="s">
        <v>153</v>
      </c>
      <c r="F12" s="323"/>
      <c r="G12" s="324">
        <v>45314.0</v>
      </c>
      <c r="H12" s="325">
        <v>16.0</v>
      </c>
      <c r="I12" s="236" t="s">
        <v>70</v>
      </c>
      <c r="J12" s="322" t="s">
        <v>154</v>
      </c>
      <c r="K12" s="68"/>
      <c r="L12" s="68"/>
    </row>
    <row r="13">
      <c r="A13" s="68"/>
      <c r="B13" s="77"/>
      <c r="C13" s="243" t="s">
        <v>53</v>
      </c>
      <c r="D13" s="244" t="s">
        <v>155</v>
      </c>
      <c r="E13" s="243" t="s">
        <v>153</v>
      </c>
      <c r="F13" s="346"/>
      <c r="G13" s="245">
        <v>45338.0</v>
      </c>
      <c r="H13" s="347">
        <v>8.0</v>
      </c>
      <c r="I13" s="243" t="s">
        <v>70</v>
      </c>
      <c r="J13" s="244" t="s">
        <v>156</v>
      </c>
      <c r="K13" s="68"/>
      <c r="L13" s="68"/>
    </row>
    <row r="14">
      <c r="A14" s="68"/>
      <c r="B14" s="77"/>
      <c r="C14" s="243" t="s">
        <v>53</v>
      </c>
      <c r="D14" s="243" t="s">
        <v>157</v>
      </c>
      <c r="E14" s="243" t="s">
        <v>153</v>
      </c>
      <c r="F14" s="346"/>
      <c r="G14" s="245">
        <v>45343.0</v>
      </c>
      <c r="H14" s="347">
        <v>40.0</v>
      </c>
      <c r="I14" s="239" t="s">
        <v>70</v>
      </c>
      <c r="J14" s="244" t="s">
        <v>158</v>
      </c>
      <c r="K14" s="68"/>
      <c r="L14" s="68"/>
    </row>
    <row r="15">
      <c r="A15" s="68"/>
      <c r="B15" s="77"/>
      <c r="C15" s="243" t="s">
        <v>53</v>
      </c>
      <c r="D15" s="244" t="s">
        <v>159</v>
      </c>
      <c r="E15" s="243" t="s">
        <v>153</v>
      </c>
      <c r="F15" s="346"/>
      <c r="G15" s="245">
        <v>45436.0</v>
      </c>
      <c r="H15" s="347">
        <v>40.0</v>
      </c>
      <c r="I15" s="239" t="s">
        <v>70</v>
      </c>
      <c r="J15" s="244" t="s">
        <v>160</v>
      </c>
      <c r="K15" s="68"/>
      <c r="L15" s="68"/>
    </row>
    <row r="16">
      <c r="A16" s="68"/>
      <c r="B16" s="77"/>
      <c r="C16" s="243" t="s">
        <v>53</v>
      </c>
      <c r="D16" s="244" t="s">
        <v>161</v>
      </c>
      <c r="E16" s="243" t="s">
        <v>153</v>
      </c>
      <c r="F16" s="346"/>
      <c r="G16" s="245">
        <v>45468.0</v>
      </c>
      <c r="H16" s="347">
        <v>40.0</v>
      </c>
      <c r="I16" s="243" t="s">
        <v>70</v>
      </c>
      <c r="J16" s="244" t="s">
        <v>162</v>
      </c>
      <c r="K16" s="68"/>
      <c r="L16" s="68"/>
    </row>
    <row r="17">
      <c r="A17" s="68"/>
      <c r="B17" s="77"/>
      <c r="C17" s="102" t="s">
        <v>53</v>
      </c>
      <c r="D17" s="105" t="s">
        <v>163</v>
      </c>
      <c r="E17" s="243" t="s">
        <v>153</v>
      </c>
      <c r="F17" s="346"/>
      <c r="G17" s="93">
        <v>45558.0</v>
      </c>
      <c r="H17" s="103">
        <v>40.0</v>
      </c>
      <c r="I17" s="102" t="s">
        <v>70</v>
      </c>
      <c r="J17" s="105" t="s">
        <v>164</v>
      </c>
      <c r="K17" s="68"/>
      <c r="L17" s="68"/>
    </row>
  </sheetData>
  <mergeCells count="1">
    <mergeCell ref="B5:D6"/>
  </mergeCells>
  <dataValidations>
    <dataValidation type="list" allowBlank="1" sqref="E12:E17">
      <formula1>NOTIFY!$E$28:$E$40</formula1>
    </dataValidation>
    <dataValidation type="list" allowBlank="1" sqref="I12:I17">
      <formula1>$I$6:$I$9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3" max="3" width="6.38"/>
    <col customWidth="1" min="4" max="4" width="2.0"/>
    <col customWidth="1" min="5" max="5" width="18.88"/>
    <col customWidth="1" min="8" max="9" width="2.0"/>
    <col customWidth="1" min="10" max="10" width="6.38"/>
    <col customWidth="1" min="11" max="11" width="2.0"/>
    <col customWidth="1" min="13" max="13" width="2.63"/>
    <col customWidth="1" min="14" max="14" width="2.75"/>
  </cols>
  <sheetData>
    <row r="1" ht="11.25" customHeight="1">
      <c r="A1" s="71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>
      <c r="A2" s="73"/>
      <c r="B2" s="69" t="s">
        <v>377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>
      <c r="A3" s="73"/>
      <c r="B3" s="70" t="s">
        <v>57</v>
      </c>
      <c r="C3" s="73"/>
      <c r="D3" s="73"/>
      <c r="E3" s="73"/>
      <c r="F3" s="73"/>
      <c r="G3" s="73"/>
      <c r="N3" s="73"/>
    </row>
    <row r="4">
      <c r="A4" s="73"/>
      <c r="B4" s="71" t="s">
        <v>509</v>
      </c>
      <c r="C4" s="73"/>
      <c r="D4" s="73"/>
      <c r="E4" s="73"/>
      <c r="F4" s="73"/>
      <c r="G4" s="73"/>
      <c r="H4" s="73"/>
      <c r="I4" s="196"/>
      <c r="J4" s="124" t="s">
        <v>63</v>
      </c>
      <c r="K4" s="73"/>
      <c r="L4" s="73"/>
      <c r="M4" s="197" t="b">
        <v>0</v>
      </c>
      <c r="N4" s="73"/>
    </row>
    <row r="5">
      <c r="A5" s="73"/>
      <c r="B5" s="72" t="s">
        <v>510</v>
      </c>
      <c r="G5" s="73"/>
      <c r="H5" s="73"/>
      <c r="I5" s="196"/>
      <c r="J5" s="124" t="s">
        <v>64</v>
      </c>
      <c r="K5" s="73"/>
      <c r="L5" s="73"/>
      <c r="M5" s="197" t="b">
        <v>0</v>
      </c>
      <c r="N5" s="73"/>
    </row>
    <row r="6">
      <c r="A6" s="73"/>
      <c r="G6" s="73"/>
      <c r="H6" s="73"/>
      <c r="I6" s="196"/>
      <c r="J6" s="124" t="s">
        <v>65</v>
      </c>
      <c r="K6" s="73"/>
      <c r="L6" s="73"/>
      <c r="M6" s="197" t="b">
        <v>0</v>
      </c>
      <c r="N6" s="73"/>
    </row>
    <row r="7">
      <c r="A7" s="73"/>
      <c r="B7" s="73"/>
      <c r="C7" s="73"/>
      <c r="D7" s="73"/>
      <c r="E7" s="73"/>
      <c r="F7" s="73"/>
      <c r="G7" s="73"/>
      <c r="H7" s="73"/>
      <c r="I7" s="73"/>
      <c r="J7" s="124"/>
      <c r="K7" s="73"/>
      <c r="L7" s="73"/>
      <c r="M7" s="73"/>
      <c r="N7" s="73"/>
    </row>
    <row r="8">
      <c r="A8" s="73"/>
      <c r="B8" s="69" t="s">
        <v>60</v>
      </c>
      <c r="C8" s="73"/>
      <c r="D8" s="73"/>
      <c r="E8" s="73"/>
      <c r="F8" s="73"/>
      <c r="G8" s="73"/>
      <c r="H8" s="73"/>
      <c r="N8" s="73"/>
    </row>
    <row r="9">
      <c r="A9" s="73"/>
      <c r="B9" s="70" t="s">
        <v>380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</row>
    <row r="10">
      <c r="A10" s="73"/>
      <c r="B10" s="73"/>
      <c r="C10" s="73"/>
      <c r="D10" s="73"/>
      <c r="E10" s="348"/>
      <c r="F10" s="73"/>
      <c r="G10" s="73"/>
      <c r="H10" s="73"/>
      <c r="I10" s="73"/>
      <c r="J10" s="73"/>
      <c r="K10" s="73"/>
      <c r="L10" s="73"/>
      <c r="M10" s="73"/>
      <c r="N10" s="73"/>
    </row>
    <row r="11">
      <c r="A11" s="73"/>
      <c r="B11" s="215" t="s">
        <v>381</v>
      </c>
      <c r="C11" s="73"/>
      <c r="D11" s="196"/>
      <c r="E11" s="285" t="s">
        <v>511</v>
      </c>
      <c r="H11" s="73"/>
      <c r="I11" s="73"/>
      <c r="J11" s="73"/>
      <c r="K11" s="73"/>
      <c r="L11" s="73"/>
      <c r="M11" s="73"/>
      <c r="N11" s="73"/>
    </row>
    <row r="12">
      <c r="A12" s="73"/>
      <c r="B12" s="73"/>
      <c r="C12" s="73"/>
      <c r="D12" s="73"/>
      <c r="E12" s="200"/>
      <c r="F12" s="200"/>
      <c r="G12" s="200"/>
      <c r="H12" s="73"/>
      <c r="I12" s="196"/>
      <c r="J12" s="124" t="s">
        <v>383</v>
      </c>
      <c r="K12" s="85"/>
      <c r="L12" s="85"/>
      <c r="M12" s="202" t="s">
        <v>384</v>
      </c>
      <c r="N12" s="73"/>
    </row>
    <row r="13">
      <c r="A13" s="73"/>
      <c r="B13" s="215" t="s">
        <v>385</v>
      </c>
      <c r="C13" s="73"/>
      <c r="D13" s="196"/>
      <c r="E13" s="209" t="s">
        <v>386</v>
      </c>
      <c r="G13" s="205"/>
      <c r="H13" s="73"/>
      <c r="I13" s="196"/>
      <c r="J13" s="124" t="s">
        <v>387</v>
      </c>
      <c r="K13" s="85"/>
      <c r="L13" s="85"/>
      <c r="M13" s="202" t="s">
        <v>384</v>
      </c>
      <c r="N13" s="73"/>
    </row>
    <row r="14">
      <c r="A14" s="73"/>
      <c r="B14" s="73"/>
      <c r="C14" s="73"/>
      <c r="D14" s="73"/>
      <c r="E14" s="200"/>
      <c r="F14" s="200"/>
      <c r="G14" s="200"/>
      <c r="H14" s="73"/>
      <c r="I14" s="196"/>
      <c r="J14" s="124" t="s">
        <v>386</v>
      </c>
      <c r="K14" s="85"/>
      <c r="L14" s="85"/>
      <c r="M14" s="202" t="s">
        <v>384</v>
      </c>
      <c r="N14" s="73"/>
    </row>
    <row r="15">
      <c r="A15" s="73"/>
      <c r="B15" s="215" t="s">
        <v>388</v>
      </c>
      <c r="C15" s="73"/>
      <c r="D15" s="196"/>
      <c r="E15" s="285" t="s">
        <v>512</v>
      </c>
      <c r="H15" s="207"/>
      <c r="I15" s="207"/>
      <c r="J15" s="208"/>
      <c r="K15" s="208"/>
      <c r="L15" s="208"/>
      <c r="M15" s="208"/>
      <c r="N15" s="73"/>
    </row>
    <row r="16">
      <c r="A16" s="73"/>
      <c r="B16" s="73"/>
      <c r="C16" s="73"/>
      <c r="D16" s="73"/>
      <c r="E16" s="200"/>
      <c r="F16" s="200"/>
      <c r="G16" s="200"/>
      <c r="H16" s="73"/>
      <c r="I16" s="196"/>
      <c r="J16" s="124" t="s">
        <v>390</v>
      </c>
      <c r="K16" s="85"/>
      <c r="L16" s="85"/>
      <c r="M16" s="202" t="s">
        <v>384</v>
      </c>
      <c r="N16" s="73"/>
    </row>
    <row r="17">
      <c r="A17" s="73"/>
      <c r="B17" s="215" t="s">
        <v>391</v>
      </c>
      <c r="C17" s="73"/>
      <c r="D17" s="196"/>
      <c r="E17" s="209" t="s">
        <v>392</v>
      </c>
      <c r="G17" s="205"/>
      <c r="H17" s="73"/>
      <c r="I17" s="196"/>
      <c r="J17" s="124" t="s">
        <v>392</v>
      </c>
      <c r="K17" s="85"/>
      <c r="L17" s="85"/>
      <c r="M17" s="202" t="s">
        <v>384</v>
      </c>
      <c r="N17" s="73"/>
    </row>
    <row r="18">
      <c r="A18" s="73"/>
      <c r="B18" s="220"/>
      <c r="C18" s="308"/>
      <c r="D18" s="308"/>
      <c r="E18" s="205"/>
      <c r="F18" s="200"/>
      <c r="G18" s="200"/>
      <c r="H18" s="73"/>
      <c r="I18" s="196"/>
      <c r="J18" s="211" t="s">
        <v>393</v>
      </c>
      <c r="K18" s="212"/>
      <c r="L18" s="212"/>
      <c r="M18" s="213" t="s">
        <v>384</v>
      </c>
      <c r="N18" s="73"/>
    </row>
    <row r="19">
      <c r="A19" s="73"/>
      <c r="B19" s="215" t="s">
        <v>394</v>
      </c>
      <c r="C19" s="73"/>
      <c r="D19" s="196"/>
      <c r="E19" s="285" t="s">
        <v>486</v>
      </c>
      <c r="H19" s="73"/>
      <c r="I19" s="73"/>
      <c r="J19" s="214" t="s">
        <v>396</v>
      </c>
      <c r="N19" s="73"/>
    </row>
    <row r="20">
      <c r="A20" s="73"/>
      <c r="B20" s="73"/>
      <c r="C20" s="73"/>
      <c r="D20" s="73"/>
      <c r="E20" s="200"/>
      <c r="F20" s="200"/>
      <c r="G20" s="200"/>
      <c r="H20" s="73"/>
      <c r="I20" s="196"/>
      <c r="J20" s="124" t="s">
        <v>397</v>
      </c>
      <c r="K20" s="85"/>
      <c r="L20" s="85"/>
      <c r="M20" s="202" t="s">
        <v>384</v>
      </c>
      <c r="N20" s="73"/>
    </row>
    <row r="21">
      <c r="A21" s="73"/>
      <c r="B21" s="215" t="s">
        <v>398</v>
      </c>
      <c r="C21" s="73"/>
      <c r="D21" s="196"/>
      <c r="E21" s="209" t="s">
        <v>400</v>
      </c>
      <c r="G21" s="205"/>
      <c r="H21" s="73"/>
      <c r="I21" s="196"/>
      <c r="J21" s="124" t="s">
        <v>399</v>
      </c>
      <c r="K21" s="85"/>
      <c r="L21" s="85"/>
      <c r="M21" s="202" t="s">
        <v>384</v>
      </c>
      <c r="N21" s="73"/>
    </row>
    <row r="22">
      <c r="A22" s="73"/>
      <c r="B22" s="73"/>
      <c r="C22" s="73"/>
      <c r="D22" s="73"/>
      <c r="E22" s="200"/>
      <c r="F22" s="200"/>
      <c r="G22" s="200"/>
      <c r="H22" s="73"/>
      <c r="I22" s="196"/>
      <c r="J22" s="124" t="s">
        <v>400</v>
      </c>
      <c r="K22" s="85"/>
      <c r="L22" s="85"/>
      <c r="M22" s="202" t="s">
        <v>384</v>
      </c>
      <c r="N22" s="73"/>
    </row>
    <row r="23">
      <c r="A23" s="73"/>
      <c r="B23" s="215" t="s">
        <v>401</v>
      </c>
      <c r="C23" s="73"/>
      <c r="D23" s="196"/>
      <c r="E23" s="285" t="s">
        <v>470</v>
      </c>
      <c r="H23" s="73"/>
      <c r="I23" s="73"/>
      <c r="J23" s="73"/>
      <c r="K23" s="73"/>
      <c r="L23" s="73"/>
      <c r="M23" s="73"/>
      <c r="N23" s="73"/>
    </row>
    <row r="24">
      <c r="A24" s="73"/>
      <c r="B24" s="73"/>
      <c r="C24" s="73"/>
      <c r="D24" s="73"/>
      <c r="E24" s="200"/>
      <c r="F24" s="200"/>
      <c r="G24" s="200"/>
      <c r="H24" s="73"/>
      <c r="I24" s="73"/>
      <c r="J24" s="73"/>
      <c r="K24" s="73"/>
      <c r="L24" s="73"/>
      <c r="M24" s="73"/>
      <c r="N24" s="73"/>
    </row>
    <row r="25">
      <c r="A25" s="73"/>
      <c r="B25" s="215" t="s">
        <v>403</v>
      </c>
      <c r="C25" s="73"/>
      <c r="D25" s="196"/>
      <c r="E25" s="285" t="s">
        <v>513</v>
      </c>
      <c r="H25" s="73"/>
      <c r="I25" s="73"/>
      <c r="J25" s="73"/>
      <c r="K25" s="73"/>
      <c r="L25" s="73"/>
      <c r="M25" s="73"/>
      <c r="N25" s="73"/>
    </row>
    <row r="26">
      <c r="A26" s="73"/>
      <c r="B26" s="73"/>
      <c r="C26" s="73"/>
      <c r="D26" s="73"/>
      <c r="E26" s="333"/>
      <c r="F26" s="333"/>
      <c r="G26" s="333"/>
      <c r="H26" s="73"/>
      <c r="I26" s="73"/>
      <c r="J26" s="73"/>
      <c r="K26" s="73"/>
      <c r="L26" s="73"/>
      <c r="M26" s="73"/>
      <c r="N26" s="73"/>
    </row>
    <row r="27">
      <c r="A27" s="73"/>
      <c r="B27" s="215" t="s">
        <v>405</v>
      </c>
      <c r="C27" s="73"/>
      <c r="D27" s="196"/>
      <c r="E27" s="334" t="s">
        <v>188</v>
      </c>
      <c r="F27" s="335" t="s">
        <v>406</v>
      </c>
      <c r="G27" s="335" t="s">
        <v>407</v>
      </c>
      <c r="H27" s="218" t="s">
        <v>408</v>
      </c>
      <c r="I27" s="219"/>
      <c r="J27" s="220"/>
      <c r="K27" s="220"/>
      <c r="L27" s="221"/>
      <c r="M27" s="73"/>
      <c r="N27" s="73"/>
    </row>
    <row r="28">
      <c r="A28" s="73"/>
      <c r="B28" s="222" t="s">
        <v>409</v>
      </c>
      <c r="D28" s="196"/>
      <c r="E28" s="229" t="s">
        <v>472</v>
      </c>
      <c r="F28" s="229" t="s">
        <v>473</v>
      </c>
      <c r="G28" s="229" t="s">
        <v>410</v>
      </c>
      <c r="H28" s="77"/>
      <c r="J28" s="220"/>
      <c r="K28" s="196"/>
      <c r="L28" s="124" t="s">
        <v>39</v>
      </c>
      <c r="M28" s="202" t="s">
        <v>384</v>
      </c>
      <c r="N28" s="73"/>
    </row>
    <row r="29">
      <c r="A29" s="73"/>
      <c r="D29" s="196"/>
      <c r="E29" s="229" t="s">
        <v>153</v>
      </c>
      <c r="F29" s="229" t="s">
        <v>474</v>
      </c>
      <c r="G29" s="229" t="s">
        <v>411</v>
      </c>
      <c r="H29" s="77"/>
      <c r="J29" s="220"/>
      <c r="K29" s="196"/>
      <c r="L29" s="124" t="s">
        <v>410</v>
      </c>
      <c r="M29" s="73"/>
      <c r="N29" s="73"/>
    </row>
    <row r="30">
      <c r="A30" s="73"/>
      <c r="B30" s="73"/>
      <c r="C30" s="73"/>
      <c r="D30" s="196"/>
      <c r="E30" s="229" t="s">
        <v>167</v>
      </c>
      <c r="F30" s="229" t="s">
        <v>226</v>
      </c>
      <c r="G30" s="229" t="s">
        <v>44</v>
      </c>
      <c r="H30" s="77"/>
      <c r="J30" s="220"/>
      <c r="K30" s="196"/>
      <c r="L30" s="124" t="s">
        <v>411</v>
      </c>
      <c r="M30" s="73"/>
      <c r="N30" s="73"/>
    </row>
    <row r="31">
      <c r="A31" s="73"/>
      <c r="B31" s="73"/>
      <c r="C31" s="73"/>
      <c r="D31" s="196"/>
      <c r="E31" s="314"/>
      <c r="F31" s="315"/>
      <c r="G31" s="316"/>
      <c r="H31" s="77"/>
      <c r="J31" s="220"/>
      <c r="K31" s="196"/>
      <c r="L31" s="124" t="s">
        <v>43</v>
      </c>
      <c r="M31" s="73"/>
      <c r="N31" s="73"/>
    </row>
    <row r="32">
      <c r="A32" s="73"/>
      <c r="B32" s="73"/>
      <c r="C32" s="73"/>
      <c r="D32" s="196"/>
      <c r="E32" s="314"/>
      <c r="F32" s="316"/>
      <c r="G32" s="316"/>
      <c r="H32" s="77"/>
      <c r="J32" s="73"/>
      <c r="K32" s="196"/>
      <c r="L32" s="124" t="s">
        <v>44</v>
      </c>
      <c r="M32" s="73"/>
      <c r="N32" s="73"/>
    </row>
    <row r="33">
      <c r="A33" s="73"/>
      <c r="B33" s="73"/>
      <c r="C33" s="73"/>
      <c r="D33" s="196"/>
      <c r="E33" s="314"/>
      <c r="F33" s="315"/>
      <c r="G33" s="316"/>
      <c r="H33" s="77"/>
      <c r="J33" s="73"/>
      <c r="K33" s="73"/>
      <c r="L33" s="73"/>
      <c r="M33" s="73"/>
      <c r="N33" s="73"/>
    </row>
    <row r="34">
      <c r="A34" s="73"/>
      <c r="B34" s="73"/>
      <c r="C34" s="73"/>
      <c r="D34" s="196"/>
      <c r="E34" s="314"/>
      <c r="F34" s="315"/>
      <c r="G34" s="315"/>
      <c r="H34" s="77"/>
      <c r="J34" s="73"/>
      <c r="K34" s="73"/>
      <c r="L34" s="73"/>
      <c r="M34" s="73"/>
      <c r="N34" s="73"/>
    </row>
    <row r="35">
      <c r="A35" s="73"/>
      <c r="B35" s="215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</row>
    <row r="36">
      <c r="A36" s="73"/>
      <c r="B36" s="215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</row>
    <row r="37">
      <c r="A37" s="73"/>
      <c r="B37" s="215" t="s">
        <v>412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</row>
    <row r="38">
      <c r="A38" s="73"/>
      <c r="B38" s="124" t="s">
        <v>475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</row>
    <row r="39">
      <c r="A39" s="73"/>
      <c r="B39" s="215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</row>
    <row r="40">
      <c r="A40" s="73"/>
      <c r="B40" s="215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</row>
    <row r="41">
      <c r="A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</row>
    <row r="42">
      <c r="A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</row>
    <row r="47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</row>
    <row r="48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</row>
    <row r="49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</row>
    <row r="50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</row>
    <row r="5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</row>
  </sheetData>
  <mergeCells count="19">
    <mergeCell ref="B5:F6"/>
    <mergeCell ref="E11:G11"/>
    <mergeCell ref="E13:F13"/>
    <mergeCell ref="E15:G15"/>
    <mergeCell ref="E17:F17"/>
    <mergeCell ref="E19:G19"/>
    <mergeCell ref="J19:M19"/>
    <mergeCell ref="H30:I30"/>
    <mergeCell ref="H31:I31"/>
    <mergeCell ref="H32:I32"/>
    <mergeCell ref="H33:I33"/>
    <mergeCell ref="H34:I34"/>
    <mergeCell ref="E21:F21"/>
    <mergeCell ref="E23:G23"/>
    <mergeCell ref="E25:G25"/>
    <mergeCell ref="H27:I27"/>
    <mergeCell ref="B28:C29"/>
    <mergeCell ref="H28:I28"/>
    <mergeCell ref="H29:I29"/>
  </mergeCells>
  <dataValidations>
    <dataValidation type="list" allowBlank="1" showInputMessage="1" showErrorMessage="1" prompt="Clique e insira um valor de intervalo Página1!I9:I11" sqref="E17">
      <formula1>$J$16:$J$18</formula1>
    </dataValidation>
    <dataValidation type="list" allowBlank="1" showInputMessage="1" showErrorMessage="1" prompt="Clique e insira um valor de intervalo Página1!I9:I11" sqref="E13">
      <formula1>$J$12:$J$14</formula1>
    </dataValidation>
    <dataValidation type="list" allowBlank="1" showInputMessage="1" showErrorMessage="1" prompt="Clique e insira um valor de intervalo Página1!I9:I11" sqref="E21">
      <formula1>$J$20:$J$22</formula1>
    </dataValidation>
    <dataValidation type="list" allowBlank="1" showInputMessage="1" prompt="Clique e insira um valor de intervalo" sqref="G28:G34">
      <formula1>$L$28:$L$32</formula1>
    </dataValidation>
  </dataValidations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3" width="18.88"/>
    <col customWidth="1" min="4" max="4" width="31.38"/>
    <col customWidth="1" min="5" max="5" width="18.88"/>
    <col customWidth="1" min="6" max="7" width="12.63"/>
    <col customWidth="1" min="8" max="8" width="31.38"/>
    <col customWidth="1" min="9" max="10" width="5.13"/>
  </cols>
  <sheetData>
    <row r="1" ht="11.25" customHeight="1">
      <c r="A1" s="68"/>
      <c r="B1" s="68"/>
      <c r="C1" s="68"/>
      <c r="D1" s="68"/>
      <c r="E1" s="68"/>
      <c r="F1" s="81"/>
      <c r="G1" s="68"/>
      <c r="H1" s="68"/>
      <c r="I1" s="68"/>
      <c r="J1" s="68"/>
    </row>
    <row r="2">
      <c r="A2" s="68"/>
      <c r="B2" s="69" t="s">
        <v>56</v>
      </c>
      <c r="C2" s="69"/>
      <c r="D2" s="73"/>
      <c r="E2" s="73"/>
      <c r="F2" s="86"/>
      <c r="G2" s="68"/>
      <c r="H2" s="68"/>
      <c r="I2" s="68"/>
      <c r="J2" s="68"/>
    </row>
    <row r="3">
      <c r="A3" s="68"/>
      <c r="B3" s="70" t="s">
        <v>57</v>
      </c>
      <c r="C3" s="70"/>
      <c r="D3" s="73"/>
      <c r="E3" s="73"/>
      <c r="F3" s="86"/>
      <c r="G3" s="68"/>
      <c r="H3" s="68"/>
      <c r="I3" s="68"/>
      <c r="J3" s="68"/>
    </row>
    <row r="4">
      <c r="A4" s="68"/>
      <c r="B4" s="71" t="s">
        <v>476</v>
      </c>
      <c r="C4" s="71"/>
      <c r="D4" s="73"/>
      <c r="E4" s="73"/>
      <c r="F4" s="86"/>
      <c r="G4" s="68"/>
      <c r="H4" s="68"/>
      <c r="I4" s="68"/>
      <c r="J4" s="68"/>
    </row>
    <row r="5">
      <c r="A5" s="68"/>
      <c r="B5" s="72" t="s">
        <v>59</v>
      </c>
      <c r="E5" s="72"/>
      <c r="F5" s="72"/>
      <c r="G5" s="82"/>
      <c r="H5" s="68"/>
      <c r="I5" s="68"/>
      <c r="J5" s="68"/>
    </row>
    <row r="6">
      <c r="A6" s="68"/>
      <c r="E6" s="72"/>
      <c r="F6" s="72"/>
      <c r="G6" s="82"/>
      <c r="H6" s="68"/>
      <c r="I6" s="68"/>
      <c r="J6" s="68"/>
    </row>
    <row r="7">
      <c r="A7" s="68"/>
      <c r="B7" s="73"/>
      <c r="C7" s="73"/>
      <c r="D7" s="73"/>
      <c r="E7" s="73"/>
      <c r="F7" s="86"/>
      <c r="G7" s="82"/>
      <c r="H7" s="68"/>
      <c r="I7" s="68"/>
      <c r="J7" s="68"/>
    </row>
    <row r="8">
      <c r="A8" s="68"/>
      <c r="B8" s="69" t="s">
        <v>60</v>
      </c>
      <c r="C8" s="69"/>
      <c r="D8" s="73"/>
      <c r="E8" s="233" t="s">
        <v>416</v>
      </c>
      <c r="F8" s="86"/>
      <c r="G8" s="233" t="s">
        <v>417</v>
      </c>
      <c r="H8" s="68"/>
      <c r="I8" s="68"/>
      <c r="J8" s="68"/>
    </row>
    <row r="9">
      <c r="A9" s="68"/>
      <c r="B9" s="70" t="s">
        <v>418</v>
      </c>
      <c r="C9" s="70"/>
      <c r="D9" s="73"/>
      <c r="E9" s="234"/>
      <c r="F9" s="86"/>
      <c r="G9" s="234"/>
      <c r="H9" s="68"/>
      <c r="I9" s="68"/>
      <c r="J9" s="68"/>
    </row>
    <row r="10">
      <c r="A10" s="68"/>
      <c r="B10" s="68"/>
      <c r="C10" s="68"/>
      <c r="D10" s="68"/>
      <c r="E10" s="235"/>
      <c r="F10" s="81"/>
      <c r="G10" s="235"/>
      <c r="H10" s="68"/>
      <c r="I10" s="68"/>
      <c r="J10" s="68"/>
    </row>
    <row r="11">
      <c r="A11" s="68"/>
      <c r="B11" s="74" t="s">
        <v>62</v>
      </c>
      <c r="C11" s="74" t="s">
        <v>74</v>
      </c>
      <c r="D11" s="74" t="s">
        <v>419</v>
      </c>
      <c r="E11" s="74" t="s">
        <v>420</v>
      </c>
      <c r="F11" s="183" t="s">
        <v>421</v>
      </c>
      <c r="G11" s="183" t="s">
        <v>422</v>
      </c>
      <c r="H11" s="74" t="s">
        <v>423</v>
      </c>
      <c r="I11" s="76"/>
      <c r="J11" s="68"/>
    </row>
    <row r="12">
      <c r="A12" s="68"/>
      <c r="B12" s="321" t="s">
        <v>54</v>
      </c>
      <c r="C12" s="321" t="s">
        <v>514</v>
      </c>
      <c r="D12" s="322" t="s">
        <v>515</v>
      </c>
      <c r="E12" s="321" t="s">
        <v>516</v>
      </c>
      <c r="F12" s="324">
        <v>45024.0</v>
      </c>
      <c r="G12" s="324">
        <v>45351.0</v>
      </c>
      <c r="H12" s="100"/>
      <c r="I12" s="68"/>
      <c r="J12" s="68"/>
    </row>
    <row r="13">
      <c r="A13" s="68"/>
      <c r="B13" s="243" t="s">
        <v>54</v>
      </c>
      <c r="C13" s="243" t="s">
        <v>517</v>
      </c>
      <c r="D13" s="244" t="s">
        <v>518</v>
      </c>
      <c r="E13" s="243" t="s">
        <v>519</v>
      </c>
      <c r="F13" s="245">
        <v>45148.0</v>
      </c>
      <c r="G13" s="245">
        <v>45383.0</v>
      </c>
      <c r="H13" s="100"/>
      <c r="I13" s="68"/>
      <c r="J13" s="68"/>
    </row>
    <row r="14">
      <c r="A14" s="68"/>
      <c r="B14" s="243" t="s">
        <v>54</v>
      </c>
      <c r="C14" s="244" t="s">
        <v>520</v>
      </c>
      <c r="D14" s="244" t="s">
        <v>521</v>
      </c>
      <c r="E14" s="243" t="s">
        <v>522</v>
      </c>
      <c r="F14" s="245">
        <v>45383.0</v>
      </c>
      <c r="G14" s="245">
        <v>45444.0</v>
      </c>
      <c r="H14" s="100"/>
      <c r="I14" s="68"/>
      <c r="J14" s="68"/>
    </row>
    <row r="15">
      <c r="A15" s="68"/>
      <c r="B15" s="243" t="s">
        <v>54</v>
      </c>
      <c r="C15" s="244" t="s">
        <v>523</v>
      </c>
      <c r="D15" s="244" t="s">
        <v>524</v>
      </c>
      <c r="E15" s="243" t="s">
        <v>525</v>
      </c>
      <c r="F15" s="245">
        <v>45383.0</v>
      </c>
      <c r="G15" s="245">
        <v>45444.0</v>
      </c>
      <c r="H15" s="100"/>
      <c r="I15" s="68"/>
      <c r="J15" s="68"/>
    </row>
    <row r="16">
      <c r="A16" s="68"/>
      <c r="B16" s="243" t="s">
        <v>54</v>
      </c>
      <c r="C16" s="243" t="s">
        <v>526</v>
      </c>
      <c r="D16" s="244" t="s">
        <v>527</v>
      </c>
      <c r="E16" s="244" t="s">
        <v>528</v>
      </c>
      <c r="F16" s="245">
        <v>45383.0</v>
      </c>
      <c r="G16" s="245">
        <v>45444.0</v>
      </c>
      <c r="H16" s="100"/>
      <c r="I16" s="68"/>
      <c r="J16" s="68"/>
    </row>
    <row r="17">
      <c r="A17" s="68"/>
      <c r="B17" s="243" t="s">
        <v>54</v>
      </c>
      <c r="C17" s="244" t="s">
        <v>529</v>
      </c>
      <c r="D17" s="244" t="s">
        <v>530</v>
      </c>
      <c r="E17" s="243" t="s">
        <v>531</v>
      </c>
      <c r="F17" s="340">
        <v>45170.0</v>
      </c>
      <c r="G17" s="245">
        <v>45536.0</v>
      </c>
      <c r="H17" s="100"/>
      <c r="I17" s="68"/>
      <c r="J17" s="68"/>
    </row>
    <row r="18">
      <c r="A18" s="68"/>
      <c r="B18" s="243" t="s">
        <v>54</v>
      </c>
      <c r="C18" s="244" t="s">
        <v>532</v>
      </c>
      <c r="D18" s="244" t="s">
        <v>533</v>
      </c>
      <c r="E18" s="244" t="s">
        <v>534</v>
      </c>
      <c r="F18" s="245">
        <v>45268.0</v>
      </c>
      <c r="G18" s="245">
        <v>45536.0</v>
      </c>
      <c r="H18" s="100"/>
      <c r="I18" s="68"/>
      <c r="J18" s="68"/>
    </row>
  </sheetData>
  <mergeCells count="3">
    <mergeCell ref="B5:D6"/>
    <mergeCell ref="E8:E9"/>
    <mergeCell ref="G8:G9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6.38"/>
    <col customWidth="1" min="3" max="6" width="18.88"/>
    <col customWidth="1" min="8" max="8" width="10.13"/>
    <col customWidth="1" min="10" max="10" width="30.38"/>
    <col customWidth="1" min="11" max="12" width="5.13"/>
  </cols>
  <sheetData>
    <row r="1" ht="11.25" customHeight="1">
      <c r="A1" s="68"/>
      <c r="B1" s="68"/>
      <c r="C1" s="68"/>
      <c r="D1" s="68"/>
      <c r="E1" s="68"/>
      <c r="F1" s="68"/>
      <c r="G1" s="81"/>
      <c r="H1" s="82"/>
      <c r="I1" s="68"/>
      <c r="J1" s="68"/>
      <c r="K1" s="68"/>
      <c r="L1" s="68"/>
    </row>
    <row r="2">
      <c r="A2" s="68"/>
      <c r="B2" s="69" t="s">
        <v>56</v>
      </c>
      <c r="C2" s="73"/>
      <c r="D2" s="73"/>
      <c r="E2" s="73"/>
      <c r="F2" s="73"/>
      <c r="G2" s="86"/>
      <c r="H2" s="82"/>
      <c r="I2" s="68"/>
      <c r="J2" s="68"/>
      <c r="K2" s="68"/>
      <c r="L2" s="68"/>
    </row>
    <row r="3">
      <c r="A3" s="68"/>
      <c r="B3" s="70" t="s">
        <v>57</v>
      </c>
      <c r="C3" s="73"/>
      <c r="D3" s="73"/>
      <c r="E3" s="73"/>
      <c r="F3" s="73"/>
      <c r="G3" s="86"/>
      <c r="H3" s="82"/>
      <c r="I3" s="68"/>
      <c r="J3" s="68"/>
      <c r="K3" s="68"/>
      <c r="L3" s="68"/>
    </row>
    <row r="4">
      <c r="A4" s="68"/>
      <c r="B4" s="71" t="s">
        <v>535</v>
      </c>
      <c r="C4" s="73"/>
      <c r="D4" s="73"/>
      <c r="E4" s="73"/>
      <c r="F4" s="73"/>
      <c r="G4" s="86"/>
      <c r="H4" s="82"/>
      <c r="I4" s="68"/>
      <c r="J4" s="68"/>
      <c r="K4" s="68"/>
      <c r="L4" s="68"/>
    </row>
    <row r="5">
      <c r="A5" s="68"/>
      <c r="B5" s="117" t="s">
        <v>59</v>
      </c>
      <c r="E5" s="117"/>
      <c r="F5" s="117"/>
      <c r="G5" s="117"/>
      <c r="H5" s="82"/>
      <c r="I5" s="68"/>
      <c r="J5" s="68"/>
      <c r="K5" s="68"/>
      <c r="L5" s="68"/>
    </row>
    <row r="6">
      <c r="A6" s="68"/>
      <c r="E6" s="117"/>
      <c r="F6" s="117"/>
      <c r="G6" s="117"/>
      <c r="H6" s="82"/>
      <c r="I6" s="88" t="s">
        <v>68</v>
      </c>
      <c r="J6" s="68"/>
      <c r="K6" s="68"/>
      <c r="L6" s="68"/>
    </row>
    <row r="7">
      <c r="A7" s="68"/>
      <c r="B7" s="73"/>
      <c r="C7" s="73"/>
      <c r="D7" s="73"/>
      <c r="E7" s="73"/>
      <c r="F7" s="73"/>
      <c r="G7" s="86"/>
      <c r="H7" s="82"/>
      <c r="I7" s="88" t="s">
        <v>69</v>
      </c>
      <c r="J7" s="68"/>
      <c r="K7" s="68"/>
      <c r="L7" s="68"/>
    </row>
    <row r="8">
      <c r="A8" s="68"/>
      <c r="B8" s="69" t="s">
        <v>60</v>
      </c>
      <c r="C8" s="73"/>
      <c r="D8" s="73"/>
      <c r="E8" s="73"/>
      <c r="F8" s="73"/>
      <c r="G8" s="86"/>
      <c r="H8" s="82"/>
      <c r="I8" s="88" t="s">
        <v>70</v>
      </c>
      <c r="J8" s="68"/>
      <c r="K8" s="68"/>
      <c r="L8" s="68"/>
    </row>
    <row r="9">
      <c r="A9" s="68"/>
      <c r="B9" s="70" t="s">
        <v>71</v>
      </c>
      <c r="C9" s="73"/>
      <c r="D9" s="73"/>
      <c r="E9" s="73"/>
      <c r="F9" s="73"/>
      <c r="G9" s="86"/>
      <c r="H9" s="82"/>
      <c r="I9" s="88" t="s">
        <v>72</v>
      </c>
      <c r="J9" s="68"/>
      <c r="K9" s="68"/>
      <c r="L9" s="68"/>
    </row>
    <row r="10">
      <c r="A10" s="68"/>
      <c r="B10" s="68"/>
      <c r="C10" s="68"/>
      <c r="D10" s="68"/>
      <c r="E10" s="68"/>
      <c r="F10" s="68"/>
      <c r="G10" s="81"/>
      <c r="H10" s="82"/>
      <c r="I10" s="90"/>
      <c r="J10" s="68"/>
      <c r="K10" s="68"/>
      <c r="L10" s="68"/>
    </row>
    <row r="11">
      <c r="A11" s="68"/>
      <c r="B11" s="74" t="s">
        <v>73</v>
      </c>
      <c r="C11" s="74" t="s">
        <v>62</v>
      </c>
      <c r="D11" s="74" t="s">
        <v>74</v>
      </c>
      <c r="E11" s="74" t="s">
        <v>75</v>
      </c>
      <c r="F11" s="74" t="s">
        <v>76</v>
      </c>
      <c r="G11" s="184" t="s">
        <v>77</v>
      </c>
      <c r="H11" s="246" t="s">
        <v>78</v>
      </c>
      <c r="I11" s="74" t="s">
        <v>79</v>
      </c>
      <c r="J11" s="74" t="s">
        <v>80</v>
      </c>
      <c r="K11" s="76"/>
      <c r="L11" s="68"/>
    </row>
    <row r="12">
      <c r="A12" s="68"/>
      <c r="B12" s="77"/>
      <c r="C12" s="236" t="s">
        <v>54</v>
      </c>
      <c r="D12" s="322" t="s">
        <v>165</v>
      </c>
      <c r="E12" s="236" t="s">
        <v>153</v>
      </c>
      <c r="F12" s="323"/>
      <c r="G12" s="324">
        <v>45321.0</v>
      </c>
      <c r="H12" s="325">
        <v>8.0</v>
      </c>
      <c r="I12" s="236" t="s">
        <v>70</v>
      </c>
      <c r="J12" s="322" t="s">
        <v>166</v>
      </c>
      <c r="K12" s="68"/>
      <c r="L12" s="68"/>
    </row>
    <row r="13">
      <c r="A13" s="68"/>
      <c r="B13" s="77"/>
      <c r="C13" s="77"/>
      <c r="D13" s="244" t="s">
        <v>165</v>
      </c>
      <c r="E13" s="349" t="s">
        <v>167</v>
      </c>
      <c r="F13" s="346"/>
      <c r="G13" s="245">
        <v>45321.0</v>
      </c>
      <c r="H13" s="347">
        <v>8.0</v>
      </c>
      <c r="I13" s="239" t="s">
        <v>70</v>
      </c>
      <c r="J13" s="244" t="s">
        <v>166</v>
      </c>
      <c r="K13" s="68"/>
      <c r="L13" s="68"/>
    </row>
    <row r="14">
      <c r="A14" s="68"/>
      <c r="B14" s="77"/>
      <c r="C14" s="77" t="s">
        <v>54</v>
      </c>
      <c r="D14" s="244" t="s">
        <v>165</v>
      </c>
      <c r="E14" s="239" t="s">
        <v>153</v>
      </c>
      <c r="F14" s="346"/>
      <c r="G14" s="245">
        <v>45334.0</v>
      </c>
      <c r="H14" s="347">
        <v>8.0</v>
      </c>
      <c r="I14" s="239" t="s">
        <v>70</v>
      </c>
      <c r="J14" s="244" t="s">
        <v>168</v>
      </c>
      <c r="K14" s="68"/>
      <c r="L14" s="68"/>
    </row>
    <row r="15">
      <c r="A15" s="68"/>
      <c r="B15" s="77"/>
      <c r="C15" s="77"/>
      <c r="D15" s="244" t="s">
        <v>165</v>
      </c>
      <c r="E15" s="349" t="s">
        <v>167</v>
      </c>
      <c r="F15" s="346"/>
      <c r="G15" s="245">
        <v>45334.0</v>
      </c>
      <c r="H15" s="347">
        <v>8.0</v>
      </c>
      <c r="I15" s="239" t="s">
        <v>70</v>
      </c>
      <c r="J15" s="244" t="s">
        <v>168</v>
      </c>
      <c r="K15" s="68"/>
      <c r="L15" s="68"/>
    </row>
    <row r="16">
      <c r="A16" s="68"/>
      <c r="B16" s="77"/>
      <c r="C16" s="77" t="s">
        <v>54</v>
      </c>
      <c r="D16" s="244" t="s">
        <v>165</v>
      </c>
      <c r="E16" s="239" t="s">
        <v>153</v>
      </c>
      <c r="F16" s="346"/>
      <c r="G16" s="245">
        <v>45379.0</v>
      </c>
      <c r="H16" s="347">
        <v>8.0</v>
      </c>
      <c r="I16" s="239" t="s">
        <v>70</v>
      </c>
      <c r="J16" s="244" t="s">
        <v>169</v>
      </c>
      <c r="K16" s="68"/>
      <c r="L16" s="68"/>
    </row>
    <row r="17">
      <c r="A17" s="68"/>
      <c r="B17" s="77"/>
      <c r="C17" s="77"/>
      <c r="D17" s="244" t="s">
        <v>165</v>
      </c>
      <c r="E17" s="349" t="s">
        <v>167</v>
      </c>
      <c r="F17" s="346"/>
      <c r="G17" s="245">
        <v>45379.0</v>
      </c>
      <c r="H17" s="347">
        <v>8.0</v>
      </c>
      <c r="I17" s="239" t="s">
        <v>70</v>
      </c>
      <c r="J17" s="244" t="s">
        <v>169</v>
      </c>
      <c r="K17" s="68"/>
      <c r="L17" s="68"/>
    </row>
    <row r="18">
      <c r="A18" s="68"/>
      <c r="B18" s="77"/>
      <c r="C18" s="77" t="s">
        <v>54</v>
      </c>
      <c r="D18" s="244" t="s">
        <v>165</v>
      </c>
      <c r="E18" s="239" t="s">
        <v>153</v>
      </c>
      <c r="F18" s="346"/>
      <c r="G18" s="245">
        <v>45391.0</v>
      </c>
      <c r="H18" s="347">
        <v>8.0</v>
      </c>
      <c r="I18" s="239" t="s">
        <v>70</v>
      </c>
      <c r="J18" s="244" t="s">
        <v>170</v>
      </c>
      <c r="K18" s="68"/>
      <c r="L18" s="68"/>
    </row>
    <row r="19">
      <c r="A19" s="68"/>
      <c r="B19" s="77"/>
      <c r="C19" s="77"/>
      <c r="D19" s="244" t="s">
        <v>165</v>
      </c>
      <c r="E19" s="349" t="s">
        <v>167</v>
      </c>
      <c r="F19" s="346"/>
      <c r="G19" s="245">
        <v>45391.0</v>
      </c>
      <c r="H19" s="347">
        <v>8.0</v>
      </c>
      <c r="I19" s="239" t="s">
        <v>70</v>
      </c>
      <c r="J19" s="244" t="s">
        <v>170</v>
      </c>
      <c r="K19" s="68"/>
      <c r="L19" s="68"/>
    </row>
    <row r="20">
      <c r="A20" s="68"/>
      <c r="B20" s="77"/>
      <c r="C20" s="77" t="s">
        <v>54</v>
      </c>
      <c r="D20" s="244" t="s">
        <v>165</v>
      </c>
      <c r="E20" s="239" t="s">
        <v>153</v>
      </c>
      <c r="F20" s="346"/>
      <c r="G20" s="245">
        <v>45394.0</v>
      </c>
      <c r="H20" s="347">
        <v>8.0</v>
      </c>
      <c r="I20" s="239" t="s">
        <v>70</v>
      </c>
      <c r="J20" s="244" t="s">
        <v>171</v>
      </c>
      <c r="K20" s="68"/>
      <c r="L20" s="68"/>
    </row>
    <row r="21">
      <c r="A21" s="68"/>
      <c r="B21" s="77"/>
      <c r="C21" s="77"/>
      <c r="D21" s="244" t="s">
        <v>165</v>
      </c>
      <c r="E21" s="349" t="s">
        <v>167</v>
      </c>
      <c r="F21" s="346"/>
      <c r="G21" s="245">
        <v>45394.0</v>
      </c>
      <c r="H21" s="347">
        <v>8.0</v>
      </c>
      <c r="I21" s="239" t="s">
        <v>70</v>
      </c>
      <c r="J21" s="244" t="s">
        <v>171</v>
      </c>
      <c r="K21" s="68"/>
      <c r="L21" s="68"/>
    </row>
    <row r="22">
      <c r="A22" s="68"/>
      <c r="B22" s="77"/>
      <c r="C22" s="77" t="s">
        <v>54</v>
      </c>
      <c r="D22" s="244" t="s">
        <v>165</v>
      </c>
      <c r="E22" s="239" t="s">
        <v>153</v>
      </c>
      <c r="F22" s="346"/>
      <c r="G22" s="245">
        <v>45411.0</v>
      </c>
      <c r="H22" s="347">
        <v>8.0</v>
      </c>
      <c r="I22" s="239" t="s">
        <v>70</v>
      </c>
      <c r="J22" s="244" t="s">
        <v>172</v>
      </c>
      <c r="K22" s="68"/>
      <c r="L22" s="68"/>
    </row>
    <row r="23">
      <c r="A23" s="68"/>
      <c r="B23" s="77"/>
      <c r="C23" s="77"/>
      <c r="D23" s="244" t="s">
        <v>165</v>
      </c>
      <c r="E23" s="349" t="s">
        <v>167</v>
      </c>
      <c r="F23" s="346"/>
      <c r="G23" s="245">
        <v>45411.0</v>
      </c>
      <c r="H23" s="347">
        <v>8.0</v>
      </c>
      <c r="I23" s="239" t="s">
        <v>70</v>
      </c>
      <c r="J23" s="244" t="s">
        <v>172</v>
      </c>
      <c r="K23" s="68"/>
      <c r="L23" s="68"/>
    </row>
    <row r="24">
      <c r="A24" s="68"/>
      <c r="B24" s="77"/>
      <c r="C24" s="77" t="s">
        <v>54</v>
      </c>
      <c r="D24" s="244" t="s">
        <v>165</v>
      </c>
      <c r="E24" s="239" t="s">
        <v>153</v>
      </c>
      <c r="F24" s="346"/>
      <c r="G24" s="245">
        <v>45447.0</v>
      </c>
      <c r="H24" s="347">
        <v>8.0</v>
      </c>
      <c r="I24" s="239" t="s">
        <v>70</v>
      </c>
      <c r="J24" s="244" t="s">
        <v>173</v>
      </c>
      <c r="K24" s="68"/>
      <c r="L24" s="68"/>
    </row>
    <row r="25">
      <c r="A25" s="68"/>
      <c r="B25" s="77"/>
      <c r="C25" s="77" t="s">
        <v>54</v>
      </c>
      <c r="D25" s="240" t="s">
        <v>165</v>
      </c>
      <c r="E25" s="239" t="s">
        <v>153</v>
      </c>
      <c r="F25" s="346"/>
      <c r="G25" s="241">
        <v>45447.0</v>
      </c>
      <c r="H25" s="350">
        <v>8.0</v>
      </c>
      <c r="I25" s="239" t="s">
        <v>69</v>
      </c>
      <c r="J25" s="240" t="s">
        <v>173</v>
      </c>
      <c r="K25" s="68"/>
      <c r="L25" s="68"/>
    </row>
    <row r="26">
      <c r="A26" s="68"/>
      <c r="B26" s="77"/>
      <c r="C26" s="77" t="s">
        <v>54</v>
      </c>
      <c r="D26" s="240" t="s">
        <v>165</v>
      </c>
      <c r="E26" s="349" t="s">
        <v>167</v>
      </c>
      <c r="F26" s="346"/>
      <c r="G26" s="241">
        <v>45447.0</v>
      </c>
      <c r="H26" s="350">
        <v>8.0</v>
      </c>
      <c r="I26" s="239" t="s">
        <v>69</v>
      </c>
      <c r="J26" s="240" t="s">
        <v>173</v>
      </c>
      <c r="K26" s="68"/>
      <c r="L26" s="68"/>
    </row>
    <row r="27">
      <c r="A27" s="68"/>
      <c r="B27" s="77"/>
      <c r="C27" s="77" t="s">
        <v>54</v>
      </c>
      <c r="D27" s="240" t="s">
        <v>165</v>
      </c>
      <c r="E27" s="239" t="s">
        <v>153</v>
      </c>
      <c r="F27" s="346"/>
      <c r="G27" s="241">
        <v>45489.0</v>
      </c>
      <c r="H27" s="350">
        <v>8.0</v>
      </c>
      <c r="I27" s="239" t="s">
        <v>69</v>
      </c>
      <c r="J27" s="240" t="s">
        <v>174</v>
      </c>
      <c r="K27" s="68"/>
      <c r="L27" s="68"/>
    </row>
    <row r="28">
      <c r="A28" s="68"/>
      <c r="B28" s="77"/>
      <c r="C28" s="77" t="s">
        <v>54</v>
      </c>
      <c r="D28" s="240" t="s">
        <v>165</v>
      </c>
      <c r="E28" s="349" t="s">
        <v>167</v>
      </c>
      <c r="F28" s="346"/>
      <c r="G28" s="241">
        <v>45489.0</v>
      </c>
      <c r="H28" s="350">
        <v>8.0</v>
      </c>
      <c r="I28" s="239" t="s">
        <v>69</v>
      </c>
      <c r="J28" s="240" t="s">
        <v>174</v>
      </c>
      <c r="K28" s="68"/>
      <c r="L28" s="68"/>
    </row>
    <row r="29">
      <c r="A29" s="68"/>
      <c r="B29" s="77"/>
      <c r="C29" s="77"/>
      <c r="D29" s="244"/>
      <c r="E29" s="239"/>
      <c r="F29" s="346"/>
      <c r="G29" s="245"/>
      <c r="H29" s="347"/>
      <c r="I29" s="239"/>
      <c r="J29" s="244"/>
      <c r="K29" s="68"/>
      <c r="L29" s="68"/>
    </row>
    <row r="30">
      <c r="A30" s="68"/>
      <c r="B30" s="77"/>
      <c r="C30" s="77" t="s">
        <v>54</v>
      </c>
      <c r="D30" s="240" t="s">
        <v>165</v>
      </c>
      <c r="E30" s="239" t="s">
        <v>153</v>
      </c>
      <c r="F30" s="346"/>
      <c r="G30" s="241">
        <v>45558.0</v>
      </c>
      <c r="H30" s="350">
        <v>8.0</v>
      </c>
      <c r="I30" s="239" t="s">
        <v>69</v>
      </c>
      <c r="J30" s="240" t="s">
        <v>175</v>
      </c>
      <c r="K30" s="68"/>
      <c r="L30" s="68"/>
    </row>
    <row r="31">
      <c r="A31" s="68"/>
      <c r="B31" s="77"/>
      <c r="C31" s="77" t="s">
        <v>54</v>
      </c>
      <c r="D31" s="240" t="s">
        <v>165</v>
      </c>
      <c r="E31" s="239" t="s">
        <v>167</v>
      </c>
      <c r="F31" s="346"/>
      <c r="G31" s="241">
        <v>45558.0</v>
      </c>
      <c r="H31" s="350">
        <v>8.0</v>
      </c>
      <c r="I31" s="239" t="s">
        <v>69</v>
      </c>
      <c r="J31" s="240" t="s">
        <v>175</v>
      </c>
      <c r="K31" s="68"/>
      <c r="L31" s="68"/>
    </row>
  </sheetData>
  <mergeCells count="1">
    <mergeCell ref="B5:D6"/>
  </mergeCells>
  <dataValidations>
    <dataValidation type="list" allowBlank="1" sqref="I12:I31">
      <formula1>$I$6:$I$9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5" width="18.88"/>
    <col customWidth="1" min="6" max="8" width="12.63"/>
    <col customWidth="1" min="9" max="10" width="31.38"/>
    <col customWidth="1" min="11" max="11" width="12.63"/>
    <col customWidth="1" min="12" max="12" width="5.13"/>
  </cols>
  <sheetData>
    <row r="1" ht="11.25" customHeight="1">
      <c r="A1" s="68"/>
      <c r="B1" s="68"/>
      <c r="C1" s="68"/>
      <c r="D1" s="68"/>
      <c r="E1" s="68"/>
      <c r="F1" s="68"/>
      <c r="G1" s="270"/>
      <c r="H1" s="81"/>
      <c r="I1" s="68"/>
      <c r="J1" s="68"/>
      <c r="K1" s="68"/>
      <c r="L1" s="68"/>
    </row>
    <row r="2">
      <c r="A2" s="68"/>
      <c r="B2" s="69" t="s">
        <v>56</v>
      </c>
      <c r="C2" s="73"/>
      <c r="D2" s="73"/>
      <c r="E2" s="73"/>
      <c r="F2" s="73"/>
      <c r="G2" s="271"/>
      <c r="H2" s="86"/>
      <c r="I2" s="68"/>
      <c r="J2" s="68"/>
      <c r="K2" s="68"/>
      <c r="L2" s="68"/>
    </row>
    <row r="3">
      <c r="A3" s="68"/>
      <c r="B3" s="70" t="s">
        <v>57</v>
      </c>
      <c r="C3" s="73"/>
      <c r="D3" s="73"/>
      <c r="E3" s="73"/>
      <c r="F3" s="73"/>
      <c r="G3" s="271"/>
      <c r="H3" s="86"/>
      <c r="I3" s="68"/>
      <c r="J3" s="68"/>
      <c r="K3" s="68"/>
      <c r="L3" s="68"/>
    </row>
    <row r="4">
      <c r="A4" s="68"/>
      <c r="B4" s="71" t="s">
        <v>476</v>
      </c>
      <c r="C4" s="73"/>
      <c r="D4" s="73"/>
      <c r="E4" s="73"/>
      <c r="F4" s="73"/>
      <c r="G4" s="271"/>
      <c r="H4" s="86"/>
      <c r="I4" s="68"/>
      <c r="J4" s="68"/>
      <c r="K4" s="68"/>
      <c r="L4" s="68"/>
    </row>
    <row r="5">
      <c r="A5" s="68"/>
      <c r="B5" s="117" t="s">
        <v>59</v>
      </c>
      <c r="E5" s="117"/>
      <c r="F5" s="117"/>
      <c r="G5" s="272"/>
      <c r="H5" s="117"/>
      <c r="I5" s="68"/>
      <c r="J5" s="68"/>
      <c r="K5" s="68"/>
      <c r="L5" s="68"/>
    </row>
    <row r="6">
      <c r="A6" s="68"/>
      <c r="E6" s="117"/>
      <c r="F6" s="117"/>
      <c r="G6" s="272"/>
      <c r="H6" s="117"/>
      <c r="I6" s="68"/>
      <c r="J6" s="68"/>
      <c r="K6" s="68"/>
      <c r="L6" s="68"/>
    </row>
    <row r="7">
      <c r="A7" s="68"/>
      <c r="B7" s="73"/>
      <c r="C7" s="82"/>
      <c r="D7" s="82"/>
      <c r="E7" s="82"/>
      <c r="F7" s="82"/>
      <c r="G7" s="82"/>
      <c r="H7" s="82"/>
      <c r="I7" s="68"/>
      <c r="J7" s="68"/>
      <c r="K7" s="68"/>
      <c r="L7" s="68"/>
    </row>
    <row r="8">
      <c r="A8" s="68"/>
      <c r="B8" s="69" t="s">
        <v>60</v>
      </c>
      <c r="C8" s="82"/>
      <c r="D8" s="82"/>
      <c r="E8" s="82"/>
      <c r="F8" s="82"/>
      <c r="G8" s="82"/>
      <c r="H8" s="82"/>
      <c r="I8" s="68"/>
      <c r="J8" s="68"/>
      <c r="K8" s="68"/>
      <c r="L8" s="68"/>
    </row>
    <row r="9">
      <c r="A9" s="68"/>
      <c r="B9" s="70" t="s">
        <v>61</v>
      </c>
      <c r="C9" s="82"/>
      <c r="D9" s="82"/>
      <c r="E9" s="82"/>
      <c r="F9" s="82"/>
      <c r="G9" s="82"/>
      <c r="H9" s="82"/>
      <c r="I9" s="68"/>
      <c r="J9" s="68"/>
      <c r="K9" s="68"/>
      <c r="L9" s="68"/>
    </row>
    <row r="10">
      <c r="A10" s="68"/>
      <c r="B10" s="68"/>
      <c r="C10" s="82"/>
      <c r="D10" s="82"/>
      <c r="E10" s="82"/>
      <c r="F10" s="82"/>
      <c r="G10" s="82"/>
      <c r="H10" s="82"/>
      <c r="I10" s="68"/>
      <c r="J10" s="68"/>
      <c r="K10" s="68"/>
      <c r="L10" s="68"/>
    </row>
    <row r="11">
      <c r="A11" s="68"/>
      <c r="B11" s="74" t="s">
        <v>62</v>
      </c>
      <c r="C11" s="74" t="s">
        <v>74</v>
      </c>
      <c r="D11" s="74" t="s">
        <v>252</v>
      </c>
      <c r="E11" s="74" t="s">
        <v>253</v>
      </c>
      <c r="F11" s="183" t="s">
        <v>254</v>
      </c>
      <c r="G11" s="246" t="s">
        <v>255</v>
      </c>
      <c r="H11" s="183" t="s">
        <v>77</v>
      </c>
      <c r="I11" s="74" t="s">
        <v>256</v>
      </c>
      <c r="J11" s="74" t="s">
        <v>257</v>
      </c>
      <c r="K11" s="275" t="s">
        <v>258</v>
      </c>
      <c r="L11" s="68"/>
    </row>
    <row r="12">
      <c r="A12" s="68"/>
      <c r="B12" s="77" t="s">
        <v>54</v>
      </c>
      <c r="C12" s="244" t="s">
        <v>161</v>
      </c>
      <c r="D12" s="244" t="s">
        <v>330</v>
      </c>
      <c r="E12" s="244" t="s">
        <v>331</v>
      </c>
      <c r="F12" s="346"/>
      <c r="G12" s="345">
        <v>1329.23</v>
      </c>
      <c r="H12" s="351">
        <v>45459.0</v>
      </c>
      <c r="I12" s="244" t="s">
        <v>332</v>
      </c>
      <c r="J12" s="352" t="s">
        <v>333</v>
      </c>
      <c r="K12" s="279" t="b">
        <v>1</v>
      </c>
      <c r="L12" s="68"/>
    </row>
    <row r="13">
      <c r="A13" s="68"/>
      <c r="B13" s="77" t="s">
        <v>54</v>
      </c>
      <c r="C13" s="244" t="s">
        <v>334</v>
      </c>
      <c r="D13" s="244"/>
      <c r="E13" s="244"/>
      <c r="F13" s="346"/>
      <c r="G13" s="345">
        <v>8330.56</v>
      </c>
      <c r="H13" s="351">
        <v>45414.0</v>
      </c>
      <c r="I13" s="244" t="s">
        <v>326</v>
      </c>
      <c r="J13" s="352" t="s">
        <v>130</v>
      </c>
      <c r="K13" s="279" t="b">
        <v>0</v>
      </c>
      <c r="L13" s="68"/>
    </row>
    <row r="14">
      <c r="A14" s="68"/>
      <c r="B14" s="77" t="s">
        <v>54</v>
      </c>
      <c r="C14" s="244" t="s">
        <v>334</v>
      </c>
      <c r="D14" s="244"/>
      <c r="E14" s="244"/>
      <c r="F14" s="346"/>
      <c r="G14" s="345">
        <v>142.68</v>
      </c>
      <c r="H14" s="351">
        <v>45386.0</v>
      </c>
      <c r="I14" s="244" t="s">
        <v>335</v>
      </c>
      <c r="J14" s="352" t="s">
        <v>130</v>
      </c>
      <c r="K14" s="279" t="b">
        <v>0</v>
      </c>
      <c r="L14" s="68"/>
    </row>
    <row r="15">
      <c r="A15" s="68"/>
      <c r="B15" s="77" t="s">
        <v>54</v>
      </c>
      <c r="C15" s="244" t="s">
        <v>334</v>
      </c>
      <c r="D15" s="244" t="s">
        <v>336</v>
      </c>
      <c r="E15" s="244" t="s">
        <v>337</v>
      </c>
      <c r="F15" s="346"/>
      <c r="G15" s="345">
        <v>12711.1</v>
      </c>
      <c r="H15" s="351">
        <v>45448.0</v>
      </c>
      <c r="I15" s="244" t="s">
        <v>338</v>
      </c>
      <c r="J15" s="352" t="s">
        <v>339</v>
      </c>
      <c r="K15" s="279" t="b">
        <v>1</v>
      </c>
      <c r="L15" s="68"/>
    </row>
    <row r="16">
      <c r="A16" s="68"/>
      <c r="B16" s="77" t="s">
        <v>54</v>
      </c>
      <c r="C16" s="244" t="s">
        <v>334</v>
      </c>
      <c r="D16" s="244" t="s">
        <v>336</v>
      </c>
      <c r="E16" s="244" t="s">
        <v>337</v>
      </c>
      <c r="F16" s="346"/>
      <c r="G16" s="345">
        <v>3000.0</v>
      </c>
      <c r="H16" s="351">
        <v>45432.0</v>
      </c>
      <c r="I16" s="244" t="s">
        <v>338</v>
      </c>
      <c r="J16" s="352" t="s">
        <v>339</v>
      </c>
      <c r="K16" s="279" t="b">
        <v>1</v>
      </c>
      <c r="L16" s="68"/>
    </row>
    <row r="17">
      <c r="A17" s="68"/>
      <c r="B17" s="77" t="s">
        <v>54</v>
      </c>
      <c r="C17" s="244" t="s">
        <v>334</v>
      </c>
      <c r="D17" s="244" t="s">
        <v>340</v>
      </c>
      <c r="E17" s="244" t="s">
        <v>341</v>
      </c>
      <c r="F17" s="346"/>
      <c r="G17" s="345">
        <v>2510.6</v>
      </c>
      <c r="H17" s="351">
        <v>45402.0</v>
      </c>
      <c r="I17" s="244" t="s">
        <v>338</v>
      </c>
      <c r="J17" s="352" t="s">
        <v>339</v>
      </c>
      <c r="K17" s="279" t="b">
        <v>1</v>
      </c>
      <c r="L17" s="68"/>
    </row>
    <row r="18">
      <c r="A18" s="353"/>
      <c r="B18" s="77" t="s">
        <v>54</v>
      </c>
      <c r="C18" s="244" t="s">
        <v>334</v>
      </c>
      <c r="D18" s="244" t="s">
        <v>340</v>
      </c>
      <c r="E18" s="244" t="s">
        <v>341</v>
      </c>
      <c r="F18" s="346"/>
      <c r="G18" s="345">
        <v>2189.6</v>
      </c>
      <c r="H18" s="351">
        <v>45371.0</v>
      </c>
      <c r="I18" s="244" t="s">
        <v>338</v>
      </c>
      <c r="J18" s="352" t="s">
        <v>339</v>
      </c>
      <c r="K18" s="279" t="b">
        <v>1</v>
      </c>
      <c r="L18" s="353"/>
    </row>
    <row r="19">
      <c r="A19" s="68"/>
      <c r="B19" s="77" t="s">
        <v>54</v>
      </c>
      <c r="C19" s="244" t="s">
        <v>161</v>
      </c>
      <c r="D19" s="244" t="s">
        <v>342</v>
      </c>
      <c r="E19" s="244" t="s">
        <v>343</v>
      </c>
      <c r="F19" s="346"/>
      <c r="G19" s="345">
        <v>361.01</v>
      </c>
      <c r="H19" s="351">
        <v>45459.0</v>
      </c>
      <c r="I19" s="244" t="s">
        <v>344</v>
      </c>
      <c r="J19" s="352" t="s">
        <v>345</v>
      </c>
      <c r="K19" s="279" t="b">
        <v>1</v>
      </c>
      <c r="L19" s="68"/>
    </row>
    <row r="20">
      <c r="A20" s="68"/>
      <c r="B20" s="77" t="s">
        <v>54</v>
      </c>
      <c r="C20" s="244" t="s">
        <v>161</v>
      </c>
      <c r="D20" s="244" t="s">
        <v>346</v>
      </c>
      <c r="E20" s="244" t="s">
        <v>347</v>
      </c>
      <c r="F20" s="346"/>
      <c r="G20" s="345">
        <v>1900.0</v>
      </c>
      <c r="H20" s="351">
        <v>45387.0</v>
      </c>
      <c r="I20" s="244" t="s">
        <v>348</v>
      </c>
      <c r="J20" s="352" t="s">
        <v>349</v>
      </c>
      <c r="K20" s="279" t="b">
        <v>1</v>
      </c>
      <c r="L20" s="68"/>
    </row>
    <row r="21">
      <c r="A21" s="68"/>
      <c r="B21" s="77" t="s">
        <v>54</v>
      </c>
      <c r="C21" s="244" t="s">
        <v>334</v>
      </c>
      <c r="D21" s="244" t="s">
        <v>336</v>
      </c>
      <c r="E21" s="244" t="s">
        <v>337</v>
      </c>
      <c r="F21" s="346"/>
      <c r="G21" s="345">
        <v>58.4</v>
      </c>
      <c r="H21" s="351">
        <v>45342.0</v>
      </c>
      <c r="I21" s="244" t="s">
        <v>338</v>
      </c>
      <c r="J21" s="352" t="s">
        <v>339</v>
      </c>
      <c r="K21" s="279" t="b">
        <v>0</v>
      </c>
      <c r="L21" s="68"/>
    </row>
    <row r="22">
      <c r="A22" s="68"/>
      <c r="B22" s="77" t="s">
        <v>54</v>
      </c>
      <c r="C22" s="244" t="s">
        <v>350</v>
      </c>
      <c r="D22" s="244" t="s">
        <v>340</v>
      </c>
      <c r="E22" s="244" t="s">
        <v>341</v>
      </c>
      <c r="F22" s="244" t="s">
        <v>351</v>
      </c>
      <c r="G22" s="345">
        <v>2737.0</v>
      </c>
      <c r="H22" s="351">
        <v>45572.0</v>
      </c>
      <c r="I22" s="244" t="s">
        <v>338</v>
      </c>
      <c r="J22" s="352" t="s">
        <v>339</v>
      </c>
      <c r="K22" s="279" t="b">
        <v>1</v>
      </c>
      <c r="L22" s="68"/>
    </row>
    <row r="23">
      <c r="A23" s="68"/>
      <c r="B23" s="77" t="s">
        <v>54</v>
      </c>
      <c r="C23" s="244" t="s">
        <v>352</v>
      </c>
      <c r="D23" s="244" t="s">
        <v>340</v>
      </c>
      <c r="E23" s="244" t="s">
        <v>341</v>
      </c>
      <c r="F23" s="244" t="s">
        <v>353</v>
      </c>
      <c r="G23" s="345">
        <v>25.0</v>
      </c>
      <c r="H23" s="351">
        <v>45589.0</v>
      </c>
      <c r="I23" s="244" t="s">
        <v>338</v>
      </c>
      <c r="J23" s="352" t="s">
        <v>339</v>
      </c>
      <c r="K23" s="279" t="b">
        <v>1</v>
      </c>
      <c r="L23" s="68"/>
    </row>
    <row r="24">
      <c r="A24" s="68"/>
      <c r="B24" s="77" t="s">
        <v>54</v>
      </c>
      <c r="C24" s="244" t="s">
        <v>352</v>
      </c>
      <c r="D24" s="244" t="s">
        <v>336</v>
      </c>
      <c r="E24" s="244" t="s">
        <v>337</v>
      </c>
      <c r="F24" s="244" t="s">
        <v>354</v>
      </c>
      <c r="G24" s="345">
        <v>80.0</v>
      </c>
      <c r="H24" s="351">
        <v>45600.0</v>
      </c>
      <c r="I24" s="244" t="s">
        <v>355</v>
      </c>
      <c r="J24" s="352" t="s">
        <v>356</v>
      </c>
      <c r="K24" s="279" t="b">
        <v>1</v>
      </c>
      <c r="L24" s="68"/>
    </row>
    <row r="25">
      <c r="A25" s="68"/>
      <c r="B25" s="77" t="s">
        <v>54</v>
      </c>
      <c r="C25" s="244" t="s">
        <v>352</v>
      </c>
      <c r="D25" s="244" t="s">
        <v>340</v>
      </c>
      <c r="E25" s="244" t="s">
        <v>341</v>
      </c>
      <c r="F25" s="244" t="s">
        <v>357</v>
      </c>
      <c r="G25" s="345">
        <v>2054.94</v>
      </c>
      <c r="H25" s="351">
        <v>45609.0</v>
      </c>
      <c r="I25" s="244" t="s">
        <v>338</v>
      </c>
      <c r="J25" s="352" t="s">
        <v>339</v>
      </c>
      <c r="K25" s="279" t="b">
        <v>1</v>
      </c>
      <c r="L25" s="68"/>
    </row>
    <row r="26">
      <c r="A26" s="68"/>
      <c r="B26" s="77" t="s">
        <v>54</v>
      </c>
      <c r="C26" s="244" t="s">
        <v>352</v>
      </c>
      <c r="D26" s="244" t="s">
        <v>340</v>
      </c>
      <c r="E26" s="244" t="s">
        <v>341</v>
      </c>
      <c r="F26" s="244" t="s">
        <v>358</v>
      </c>
      <c r="G26" s="345">
        <v>547.4</v>
      </c>
      <c r="H26" s="351">
        <v>45610.0</v>
      </c>
      <c r="I26" s="244" t="s">
        <v>338</v>
      </c>
      <c r="J26" s="352" t="s">
        <v>339</v>
      </c>
      <c r="K26" s="279" t="b">
        <v>1</v>
      </c>
      <c r="L26" s="68"/>
    </row>
    <row r="27">
      <c r="A27" s="68"/>
      <c r="B27" s="77" t="s">
        <v>54</v>
      </c>
      <c r="C27" s="244" t="s">
        <v>352</v>
      </c>
      <c r="D27" s="244" t="s">
        <v>336</v>
      </c>
      <c r="E27" s="244" t="s">
        <v>337</v>
      </c>
      <c r="F27" s="244" t="s">
        <v>359</v>
      </c>
      <c r="G27" s="345">
        <v>240.0</v>
      </c>
      <c r="H27" s="351">
        <v>45618.0</v>
      </c>
      <c r="I27" s="244" t="s">
        <v>355</v>
      </c>
      <c r="J27" s="352" t="s">
        <v>356</v>
      </c>
      <c r="K27" s="279" t="b">
        <v>1</v>
      </c>
      <c r="L27" s="68"/>
    </row>
    <row r="28">
      <c r="A28" s="68"/>
      <c r="B28" s="77" t="s">
        <v>54</v>
      </c>
      <c r="C28" s="244" t="s">
        <v>360</v>
      </c>
      <c r="D28" s="244" t="s">
        <v>340</v>
      </c>
      <c r="E28" s="244" t="s">
        <v>341</v>
      </c>
      <c r="F28" s="244" t="s">
        <v>361</v>
      </c>
      <c r="G28" s="345">
        <v>50.0</v>
      </c>
      <c r="H28" s="351">
        <v>45622.0</v>
      </c>
      <c r="I28" s="244" t="s">
        <v>338</v>
      </c>
      <c r="J28" s="352" t="s">
        <v>339</v>
      </c>
      <c r="K28" s="279" t="b">
        <v>1</v>
      </c>
      <c r="L28" s="68"/>
    </row>
    <row r="29">
      <c r="A29" s="68"/>
      <c r="B29" s="77" t="s">
        <v>54</v>
      </c>
      <c r="C29" s="244" t="s">
        <v>362</v>
      </c>
      <c r="D29" s="244" t="s">
        <v>340</v>
      </c>
      <c r="E29" s="244" t="s">
        <v>341</v>
      </c>
      <c r="F29" s="244" t="s">
        <v>363</v>
      </c>
      <c r="G29" s="345">
        <v>2054.94</v>
      </c>
      <c r="H29" s="351">
        <v>45630.0</v>
      </c>
      <c r="I29" s="244" t="s">
        <v>338</v>
      </c>
      <c r="J29" s="352" t="s">
        <v>339</v>
      </c>
      <c r="K29" s="279" t="b">
        <v>1</v>
      </c>
      <c r="L29" s="68"/>
    </row>
    <row r="30">
      <c r="A30" s="68"/>
      <c r="B30" s="77" t="s">
        <v>54</v>
      </c>
      <c r="C30" s="244" t="s">
        <v>362</v>
      </c>
      <c r="D30" s="244" t="s">
        <v>340</v>
      </c>
      <c r="E30" s="244" t="s">
        <v>341</v>
      </c>
      <c r="F30" s="244" t="s">
        <v>364</v>
      </c>
      <c r="G30" s="345">
        <v>3298.2</v>
      </c>
      <c r="H30" s="351">
        <v>45636.0</v>
      </c>
      <c r="I30" s="244" t="s">
        <v>365</v>
      </c>
      <c r="J30" s="352" t="s">
        <v>366</v>
      </c>
      <c r="K30" s="279" t="b">
        <v>1</v>
      </c>
      <c r="L30" s="68"/>
    </row>
  </sheetData>
  <mergeCells count="1">
    <mergeCell ref="B5:D6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4"/>
      <c r="B1" s="355" t="s">
        <v>536</v>
      </c>
      <c r="C1" s="355" t="s">
        <v>537</v>
      </c>
      <c r="D1" s="356" t="s">
        <v>538</v>
      </c>
      <c r="E1" s="357" t="s">
        <v>539</v>
      </c>
      <c r="F1" s="358" t="s">
        <v>540</v>
      </c>
      <c r="G1" s="357" t="s">
        <v>541</v>
      </c>
    </row>
    <row r="2">
      <c r="A2" s="354"/>
      <c r="B2" s="359"/>
      <c r="C2" s="355"/>
      <c r="D2" s="360"/>
      <c r="E2" s="361"/>
      <c r="F2" s="362"/>
      <c r="G2" s="360"/>
    </row>
    <row r="3">
      <c r="A3" s="354"/>
      <c r="B3" s="359"/>
      <c r="C3" s="355"/>
      <c r="D3" s="360"/>
      <c r="E3" s="361"/>
      <c r="F3" s="362"/>
      <c r="G3" s="360"/>
    </row>
    <row r="4">
      <c r="A4" s="354"/>
      <c r="B4" s="359"/>
      <c r="C4" s="355"/>
      <c r="D4" s="360"/>
      <c r="E4" s="361"/>
      <c r="F4" s="362"/>
      <c r="G4" s="360"/>
    </row>
    <row r="5">
      <c r="A5" s="354"/>
      <c r="B5" s="359"/>
      <c r="C5" s="355"/>
      <c r="D5" s="360"/>
      <c r="E5" s="361"/>
      <c r="F5" s="362"/>
      <c r="G5" s="360"/>
    </row>
    <row r="6">
      <c r="A6" s="354"/>
      <c r="B6" s="359"/>
      <c r="C6" s="355"/>
      <c r="D6" s="360"/>
      <c r="E6" s="361"/>
      <c r="F6" s="362"/>
      <c r="G6" s="360"/>
    </row>
    <row r="7">
      <c r="A7" s="354"/>
      <c r="B7" s="359"/>
      <c r="C7" s="355"/>
      <c r="D7" s="360"/>
      <c r="E7" s="361"/>
      <c r="F7" s="362"/>
      <c r="G7" s="360"/>
    </row>
    <row r="8">
      <c r="A8" s="354"/>
      <c r="B8" s="359"/>
      <c r="C8" s="355"/>
      <c r="D8" s="360"/>
      <c r="E8" s="361"/>
      <c r="F8" s="362"/>
      <c r="G8" s="360"/>
    </row>
    <row r="9">
      <c r="A9" s="354"/>
      <c r="B9" s="359"/>
      <c r="C9" s="355"/>
      <c r="D9" s="360"/>
      <c r="E9" s="361"/>
      <c r="F9" s="362"/>
      <c r="G9" s="360"/>
    </row>
    <row r="10">
      <c r="A10" s="354"/>
      <c r="B10" s="359"/>
      <c r="C10" s="355"/>
      <c r="D10" s="360"/>
      <c r="E10" s="361"/>
      <c r="F10" s="362"/>
      <c r="G10" s="360"/>
    </row>
    <row r="11">
      <c r="A11" s="354"/>
      <c r="B11" s="359"/>
      <c r="C11" s="355"/>
      <c r="D11" s="360"/>
      <c r="E11" s="361"/>
      <c r="F11" s="362"/>
      <c r="G11" s="360"/>
    </row>
    <row r="12">
      <c r="A12" s="354"/>
      <c r="B12" s="359"/>
      <c r="C12" s="355"/>
      <c r="D12" s="360"/>
      <c r="E12" s="361"/>
      <c r="F12" s="362"/>
      <c r="G12" s="360"/>
    </row>
    <row r="13">
      <c r="A13" s="354"/>
      <c r="B13" s="359"/>
      <c r="C13" s="355"/>
      <c r="D13" s="360"/>
      <c r="E13" s="361"/>
      <c r="F13" s="362"/>
      <c r="G13" s="360"/>
    </row>
    <row r="14">
      <c r="A14" s="111"/>
      <c r="B14" s="363"/>
      <c r="C14" s="363"/>
      <c r="D14" s="364"/>
      <c r="E14" s="363"/>
      <c r="F14" s="363"/>
      <c r="G14" s="364"/>
    </row>
    <row r="15">
      <c r="A15" s="111"/>
      <c r="B15" s="365"/>
      <c r="C15" s="365"/>
      <c r="D15" s="366"/>
      <c r="E15" s="359"/>
      <c r="F15" s="359"/>
      <c r="G15" s="360"/>
    </row>
    <row r="16">
      <c r="A16" s="111"/>
      <c r="B16" s="363"/>
      <c r="C16" s="363"/>
      <c r="D16" s="363"/>
      <c r="E16" s="363"/>
      <c r="F16" s="363"/>
      <c r="G16" s="363"/>
    </row>
    <row r="17">
      <c r="A17" s="111"/>
      <c r="B17" s="363"/>
      <c r="C17" s="363"/>
      <c r="D17" s="363"/>
      <c r="E17" s="363"/>
      <c r="F17" s="363"/>
      <c r="G17" s="363"/>
    </row>
    <row r="18">
      <c r="A18" s="111"/>
      <c r="B18" s="363"/>
      <c r="C18" s="363"/>
      <c r="D18" s="363"/>
      <c r="E18" s="363"/>
      <c r="F18" s="363"/>
      <c r="G18" s="363"/>
    </row>
    <row r="19">
      <c r="A19" s="111"/>
      <c r="B19" s="363"/>
      <c r="C19" s="363"/>
      <c r="D19" s="363"/>
      <c r="E19" s="363"/>
      <c r="F19" s="363"/>
      <c r="G19" s="363"/>
    </row>
    <row r="20">
      <c r="A20" s="111"/>
      <c r="B20" s="363"/>
      <c r="C20" s="363"/>
      <c r="D20" s="367"/>
      <c r="E20" s="363"/>
      <c r="F20" s="363"/>
      <c r="G20" s="363"/>
      <c r="H20" s="368"/>
    </row>
    <row r="21">
      <c r="A21" s="111"/>
      <c r="B21" s="363"/>
      <c r="C21" s="363"/>
      <c r="D21" s="369"/>
      <c r="E21" s="369"/>
      <c r="F21" s="369"/>
      <c r="G21" s="369"/>
      <c r="H21" s="369"/>
    </row>
    <row r="22">
      <c r="A22" s="111"/>
      <c r="B22" s="363"/>
      <c r="C22" s="363"/>
      <c r="D22" s="363"/>
      <c r="E22" s="363"/>
      <c r="F22" s="363"/>
      <c r="G22" s="363"/>
    </row>
    <row r="23">
      <c r="A23" s="111"/>
      <c r="B23" s="363"/>
      <c r="C23" s="363"/>
      <c r="D23" s="363"/>
      <c r="E23" s="363"/>
      <c r="F23" s="363"/>
      <c r="G23" s="363"/>
    </row>
    <row r="24">
      <c r="A24" s="111"/>
      <c r="B24" s="363"/>
      <c r="C24" s="363"/>
      <c r="D24" s="363"/>
      <c r="E24" s="363"/>
      <c r="F24" s="363"/>
      <c r="G24" s="363"/>
    </row>
    <row r="25">
      <c r="A25" s="111"/>
      <c r="B25" s="363"/>
      <c r="C25" s="363"/>
      <c r="D25" s="363"/>
      <c r="E25" s="363"/>
      <c r="F25" s="363"/>
      <c r="G25" s="363"/>
    </row>
    <row r="26">
      <c r="A26" s="111"/>
      <c r="B26" s="363"/>
      <c r="C26" s="363"/>
      <c r="D26" s="363"/>
      <c r="E26" s="363"/>
      <c r="F26" s="363"/>
      <c r="G26" s="363"/>
    </row>
    <row r="27">
      <c r="A27" s="111"/>
      <c r="B27" s="363"/>
      <c r="C27" s="363"/>
      <c r="D27" s="363"/>
      <c r="E27" s="363"/>
      <c r="F27" s="363"/>
      <c r="G27" s="363"/>
    </row>
    <row r="28">
      <c r="A28" s="111"/>
      <c r="B28" s="363"/>
      <c r="C28" s="363"/>
      <c r="D28" s="363"/>
      <c r="E28" s="363"/>
      <c r="F28" s="363"/>
      <c r="G28" s="363"/>
    </row>
    <row r="29">
      <c r="A29" s="111"/>
      <c r="B29" s="363"/>
      <c r="C29" s="363"/>
      <c r="D29" s="363"/>
      <c r="E29" s="363"/>
      <c r="F29" s="363"/>
      <c r="G29" s="363"/>
    </row>
    <row r="30">
      <c r="A30" s="111"/>
      <c r="B30" s="363"/>
      <c r="C30" s="363"/>
      <c r="D30" s="363"/>
      <c r="E30" s="363"/>
      <c r="F30" s="363"/>
      <c r="G30" s="363"/>
    </row>
    <row r="31">
      <c r="A31" s="111"/>
      <c r="B31" s="363"/>
      <c r="C31" s="363"/>
      <c r="D31" s="363"/>
      <c r="E31" s="363"/>
      <c r="F31" s="363"/>
      <c r="G31" s="363"/>
    </row>
    <row r="32">
      <c r="A32" s="111"/>
      <c r="B32" s="363"/>
      <c r="C32" s="363"/>
      <c r="D32" s="363"/>
      <c r="E32" s="363"/>
      <c r="F32" s="363"/>
      <c r="G32" s="363"/>
    </row>
    <row r="33">
      <c r="A33" s="111"/>
      <c r="B33" s="363"/>
      <c r="C33" s="363"/>
      <c r="D33" s="363"/>
      <c r="E33" s="363"/>
      <c r="F33" s="363"/>
      <c r="G33" s="363"/>
    </row>
    <row r="34">
      <c r="A34" s="111"/>
      <c r="B34" s="363"/>
      <c r="C34" s="363"/>
      <c r="D34" s="363"/>
      <c r="E34" s="363"/>
      <c r="F34" s="363"/>
      <c r="G34" s="363"/>
    </row>
    <row r="35">
      <c r="A35" s="111"/>
      <c r="B35" s="363"/>
      <c r="C35" s="363"/>
      <c r="D35" s="363"/>
      <c r="E35" s="363"/>
      <c r="F35" s="363"/>
      <c r="G35" s="363"/>
    </row>
    <row r="36">
      <c r="A36" s="111"/>
      <c r="B36" s="363"/>
      <c r="C36" s="363"/>
      <c r="D36" s="363"/>
      <c r="E36" s="363"/>
      <c r="F36" s="363"/>
      <c r="G36" s="363"/>
    </row>
    <row r="37">
      <c r="A37" s="111"/>
      <c r="B37" s="363"/>
      <c r="C37" s="363"/>
      <c r="D37" s="363"/>
      <c r="E37" s="363"/>
      <c r="F37" s="363"/>
      <c r="G37" s="363"/>
    </row>
    <row r="38">
      <c r="A38" s="111"/>
      <c r="B38" s="363"/>
      <c r="C38" s="363"/>
      <c r="D38" s="363"/>
      <c r="E38" s="363"/>
      <c r="F38" s="363"/>
      <c r="G38" s="363"/>
    </row>
    <row r="39">
      <c r="A39" s="111"/>
      <c r="B39" s="363"/>
      <c r="C39" s="363"/>
      <c r="D39" s="363"/>
      <c r="E39" s="363"/>
      <c r="F39" s="363"/>
      <c r="G39" s="363"/>
    </row>
    <row r="40">
      <c r="A40" s="111"/>
      <c r="B40" s="363"/>
      <c r="C40" s="363"/>
      <c r="D40" s="363"/>
      <c r="E40" s="363"/>
      <c r="F40" s="363"/>
      <c r="G40" s="363"/>
    </row>
    <row r="41">
      <c r="A41" s="111"/>
      <c r="B41" s="363"/>
      <c r="C41" s="363"/>
      <c r="D41" s="363"/>
      <c r="E41" s="363"/>
      <c r="F41" s="363"/>
      <c r="G41" s="363"/>
    </row>
    <row r="42">
      <c r="A42" s="111"/>
      <c r="B42" s="363"/>
      <c r="C42" s="363"/>
      <c r="D42" s="363"/>
      <c r="E42" s="363"/>
      <c r="F42" s="363"/>
      <c r="G42" s="363"/>
    </row>
    <row r="43">
      <c r="A43" s="111"/>
      <c r="B43" s="363"/>
      <c r="C43" s="363"/>
      <c r="D43" s="363"/>
      <c r="E43" s="363"/>
      <c r="F43" s="363"/>
      <c r="G43" s="363"/>
    </row>
    <row r="44">
      <c r="A44" s="111"/>
      <c r="B44" s="363"/>
      <c r="C44" s="363"/>
      <c r="D44" s="363"/>
      <c r="E44" s="363"/>
      <c r="F44" s="363"/>
      <c r="G44" s="363"/>
    </row>
    <row r="45">
      <c r="A45" s="111"/>
      <c r="B45" s="363"/>
      <c r="C45" s="363"/>
      <c r="D45" s="363"/>
      <c r="E45" s="363"/>
      <c r="F45" s="363"/>
      <c r="G45" s="363"/>
    </row>
    <row r="46">
      <c r="A46" s="111"/>
      <c r="B46" s="363"/>
      <c r="C46" s="363"/>
      <c r="D46" s="363"/>
      <c r="E46" s="363"/>
      <c r="F46" s="363"/>
      <c r="G46" s="363"/>
    </row>
    <row r="47">
      <c r="A47" s="111"/>
      <c r="B47" s="363"/>
      <c r="C47" s="363"/>
      <c r="D47" s="363"/>
      <c r="E47" s="363"/>
      <c r="F47" s="363"/>
      <c r="G47" s="363"/>
    </row>
    <row r="48">
      <c r="A48" s="111"/>
      <c r="B48" s="363"/>
      <c r="C48" s="363"/>
      <c r="D48" s="363"/>
      <c r="E48" s="363"/>
      <c r="F48" s="363"/>
      <c r="G48" s="363"/>
    </row>
    <row r="49">
      <c r="A49" s="111"/>
      <c r="B49" s="363"/>
      <c r="C49" s="363"/>
      <c r="D49" s="363"/>
      <c r="E49" s="363"/>
      <c r="F49" s="363"/>
      <c r="G49" s="363"/>
    </row>
    <row r="50">
      <c r="A50" s="111"/>
      <c r="B50" s="363"/>
      <c r="C50" s="363"/>
      <c r="D50" s="363"/>
      <c r="E50" s="363"/>
      <c r="F50" s="363"/>
      <c r="G50" s="363"/>
    </row>
    <row r="51">
      <c r="A51" s="111"/>
      <c r="B51" s="363"/>
      <c r="C51" s="363"/>
      <c r="D51" s="363"/>
      <c r="E51" s="363"/>
      <c r="F51" s="363"/>
      <c r="G51" s="363"/>
    </row>
    <row r="52">
      <c r="A52" s="111"/>
      <c r="B52" s="363"/>
      <c r="C52" s="363"/>
      <c r="D52" s="363"/>
      <c r="E52" s="363"/>
      <c r="F52" s="363"/>
      <c r="G52" s="363"/>
    </row>
    <row r="53">
      <c r="A53" s="111"/>
      <c r="B53" s="363"/>
      <c r="C53" s="363"/>
      <c r="D53" s="363"/>
      <c r="E53" s="363"/>
      <c r="F53" s="363"/>
      <c r="G53" s="363"/>
    </row>
    <row r="54">
      <c r="A54" s="111"/>
      <c r="B54" s="363"/>
      <c r="C54" s="363"/>
      <c r="D54" s="363"/>
      <c r="E54" s="363"/>
      <c r="F54" s="363"/>
      <c r="G54" s="363"/>
    </row>
    <row r="55">
      <c r="A55" s="111"/>
      <c r="B55" s="363"/>
      <c r="C55" s="363"/>
      <c r="D55" s="363"/>
      <c r="E55" s="363"/>
      <c r="F55" s="363"/>
      <c r="G55" s="363"/>
    </row>
    <row r="56">
      <c r="A56" s="111"/>
      <c r="B56" s="363"/>
      <c r="C56" s="363"/>
      <c r="D56" s="363"/>
      <c r="E56" s="363"/>
      <c r="F56" s="363"/>
      <c r="G56" s="363"/>
    </row>
    <row r="57">
      <c r="A57" s="111"/>
      <c r="B57" s="363"/>
      <c r="C57" s="363"/>
      <c r="D57" s="363"/>
      <c r="E57" s="363"/>
      <c r="F57" s="363"/>
      <c r="G57" s="363"/>
    </row>
    <row r="58">
      <c r="A58" s="111"/>
      <c r="B58" s="363"/>
      <c r="C58" s="363"/>
      <c r="D58" s="363"/>
      <c r="E58" s="363"/>
      <c r="F58" s="363"/>
      <c r="G58" s="363"/>
    </row>
    <row r="59">
      <c r="A59" s="111"/>
      <c r="B59" s="363"/>
      <c r="C59" s="363"/>
      <c r="D59" s="363"/>
      <c r="E59" s="363"/>
      <c r="F59" s="363"/>
      <c r="G59" s="363"/>
    </row>
    <row r="60">
      <c r="A60" s="111"/>
      <c r="B60" s="363"/>
      <c r="C60" s="363"/>
      <c r="D60" s="363"/>
      <c r="E60" s="363"/>
      <c r="F60" s="363"/>
      <c r="G60" s="363"/>
    </row>
    <row r="61">
      <c r="A61" s="111"/>
      <c r="B61" s="363"/>
      <c r="C61" s="363"/>
      <c r="D61" s="363"/>
      <c r="E61" s="363"/>
      <c r="F61" s="363"/>
      <c r="G61" s="363"/>
    </row>
    <row r="62">
      <c r="A62" s="111"/>
      <c r="B62" s="363"/>
      <c r="C62" s="363"/>
      <c r="D62" s="363"/>
      <c r="E62" s="363"/>
      <c r="F62" s="363"/>
      <c r="G62" s="363"/>
    </row>
    <row r="63">
      <c r="A63" s="111"/>
      <c r="B63" s="363"/>
      <c r="C63" s="363"/>
      <c r="D63" s="363"/>
      <c r="E63" s="363"/>
      <c r="F63" s="363"/>
      <c r="G63" s="363"/>
    </row>
    <row r="64">
      <c r="A64" s="111"/>
      <c r="B64" s="363"/>
      <c r="C64" s="363"/>
      <c r="D64" s="363"/>
      <c r="E64" s="363"/>
      <c r="F64" s="363"/>
      <c r="G64" s="363"/>
    </row>
    <row r="65">
      <c r="A65" s="111"/>
      <c r="B65" s="363"/>
      <c r="C65" s="363"/>
      <c r="D65" s="363"/>
      <c r="E65" s="363"/>
      <c r="F65" s="363"/>
      <c r="G65" s="363"/>
    </row>
    <row r="66">
      <c r="A66" s="111"/>
      <c r="B66" s="363"/>
      <c r="C66" s="363"/>
      <c r="D66" s="363"/>
      <c r="E66" s="363"/>
      <c r="F66" s="363"/>
      <c r="G66" s="363"/>
    </row>
    <row r="67">
      <c r="A67" s="111"/>
      <c r="B67" s="363"/>
      <c r="C67" s="363"/>
      <c r="D67" s="363"/>
      <c r="E67" s="363"/>
      <c r="F67" s="363"/>
      <c r="G67" s="363"/>
    </row>
    <row r="68">
      <c r="A68" s="111"/>
      <c r="B68" s="363"/>
      <c r="C68" s="363"/>
      <c r="D68" s="363"/>
      <c r="E68" s="363"/>
      <c r="F68" s="363"/>
      <c r="G68" s="363"/>
    </row>
    <row r="69">
      <c r="A69" s="111"/>
      <c r="B69" s="363"/>
      <c r="C69" s="363"/>
      <c r="D69" s="363"/>
      <c r="E69" s="363"/>
      <c r="F69" s="363"/>
      <c r="G69" s="363"/>
    </row>
    <row r="70">
      <c r="A70" s="111"/>
      <c r="B70" s="363"/>
      <c r="C70" s="363"/>
      <c r="D70" s="363"/>
      <c r="E70" s="363"/>
      <c r="F70" s="363"/>
      <c r="G70" s="363"/>
    </row>
    <row r="71">
      <c r="A71" s="111"/>
      <c r="B71" s="363"/>
      <c r="C71" s="363"/>
      <c r="D71" s="363"/>
      <c r="E71" s="363"/>
      <c r="F71" s="363"/>
      <c r="G71" s="363"/>
    </row>
    <row r="72">
      <c r="A72" s="111"/>
      <c r="B72" s="363"/>
      <c r="C72" s="363"/>
      <c r="D72" s="363"/>
      <c r="E72" s="363"/>
      <c r="F72" s="363"/>
      <c r="G72" s="363"/>
    </row>
    <row r="73">
      <c r="A73" s="111"/>
      <c r="B73" s="363"/>
      <c r="C73" s="363"/>
      <c r="D73" s="363"/>
      <c r="E73" s="363"/>
      <c r="F73" s="363"/>
      <c r="G73" s="363"/>
    </row>
    <row r="74">
      <c r="A74" s="111"/>
      <c r="B74" s="363"/>
      <c r="C74" s="363"/>
      <c r="D74" s="363"/>
      <c r="E74" s="363"/>
      <c r="F74" s="363"/>
      <c r="G74" s="363"/>
    </row>
    <row r="75">
      <c r="A75" s="111"/>
      <c r="B75" s="363"/>
      <c r="C75" s="363"/>
      <c r="D75" s="363"/>
      <c r="E75" s="363"/>
      <c r="F75" s="363"/>
      <c r="G75" s="363"/>
    </row>
    <row r="76">
      <c r="A76" s="111"/>
      <c r="B76" s="363"/>
      <c r="C76" s="363"/>
      <c r="D76" s="363"/>
      <c r="E76" s="363"/>
      <c r="F76" s="363"/>
      <c r="G76" s="363"/>
    </row>
    <row r="77">
      <c r="A77" s="111"/>
      <c r="B77" s="363"/>
      <c r="C77" s="363"/>
      <c r="D77" s="363"/>
      <c r="E77" s="363"/>
      <c r="F77" s="363"/>
      <c r="G77" s="363"/>
    </row>
    <row r="78">
      <c r="A78" s="111"/>
      <c r="B78" s="363"/>
      <c r="C78" s="363"/>
      <c r="D78" s="363"/>
      <c r="E78" s="363"/>
      <c r="F78" s="363"/>
      <c r="G78" s="363"/>
    </row>
    <row r="79">
      <c r="A79" s="111"/>
      <c r="B79" s="363"/>
      <c r="C79" s="363"/>
      <c r="D79" s="363"/>
      <c r="E79" s="363"/>
      <c r="F79" s="363"/>
      <c r="G79" s="363"/>
    </row>
    <row r="80">
      <c r="A80" s="111"/>
      <c r="B80" s="363"/>
      <c r="C80" s="363"/>
      <c r="D80" s="363"/>
      <c r="E80" s="363"/>
      <c r="F80" s="363"/>
      <c r="G80" s="363"/>
    </row>
    <row r="81">
      <c r="A81" s="111"/>
      <c r="B81" s="363"/>
      <c r="C81" s="363"/>
      <c r="D81" s="363"/>
      <c r="E81" s="363"/>
      <c r="F81" s="363"/>
      <c r="G81" s="363"/>
    </row>
    <row r="82">
      <c r="A82" s="111"/>
      <c r="B82" s="363"/>
      <c r="C82" s="363"/>
      <c r="D82" s="363"/>
      <c r="E82" s="363"/>
      <c r="F82" s="363"/>
      <c r="G82" s="363"/>
    </row>
    <row r="83">
      <c r="A83" s="111"/>
      <c r="B83" s="363"/>
      <c r="C83" s="363"/>
      <c r="D83" s="363"/>
      <c r="E83" s="363"/>
      <c r="F83" s="363"/>
      <c r="G83" s="363"/>
    </row>
    <row r="84">
      <c r="A84" s="111"/>
      <c r="B84" s="363"/>
      <c r="C84" s="363"/>
      <c r="D84" s="363"/>
      <c r="E84" s="363"/>
      <c r="F84" s="363"/>
      <c r="G84" s="363"/>
    </row>
    <row r="85">
      <c r="A85" s="111"/>
      <c r="B85" s="363"/>
      <c r="C85" s="363"/>
      <c r="D85" s="363"/>
      <c r="E85" s="363"/>
      <c r="F85" s="363"/>
      <c r="G85" s="363"/>
    </row>
    <row r="86">
      <c r="A86" s="111"/>
      <c r="B86" s="363"/>
      <c r="C86" s="363"/>
      <c r="D86" s="363"/>
      <c r="E86" s="363"/>
      <c r="F86" s="363"/>
      <c r="G86" s="363"/>
    </row>
    <row r="87">
      <c r="A87" s="111"/>
      <c r="B87" s="363"/>
      <c r="C87" s="363"/>
      <c r="D87" s="363"/>
      <c r="E87" s="363"/>
      <c r="F87" s="363"/>
      <c r="G87" s="363"/>
    </row>
    <row r="88">
      <c r="A88" s="111"/>
      <c r="B88" s="363"/>
      <c r="C88" s="363"/>
      <c r="D88" s="363"/>
      <c r="E88" s="363"/>
      <c r="F88" s="363"/>
      <c r="G88" s="363"/>
    </row>
    <row r="89">
      <c r="A89" s="111"/>
      <c r="B89" s="363"/>
      <c r="C89" s="363"/>
      <c r="D89" s="363"/>
      <c r="E89" s="363"/>
      <c r="F89" s="363"/>
      <c r="G89" s="363"/>
    </row>
    <row r="90">
      <c r="A90" s="111"/>
      <c r="B90" s="363"/>
      <c r="C90" s="363"/>
      <c r="D90" s="363"/>
      <c r="E90" s="363"/>
      <c r="F90" s="363"/>
      <c r="G90" s="363"/>
    </row>
    <row r="91">
      <c r="A91" s="111"/>
      <c r="B91" s="363"/>
      <c r="C91" s="363"/>
      <c r="D91" s="363"/>
      <c r="E91" s="363"/>
      <c r="F91" s="363"/>
      <c r="G91" s="363"/>
    </row>
    <row r="92">
      <c r="A92" s="111"/>
      <c r="B92" s="363"/>
      <c r="C92" s="363"/>
      <c r="D92" s="363"/>
      <c r="E92" s="363"/>
      <c r="F92" s="363"/>
      <c r="G92" s="363"/>
    </row>
    <row r="93">
      <c r="A93" s="111"/>
      <c r="B93" s="363"/>
      <c r="C93" s="363"/>
      <c r="D93" s="363"/>
      <c r="E93" s="363"/>
      <c r="F93" s="363"/>
      <c r="G93" s="363"/>
    </row>
    <row r="94">
      <c r="A94" s="111"/>
      <c r="B94" s="363"/>
      <c r="C94" s="363"/>
      <c r="D94" s="363"/>
      <c r="E94" s="363"/>
      <c r="F94" s="363"/>
      <c r="G94" s="363"/>
    </row>
    <row r="95">
      <c r="A95" s="111"/>
      <c r="B95" s="363"/>
      <c r="C95" s="363"/>
      <c r="D95" s="363"/>
      <c r="E95" s="363"/>
      <c r="F95" s="363"/>
      <c r="G95" s="363"/>
    </row>
    <row r="96">
      <c r="A96" s="111"/>
      <c r="B96" s="363"/>
      <c r="C96" s="363"/>
      <c r="D96" s="363"/>
      <c r="E96" s="363"/>
      <c r="F96" s="363"/>
      <c r="G96" s="363"/>
    </row>
    <row r="97">
      <c r="A97" s="111"/>
      <c r="B97" s="363"/>
      <c r="C97" s="363"/>
      <c r="D97" s="363"/>
      <c r="E97" s="363"/>
      <c r="F97" s="363"/>
      <c r="G97" s="363"/>
    </row>
    <row r="98">
      <c r="A98" s="111"/>
      <c r="B98" s="363"/>
      <c r="C98" s="363"/>
      <c r="D98" s="363"/>
      <c r="E98" s="363"/>
      <c r="F98" s="363"/>
      <c r="G98" s="363"/>
    </row>
    <row r="99">
      <c r="A99" s="111"/>
      <c r="B99" s="363"/>
      <c r="C99" s="363"/>
      <c r="D99" s="363"/>
      <c r="E99" s="363"/>
      <c r="F99" s="363"/>
      <c r="G99" s="363"/>
    </row>
    <row r="100">
      <c r="A100" s="111"/>
      <c r="B100" s="363"/>
      <c r="C100" s="363"/>
      <c r="D100" s="363"/>
      <c r="E100" s="363"/>
      <c r="F100" s="363"/>
      <c r="G100" s="363"/>
    </row>
    <row r="101">
      <c r="A101" s="111"/>
      <c r="B101" s="363"/>
      <c r="C101" s="363"/>
      <c r="D101" s="363"/>
      <c r="E101" s="363"/>
      <c r="F101" s="363"/>
      <c r="G101" s="363"/>
    </row>
    <row r="102">
      <c r="A102" s="111"/>
      <c r="B102" s="363"/>
      <c r="C102" s="363"/>
      <c r="D102" s="363"/>
      <c r="E102" s="363"/>
      <c r="F102" s="363"/>
      <c r="G102" s="363"/>
    </row>
    <row r="103">
      <c r="A103" s="111"/>
      <c r="B103" s="363"/>
      <c r="C103" s="363"/>
      <c r="D103" s="363"/>
      <c r="E103" s="363"/>
      <c r="F103" s="363"/>
      <c r="G103" s="363"/>
    </row>
    <row r="104">
      <c r="A104" s="111"/>
      <c r="B104" s="363"/>
      <c r="C104" s="363"/>
      <c r="D104" s="363"/>
      <c r="E104" s="363"/>
      <c r="F104" s="363"/>
      <c r="G104" s="363"/>
    </row>
    <row r="105">
      <c r="A105" s="111"/>
      <c r="B105" s="363"/>
      <c r="C105" s="363"/>
      <c r="D105" s="363"/>
      <c r="E105" s="363"/>
      <c r="F105" s="363"/>
      <c r="G105" s="363"/>
    </row>
    <row r="106">
      <c r="A106" s="111"/>
      <c r="B106" s="363"/>
      <c r="C106" s="363"/>
      <c r="D106" s="363"/>
      <c r="E106" s="363"/>
      <c r="F106" s="363"/>
      <c r="G106" s="363"/>
    </row>
    <row r="107">
      <c r="A107" s="111"/>
      <c r="B107" s="363"/>
      <c r="C107" s="363"/>
      <c r="D107" s="363"/>
      <c r="E107" s="363"/>
      <c r="F107" s="363"/>
      <c r="G107" s="363"/>
    </row>
    <row r="108">
      <c r="A108" s="111"/>
      <c r="B108" s="363"/>
      <c r="C108" s="363"/>
      <c r="D108" s="363"/>
      <c r="E108" s="363"/>
      <c r="F108" s="363"/>
      <c r="G108" s="363"/>
    </row>
    <row r="109">
      <c r="A109" s="111"/>
      <c r="B109" s="363"/>
      <c r="C109" s="363"/>
      <c r="D109" s="363"/>
      <c r="E109" s="363"/>
      <c r="F109" s="363"/>
      <c r="G109" s="363"/>
    </row>
    <row r="110">
      <c r="A110" s="111"/>
      <c r="B110" s="363"/>
      <c r="C110" s="363"/>
      <c r="D110" s="363"/>
      <c r="E110" s="363"/>
      <c r="F110" s="363"/>
      <c r="G110" s="363"/>
    </row>
    <row r="111">
      <c r="A111" s="111"/>
      <c r="B111" s="363"/>
      <c r="C111" s="363"/>
      <c r="D111" s="363"/>
      <c r="E111" s="363"/>
      <c r="F111" s="363"/>
      <c r="G111" s="363"/>
    </row>
    <row r="112">
      <c r="A112" s="111"/>
      <c r="B112" s="363"/>
      <c r="C112" s="363"/>
      <c r="D112" s="363"/>
      <c r="E112" s="363"/>
      <c r="F112" s="363"/>
      <c r="G112" s="363"/>
    </row>
    <row r="113">
      <c r="A113" s="111"/>
      <c r="B113" s="363"/>
      <c r="C113" s="363"/>
      <c r="D113" s="363"/>
      <c r="E113" s="363"/>
      <c r="F113" s="363"/>
      <c r="G113" s="363"/>
    </row>
    <row r="114">
      <c r="A114" s="111"/>
      <c r="B114" s="363"/>
      <c r="C114" s="363"/>
      <c r="D114" s="363"/>
      <c r="E114" s="363"/>
      <c r="F114" s="363"/>
      <c r="G114" s="363"/>
    </row>
    <row r="115">
      <c r="A115" s="111"/>
      <c r="B115" s="363"/>
      <c r="C115" s="363"/>
      <c r="D115" s="363"/>
      <c r="E115" s="363"/>
      <c r="F115" s="363"/>
      <c r="G115" s="363"/>
    </row>
    <row r="116">
      <c r="A116" s="111"/>
      <c r="B116" s="363"/>
      <c r="C116" s="363"/>
      <c r="D116" s="363"/>
      <c r="E116" s="363"/>
      <c r="F116" s="363"/>
      <c r="G116" s="363"/>
    </row>
    <row r="117">
      <c r="A117" s="111"/>
      <c r="B117" s="363"/>
      <c r="C117" s="363"/>
      <c r="D117" s="363"/>
      <c r="E117" s="363"/>
      <c r="F117" s="363"/>
      <c r="G117" s="363"/>
    </row>
    <row r="118">
      <c r="A118" s="111"/>
      <c r="B118" s="363"/>
      <c r="C118" s="363"/>
      <c r="D118" s="363"/>
      <c r="E118" s="363"/>
      <c r="F118" s="363"/>
      <c r="G118" s="363"/>
    </row>
    <row r="119">
      <c r="A119" s="111"/>
      <c r="B119" s="363"/>
      <c r="C119" s="363"/>
      <c r="D119" s="363"/>
      <c r="E119" s="363"/>
      <c r="F119" s="363"/>
      <c r="G119" s="363"/>
    </row>
    <row r="120">
      <c r="A120" s="111"/>
      <c r="B120" s="363"/>
      <c r="C120" s="363"/>
      <c r="D120" s="363"/>
      <c r="E120" s="363"/>
      <c r="F120" s="363"/>
      <c r="G120" s="363"/>
    </row>
    <row r="121">
      <c r="A121" s="111"/>
      <c r="B121" s="363"/>
      <c r="C121" s="363"/>
      <c r="D121" s="363"/>
      <c r="E121" s="363"/>
      <c r="F121" s="363"/>
      <c r="G121" s="363"/>
    </row>
    <row r="122">
      <c r="A122" s="111"/>
      <c r="B122" s="363"/>
      <c r="C122" s="363"/>
      <c r="D122" s="363"/>
      <c r="E122" s="363"/>
      <c r="F122" s="363"/>
      <c r="G122" s="363"/>
    </row>
    <row r="123">
      <c r="A123" s="111"/>
      <c r="B123" s="363"/>
      <c r="C123" s="363"/>
      <c r="D123" s="363"/>
      <c r="E123" s="363"/>
      <c r="F123" s="363"/>
      <c r="G123" s="363"/>
    </row>
    <row r="124">
      <c r="A124" s="111"/>
      <c r="B124" s="363"/>
      <c r="C124" s="363"/>
      <c r="D124" s="363"/>
      <c r="E124" s="363"/>
      <c r="F124" s="363"/>
      <c r="G124" s="363"/>
    </row>
    <row r="125">
      <c r="A125" s="111"/>
      <c r="B125" s="363"/>
      <c r="C125" s="363"/>
      <c r="D125" s="363"/>
      <c r="E125" s="363"/>
      <c r="F125" s="363"/>
      <c r="G125" s="363"/>
    </row>
    <row r="126">
      <c r="A126" s="111"/>
      <c r="B126" s="363"/>
      <c r="C126" s="363"/>
      <c r="D126" s="363"/>
      <c r="E126" s="363"/>
      <c r="F126" s="363"/>
      <c r="G126" s="363"/>
    </row>
    <row r="127">
      <c r="A127" s="111"/>
      <c r="B127" s="363"/>
      <c r="C127" s="363"/>
      <c r="D127" s="363"/>
      <c r="E127" s="363"/>
      <c r="F127" s="363"/>
      <c r="G127" s="363"/>
    </row>
    <row r="128">
      <c r="A128" s="111"/>
      <c r="B128" s="363"/>
      <c r="C128" s="363"/>
      <c r="D128" s="363"/>
      <c r="E128" s="363"/>
      <c r="F128" s="363"/>
      <c r="G128" s="363"/>
    </row>
    <row r="129">
      <c r="A129" s="111"/>
      <c r="B129" s="363"/>
      <c r="C129" s="363"/>
      <c r="D129" s="363"/>
      <c r="E129" s="363"/>
      <c r="F129" s="363"/>
      <c r="G129" s="363"/>
    </row>
    <row r="130">
      <c r="A130" s="111"/>
      <c r="B130" s="363"/>
      <c r="C130" s="363"/>
      <c r="D130" s="363"/>
      <c r="E130" s="363"/>
      <c r="F130" s="363"/>
      <c r="G130" s="363"/>
    </row>
    <row r="131">
      <c r="A131" s="111"/>
      <c r="B131" s="363"/>
      <c r="C131" s="363"/>
      <c r="D131" s="363"/>
      <c r="E131" s="363"/>
      <c r="F131" s="363"/>
      <c r="G131" s="363"/>
    </row>
    <row r="132">
      <c r="A132" s="111"/>
      <c r="B132" s="363"/>
      <c r="C132" s="363"/>
      <c r="D132" s="363"/>
      <c r="E132" s="363"/>
      <c r="F132" s="363"/>
      <c r="G132" s="363"/>
    </row>
    <row r="133">
      <c r="A133" s="111"/>
      <c r="B133" s="363"/>
      <c r="C133" s="363"/>
      <c r="D133" s="363"/>
      <c r="E133" s="363"/>
      <c r="F133" s="363"/>
      <c r="G133" s="363"/>
    </row>
    <row r="134">
      <c r="A134" s="111"/>
      <c r="B134" s="363"/>
      <c r="C134" s="363"/>
      <c r="D134" s="363"/>
      <c r="E134" s="363"/>
      <c r="F134" s="363"/>
      <c r="G134" s="363"/>
    </row>
    <row r="135">
      <c r="A135" s="111"/>
      <c r="B135" s="363"/>
      <c r="C135" s="363"/>
      <c r="D135" s="363"/>
      <c r="E135" s="363"/>
      <c r="F135" s="363"/>
      <c r="G135" s="363"/>
    </row>
    <row r="136">
      <c r="A136" s="111"/>
      <c r="B136" s="363"/>
      <c r="C136" s="363"/>
      <c r="D136" s="363"/>
      <c r="E136" s="363"/>
      <c r="F136" s="363"/>
      <c r="G136" s="363"/>
    </row>
    <row r="137">
      <c r="A137" s="111"/>
      <c r="B137" s="363"/>
      <c r="C137" s="363"/>
      <c r="D137" s="363"/>
      <c r="E137" s="363"/>
      <c r="F137" s="363"/>
      <c r="G137" s="363"/>
    </row>
    <row r="138">
      <c r="A138" s="111"/>
      <c r="B138" s="363"/>
      <c r="C138" s="363"/>
      <c r="D138" s="363"/>
      <c r="E138" s="363"/>
      <c r="F138" s="363"/>
      <c r="G138" s="363"/>
    </row>
    <row r="139">
      <c r="A139" s="111"/>
      <c r="B139" s="363"/>
      <c r="C139" s="363"/>
      <c r="D139" s="363"/>
      <c r="E139" s="363"/>
      <c r="F139" s="363"/>
      <c r="G139" s="363"/>
    </row>
    <row r="140">
      <c r="A140" s="111"/>
      <c r="B140" s="363"/>
      <c r="C140" s="363"/>
      <c r="D140" s="363"/>
      <c r="E140" s="363"/>
      <c r="F140" s="363"/>
      <c r="G140" s="363"/>
    </row>
    <row r="141">
      <c r="A141" s="111"/>
      <c r="B141" s="363"/>
      <c r="C141" s="363"/>
      <c r="D141" s="363"/>
      <c r="E141" s="363"/>
      <c r="F141" s="363"/>
      <c r="G141" s="363"/>
    </row>
    <row r="142">
      <c r="A142" s="111"/>
      <c r="B142" s="363"/>
      <c r="C142" s="363"/>
      <c r="D142" s="363"/>
      <c r="E142" s="363"/>
      <c r="F142" s="363"/>
      <c r="G142" s="363"/>
    </row>
    <row r="143">
      <c r="A143" s="111"/>
      <c r="B143" s="363"/>
      <c r="C143" s="363"/>
      <c r="D143" s="363"/>
      <c r="E143" s="363"/>
      <c r="F143" s="363"/>
      <c r="G143" s="363"/>
    </row>
    <row r="144">
      <c r="A144" s="111"/>
      <c r="B144" s="363"/>
      <c r="C144" s="363"/>
      <c r="D144" s="363"/>
      <c r="E144" s="363"/>
      <c r="F144" s="363"/>
      <c r="G144" s="363"/>
    </row>
    <row r="145">
      <c r="A145" s="111"/>
      <c r="B145" s="363"/>
      <c r="C145" s="363"/>
      <c r="D145" s="363"/>
      <c r="E145" s="363"/>
      <c r="F145" s="363"/>
      <c r="G145" s="363"/>
    </row>
    <row r="146">
      <c r="A146" s="111"/>
      <c r="B146" s="363"/>
      <c r="C146" s="363"/>
      <c r="D146" s="363"/>
      <c r="E146" s="363"/>
      <c r="F146" s="363"/>
      <c r="G146" s="363"/>
    </row>
    <row r="147">
      <c r="A147" s="111"/>
      <c r="B147" s="363"/>
      <c r="C147" s="363"/>
      <c r="D147" s="363"/>
      <c r="E147" s="363"/>
      <c r="F147" s="363"/>
      <c r="G147" s="363"/>
    </row>
    <row r="148">
      <c r="A148" s="111"/>
      <c r="B148" s="363"/>
      <c r="C148" s="363"/>
      <c r="D148" s="363"/>
      <c r="E148" s="363"/>
      <c r="F148" s="363"/>
      <c r="G148" s="363"/>
    </row>
    <row r="149">
      <c r="A149" s="111"/>
      <c r="B149" s="363"/>
      <c r="C149" s="363"/>
      <c r="D149" s="363"/>
      <c r="E149" s="363"/>
      <c r="F149" s="363"/>
      <c r="G149" s="363"/>
    </row>
    <row r="150">
      <c r="A150" s="111"/>
      <c r="B150" s="363"/>
      <c r="C150" s="363"/>
      <c r="D150" s="363"/>
      <c r="E150" s="363"/>
      <c r="F150" s="363"/>
      <c r="G150" s="363"/>
    </row>
    <row r="151">
      <c r="A151" s="111"/>
      <c r="B151" s="363"/>
      <c r="C151" s="363"/>
      <c r="D151" s="363"/>
      <c r="E151" s="363"/>
      <c r="F151" s="363"/>
      <c r="G151" s="363"/>
    </row>
    <row r="152">
      <c r="A152" s="111"/>
      <c r="B152" s="363"/>
      <c r="C152" s="363"/>
      <c r="D152" s="363"/>
      <c r="E152" s="363"/>
      <c r="F152" s="363"/>
      <c r="G152" s="363"/>
    </row>
    <row r="153">
      <c r="A153" s="111"/>
      <c r="B153" s="363"/>
      <c r="C153" s="363"/>
      <c r="D153" s="363"/>
      <c r="E153" s="363"/>
      <c r="F153" s="363"/>
      <c r="G153" s="363"/>
    </row>
    <row r="154">
      <c r="A154" s="111"/>
      <c r="B154" s="363"/>
      <c r="C154" s="363"/>
      <c r="D154" s="363"/>
      <c r="E154" s="363"/>
      <c r="F154" s="363"/>
      <c r="G154" s="363"/>
    </row>
    <row r="155">
      <c r="A155" s="111"/>
      <c r="B155" s="363"/>
      <c r="C155" s="363"/>
      <c r="D155" s="363"/>
      <c r="E155" s="363"/>
      <c r="F155" s="363"/>
      <c r="G155" s="363"/>
    </row>
    <row r="156">
      <c r="A156" s="111"/>
      <c r="B156" s="363"/>
      <c r="C156" s="363"/>
      <c r="D156" s="363"/>
      <c r="E156" s="363"/>
      <c r="F156" s="363"/>
      <c r="G156" s="363"/>
    </row>
    <row r="157">
      <c r="A157" s="111"/>
      <c r="B157" s="363"/>
      <c r="C157" s="363"/>
      <c r="D157" s="363"/>
      <c r="E157" s="363"/>
      <c r="F157" s="363"/>
      <c r="G157" s="363"/>
    </row>
    <row r="158">
      <c r="A158" s="111"/>
      <c r="B158" s="363"/>
      <c r="C158" s="363"/>
      <c r="D158" s="363"/>
      <c r="E158" s="363"/>
      <c r="F158" s="363"/>
      <c r="G158" s="363"/>
    </row>
    <row r="159">
      <c r="A159" s="111"/>
      <c r="B159" s="363"/>
      <c r="C159" s="363"/>
      <c r="D159" s="363"/>
      <c r="E159" s="363"/>
      <c r="F159" s="363"/>
      <c r="G159" s="363"/>
    </row>
    <row r="160">
      <c r="A160" s="111"/>
      <c r="B160" s="363"/>
      <c r="C160" s="363"/>
      <c r="D160" s="363"/>
      <c r="E160" s="363"/>
      <c r="F160" s="363"/>
      <c r="G160" s="363"/>
    </row>
    <row r="161">
      <c r="A161" s="111"/>
      <c r="B161" s="363"/>
      <c r="C161" s="363"/>
      <c r="D161" s="363"/>
      <c r="E161" s="363"/>
      <c r="F161" s="363"/>
      <c r="G161" s="363"/>
    </row>
    <row r="162">
      <c r="A162" s="111"/>
      <c r="B162" s="363"/>
      <c r="C162" s="363"/>
      <c r="D162" s="363"/>
      <c r="E162" s="363"/>
      <c r="F162" s="363"/>
      <c r="G162" s="363"/>
    </row>
    <row r="163">
      <c r="A163" s="111"/>
      <c r="B163" s="363"/>
      <c r="C163" s="363"/>
      <c r="D163" s="363"/>
      <c r="E163" s="363"/>
      <c r="F163" s="363"/>
      <c r="G163" s="363"/>
    </row>
    <row r="164">
      <c r="A164" s="111"/>
      <c r="B164" s="363"/>
      <c r="C164" s="363"/>
      <c r="D164" s="363"/>
      <c r="E164" s="363"/>
      <c r="F164" s="363"/>
      <c r="G164" s="363"/>
    </row>
    <row r="165">
      <c r="A165" s="111"/>
      <c r="B165" s="363"/>
      <c r="C165" s="363"/>
      <c r="D165" s="363"/>
      <c r="E165" s="363"/>
      <c r="F165" s="363"/>
      <c r="G165" s="363"/>
    </row>
    <row r="166">
      <c r="A166" s="111"/>
      <c r="B166" s="363"/>
      <c r="C166" s="363"/>
      <c r="D166" s="363"/>
      <c r="E166" s="363"/>
      <c r="F166" s="363"/>
      <c r="G166" s="363"/>
    </row>
    <row r="167">
      <c r="A167" s="111"/>
      <c r="B167" s="363"/>
      <c r="C167" s="363"/>
      <c r="D167" s="363"/>
      <c r="E167" s="363"/>
      <c r="F167" s="363"/>
      <c r="G167" s="363"/>
    </row>
    <row r="168">
      <c r="A168" s="111"/>
      <c r="B168" s="363"/>
      <c r="C168" s="363"/>
      <c r="D168" s="363"/>
      <c r="E168" s="363"/>
      <c r="F168" s="363"/>
      <c r="G168" s="363"/>
    </row>
    <row r="169">
      <c r="A169" s="111"/>
      <c r="B169" s="363"/>
      <c r="C169" s="363"/>
      <c r="D169" s="363"/>
      <c r="E169" s="363"/>
      <c r="F169" s="363"/>
      <c r="G169" s="363"/>
    </row>
    <row r="170">
      <c r="A170" s="111"/>
      <c r="B170" s="363"/>
      <c r="C170" s="363"/>
      <c r="D170" s="363"/>
      <c r="E170" s="363"/>
      <c r="F170" s="363"/>
      <c r="G170" s="363"/>
    </row>
    <row r="171">
      <c r="A171" s="111"/>
      <c r="B171" s="363"/>
      <c r="C171" s="363"/>
      <c r="D171" s="363"/>
      <c r="E171" s="363"/>
      <c r="F171" s="363"/>
      <c r="G171" s="363"/>
    </row>
    <row r="172">
      <c r="A172" s="111"/>
      <c r="B172" s="363"/>
      <c r="C172" s="363"/>
      <c r="D172" s="363"/>
      <c r="E172" s="363"/>
      <c r="F172" s="363"/>
      <c r="G172" s="363"/>
    </row>
    <row r="173">
      <c r="A173" s="111"/>
      <c r="B173" s="363"/>
      <c r="C173" s="363"/>
      <c r="D173" s="363"/>
      <c r="E173" s="363"/>
      <c r="F173" s="363"/>
      <c r="G173" s="363"/>
    </row>
    <row r="174">
      <c r="A174" s="111"/>
      <c r="B174" s="363"/>
      <c r="C174" s="363"/>
      <c r="D174" s="363"/>
      <c r="E174" s="363"/>
      <c r="F174" s="363"/>
      <c r="G174" s="363"/>
    </row>
    <row r="175">
      <c r="A175" s="111"/>
      <c r="B175" s="363"/>
      <c r="C175" s="363"/>
      <c r="D175" s="363"/>
      <c r="E175" s="363"/>
      <c r="F175" s="363"/>
      <c r="G175" s="363"/>
    </row>
    <row r="176">
      <c r="A176" s="111"/>
      <c r="B176" s="363"/>
      <c r="C176" s="363"/>
      <c r="D176" s="363"/>
      <c r="E176" s="363"/>
      <c r="F176" s="363"/>
      <c r="G176" s="363"/>
    </row>
    <row r="177">
      <c r="A177" s="111"/>
      <c r="B177" s="363"/>
      <c r="C177" s="363"/>
      <c r="D177" s="363"/>
      <c r="E177" s="363"/>
      <c r="F177" s="363"/>
      <c r="G177" s="363"/>
    </row>
    <row r="178">
      <c r="A178" s="111"/>
      <c r="B178" s="363"/>
      <c r="C178" s="363"/>
      <c r="D178" s="363"/>
      <c r="E178" s="363"/>
      <c r="F178" s="363"/>
      <c r="G178" s="363"/>
    </row>
    <row r="179">
      <c r="A179" s="111"/>
      <c r="B179" s="363"/>
      <c r="C179" s="363"/>
      <c r="D179" s="363"/>
      <c r="E179" s="363"/>
      <c r="F179" s="363"/>
      <c r="G179" s="363"/>
    </row>
    <row r="180">
      <c r="A180" s="111"/>
      <c r="B180" s="363"/>
      <c r="C180" s="363"/>
      <c r="D180" s="363"/>
      <c r="E180" s="363"/>
      <c r="F180" s="363"/>
      <c r="G180" s="363"/>
    </row>
    <row r="181">
      <c r="A181" s="111"/>
      <c r="B181" s="363"/>
      <c r="C181" s="363"/>
      <c r="D181" s="363"/>
      <c r="E181" s="363"/>
      <c r="F181" s="363"/>
      <c r="G181" s="363"/>
    </row>
    <row r="182">
      <c r="A182" s="111"/>
      <c r="B182" s="363"/>
      <c r="C182" s="363"/>
      <c r="D182" s="363"/>
      <c r="E182" s="363"/>
      <c r="F182" s="363"/>
      <c r="G182" s="363"/>
    </row>
    <row r="183">
      <c r="A183" s="111"/>
      <c r="B183" s="363"/>
      <c r="C183" s="363"/>
      <c r="D183" s="363"/>
      <c r="E183" s="363"/>
      <c r="F183" s="363"/>
      <c r="G183" s="363"/>
    </row>
    <row r="184">
      <c r="A184" s="111"/>
      <c r="B184" s="363"/>
      <c r="C184" s="363"/>
      <c r="D184" s="363"/>
      <c r="E184" s="363"/>
      <c r="F184" s="363"/>
      <c r="G184" s="363"/>
    </row>
    <row r="185">
      <c r="A185" s="111"/>
      <c r="B185" s="363"/>
      <c r="C185" s="363"/>
      <c r="D185" s="363"/>
      <c r="E185" s="363"/>
      <c r="F185" s="363"/>
      <c r="G185" s="363"/>
    </row>
    <row r="186">
      <c r="A186" s="111"/>
      <c r="B186" s="363"/>
      <c r="C186" s="363"/>
      <c r="D186" s="363"/>
      <c r="E186" s="363"/>
      <c r="F186" s="363"/>
      <c r="G186" s="363"/>
    </row>
    <row r="187">
      <c r="A187" s="111"/>
      <c r="B187" s="363"/>
      <c r="C187" s="363"/>
      <c r="D187" s="363"/>
      <c r="E187" s="363"/>
      <c r="F187" s="363"/>
      <c r="G187" s="363"/>
    </row>
    <row r="188">
      <c r="A188" s="111"/>
      <c r="B188" s="363"/>
      <c r="C188" s="363"/>
      <c r="D188" s="363"/>
      <c r="E188" s="363"/>
      <c r="F188" s="363"/>
      <c r="G188" s="363"/>
    </row>
    <row r="189">
      <c r="A189" s="111"/>
      <c r="B189" s="363"/>
      <c r="C189" s="363"/>
      <c r="D189" s="363"/>
      <c r="E189" s="363"/>
      <c r="F189" s="363"/>
      <c r="G189" s="363"/>
    </row>
    <row r="190">
      <c r="A190" s="111"/>
      <c r="B190" s="363"/>
      <c r="C190" s="363"/>
      <c r="D190" s="363"/>
      <c r="E190" s="363"/>
      <c r="F190" s="363"/>
      <c r="G190" s="363"/>
    </row>
    <row r="191">
      <c r="A191" s="111"/>
      <c r="B191" s="363"/>
      <c r="C191" s="363"/>
      <c r="D191" s="363"/>
      <c r="E191" s="363"/>
      <c r="F191" s="363"/>
      <c r="G191" s="363"/>
    </row>
    <row r="192">
      <c r="A192" s="111"/>
      <c r="B192" s="363"/>
      <c r="C192" s="363"/>
      <c r="D192" s="363"/>
      <c r="E192" s="363"/>
      <c r="F192" s="363"/>
      <c r="G192" s="363"/>
    </row>
    <row r="193">
      <c r="A193" s="111"/>
      <c r="B193" s="363"/>
      <c r="C193" s="363"/>
      <c r="D193" s="363"/>
      <c r="E193" s="363"/>
      <c r="F193" s="363"/>
      <c r="G193" s="363"/>
    </row>
    <row r="194">
      <c r="A194" s="111"/>
      <c r="B194" s="363"/>
      <c r="C194" s="363"/>
      <c r="D194" s="363"/>
      <c r="E194" s="363"/>
      <c r="F194" s="363"/>
      <c r="G194" s="363"/>
    </row>
    <row r="195">
      <c r="A195" s="111"/>
      <c r="B195" s="363"/>
      <c r="C195" s="363"/>
      <c r="D195" s="363"/>
      <c r="E195" s="363"/>
      <c r="F195" s="363"/>
      <c r="G195" s="363"/>
    </row>
    <row r="196">
      <c r="A196" s="111"/>
      <c r="B196" s="363"/>
      <c r="C196" s="363"/>
      <c r="D196" s="363"/>
      <c r="E196" s="363"/>
      <c r="F196" s="363"/>
      <c r="G196" s="363"/>
    </row>
    <row r="197">
      <c r="A197" s="111"/>
      <c r="B197" s="363"/>
      <c r="C197" s="363"/>
      <c r="D197" s="363"/>
      <c r="E197" s="363"/>
      <c r="F197" s="363"/>
      <c r="G197" s="363"/>
    </row>
    <row r="198">
      <c r="A198" s="111"/>
      <c r="B198" s="363"/>
      <c r="C198" s="363"/>
      <c r="D198" s="363"/>
      <c r="E198" s="363"/>
      <c r="F198" s="363"/>
      <c r="G198" s="363"/>
    </row>
    <row r="199">
      <c r="A199" s="111"/>
      <c r="B199" s="363"/>
      <c r="C199" s="363"/>
      <c r="D199" s="363"/>
      <c r="E199" s="363"/>
      <c r="F199" s="363"/>
      <c r="G199" s="363"/>
    </row>
    <row r="200">
      <c r="A200" s="111"/>
      <c r="B200" s="363"/>
      <c r="C200" s="363"/>
      <c r="D200" s="363"/>
      <c r="E200" s="363"/>
      <c r="F200" s="363"/>
      <c r="G200" s="363"/>
    </row>
    <row r="201">
      <c r="A201" s="111"/>
      <c r="B201" s="363"/>
      <c r="C201" s="363"/>
      <c r="D201" s="363"/>
      <c r="E201" s="363"/>
      <c r="F201" s="363"/>
      <c r="G201" s="363"/>
    </row>
    <row r="202">
      <c r="A202" s="111"/>
      <c r="B202" s="363"/>
      <c r="C202" s="363"/>
      <c r="D202" s="363"/>
      <c r="E202" s="363"/>
      <c r="F202" s="363"/>
      <c r="G202" s="363"/>
    </row>
    <row r="203">
      <c r="A203" s="111"/>
      <c r="B203" s="363"/>
      <c r="C203" s="363"/>
      <c r="D203" s="363"/>
      <c r="E203" s="363"/>
      <c r="F203" s="363"/>
      <c r="G203" s="363"/>
    </row>
    <row r="204">
      <c r="A204" s="111"/>
      <c r="B204" s="363"/>
      <c r="C204" s="363"/>
      <c r="D204" s="363"/>
      <c r="E204" s="363"/>
      <c r="F204" s="363"/>
      <c r="G204" s="363"/>
    </row>
    <row r="205">
      <c r="A205" s="111"/>
      <c r="B205" s="363"/>
      <c r="C205" s="363"/>
      <c r="D205" s="363"/>
      <c r="E205" s="363"/>
      <c r="F205" s="363"/>
      <c r="G205" s="363"/>
    </row>
    <row r="206">
      <c r="A206" s="111"/>
      <c r="B206" s="363"/>
      <c r="C206" s="363"/>
      <c r="D206" s="363"/>
      <c r="E206" s="363"/>
      <c r="F206" s="363"/>
      <c r="G206" s="363"/>
    </row>
    <row r="207">
      <c r="A207" s="111"/>
      <c r="B207" s="363"/>
      <c r="C207" s="363"/>
      <c r="D207" s="363"/>
      <c r="E207" s="363"/>
      <c r="F207" s="363"/>
      <c r="G207" s="363"/>
    </row>
    <row r="208">
      <c r="A208" s="111"/>
      <c r="B208" s="363"/>
      <c r="C208" s="363"/>
      <c r="D208" s="363"/>
      <c r="E208" s="363"/>
      <c r="F208" s="363"/>
      <c r="G208" s="363"/>
    </row>
    <row r="209">
      <c r="A209" s="111"/>
      <c r="B209" s="363"/>
      <c r="C209" s="363"/>
      <c r="D209" s="363"/>
      <c r="E209" s="363"/>
      <c r="F209" s="363"/>
      <c r="G209" s="363"/>
    </row>
    <row r="210">
      <c r="A210" s="111"/>
      <c r="B210" s="363"/>
      <c r="C210" s="363"/>
      <c r="D210" s="363"/>
      <c r="E210" s="363"/>
      <c r="F210" s="363"/>
      <c r="G210" s="363"/>
    </row>
    <row r="211">
      <c r="A211" s="111"/>
      <c r="B211" s="363"/>
      <c r="C211" s="363"/>
      <c r="D211" s="363"/>
      <c r="E211" s="363"/>
      <c r="F211" s="363"/>
      <c r="G211" s="363"/>
    </row>
    <row r="212">
      <c r="A212" s="111"/>
      <c r="B212" s="363"/>
      <c r="C212" s="363"/>
      <c r="D212" s="363"/>
      <c r="E212" s="363"/>
      <c r="F212" s="363"/>
      <c r="G212" s="363"/>
    </row>
    <row r="213">
      <c r="A213" s="111"/>
      <c r="B213" s="363"/>
      <c r="C213" s="363"/>
      <c r="D213" s="363"/>
      <c r="E213" s="363"/>
      <c r="F213" s="363"/>
      <c r="G213" s="363"/>
    </row>
    <row r="214">
      <c r="A214" s="111"/>
      <c r="B214" s="363"/>
      <c r="C214" s="363"/>
      <c r="D214" s="363"/>
      <c r="E214" s="363"/>
      <c r="F214" s="363"/>
      <c r="G214" s="363"/>
    </row>
    <row r="215">
      <c r="A215" s="111"/>
      <c r="B215" s="363"/>
      <c r="C215" s="363"/>
      <c r="D215" s="363"/>
      <c r="E215" s="363"/>
      <c r="F215" s="363"/>
      <c r="G215" s="363"/>
    </row>
    <row r="216">
      <c r="A216" s="111"/>
      <c r="B216" s="363"/>
      <c r="C216" s="363"/>
      <c r="D216" s="363"/>
      <c r="E216" s="363"/>
      <c r="F216" s="363"/>
      <c r="G216" s="363"/>
    </row>
    <row r="217">
      <c r="A217" s="111"/>
      <c r="B217" s="363"/>
      <c r="C217" s="363"/>
      <c r="D217" s="363"/>
      <c r="E217" s="363"/>
      <c r="F217" s="363"/>
      <c r="G217" s="363"/>
    </row>
    <row r="218">
      <c r="A218" s="111"/>
      <c r="B218" s="363"/>
      <c r="C218" s="363"/>
      <c r="D218" s="363"/>
      <c r="E218" s="363"/>
      <c r="F218" s="363"/>
      <c r="G218" s="363"/>
    </row>
    <row r="219">
      <c r="A219" s="111"/>
      <c r="B219" s="363"/>
      <c r="C219" s="363"/>
      <c r="D219" s="363"/>
      <c r="E219" s="363"/>
      <c r="F219" s="363"/>
      <c r="G219" s="363"/>
    </row>
    <row r="220">
      <c r="A220" s="111"/>
      <c r="B220" s="363"/>
      <c r="C220" s="363"/>
      <c r="D220" s="363"/>
      <c r="E220" s="363"/>
      <c r="F220" s="363"/>
      <c r="G220" s="363"/>
    </row>
    <row r="221">
      <c r="A221" s="111"/>
      <c r="B221" s="363"/>
      <c r="C221" s="363"/>
      <c r="D221" s="363"/>
      <c r="E221" s="363"/>
      <c r="F221" s="363"/>
      <c r="G221" s="363"/>
    </row>
    <row r="222">
      <c r="A222" s="111"/>
      <c r="B222" s="363"/>
      <c r="C222" s="363"/>
      <c r="D222" s="363"/>
      <c r="E222" s="363"/>
      <c r="F222" s="363"/>
      <c r="G222" s="363"/>
    </row>
    <row r="223">
      <c r="A223" s="111"/>
      <c r="B223" s="363"/>
      <c r="C223" s="363"/>
      <c r="D223" s="363"/>
      <c r="E223" s="363"/>
      <c r="F223" s="363"/>
      <c r="G223" s="363"/>
    </row>
    <row r="224">
      <c r="A224" s="111"/>
      <c r="B224" s="363"/>
      <c r="C224" s="363"/>
      <c r="D224" s="363"/>
      <c r="E224" s="363"/>
      <c r="F224" s="363"/>
      <c r="G224" s="363"/>
    </row>
    <row r="225">
      <c r="A225" s="111"/>
      <c r="B225" s="363"/>
      <c r="C225" s="363"/>
      <c r="D225" s="363"/>
      <c r="E225" s="363"/>
      <c r="F225" s="363"/>
      <c r="G225" s="363"/>
    </row>
    <row r="226">
      <c r="A226" s="111"/>
      <c r="B226" s="363"/>
      <c r="C226" s="363"/>
      <c r="D226" s="363"/>
      <c r="E226" s="363"/>
      <c r="F226" s="363"/>
      <c r="G226" s="363"/>
    </row>
    <row r="227">
      <c r="A227" s="111"/>
      <c r="B227" s="363"/>
      <c r="C227" s="363"/>
      <c r="D227" s="363"/>
      <c r="E227" s="363"/>
      <c r="F227" s="363"/>
      <c r="G227" s="363"/>
    </row>
    <row r="228">
      <c r="A228" s="111"/>
      <c r="B228" s="363"/>
      <c r="C228" s="363"/>
      <c r="D228" s="363"/>
      <c r="E228" s="363"/>
      <c r="F228" s="363"/>
      <c r="G228" s="363"/>
    </row>
    <row r="229">
      <c r="A229" s="111"/>
      <c r="B229" s="363"/>
      <c r="C229" s="363"/>
      <c r="D229" s="363"/>
      <c r="E229" s="363"/>
      <c r="F229" s="363"/>
      <c r="G229" s="363"/>
    </row>
    <row r="230">
      <c r="A230" s="111"/>
      <c r="B230" s="363"/>
      <c r="C230" s="363"/>
      <c r="D230" s="363"/>
      <c r="E230" s="363"/>
      <c r="F230" s="363"/>
      <c r="G230" s="363"/>
    </row>
    <row r="231">
      <c r="A231" s="111"/>
      <c r="B231" s="363"/>
      <c r="C231" s="363"/>
      <c r="D231" s="363"/>
      <c r="E231" s="363"/>
      <c r="F231" s="363"/>
      <c r="G231" s="363"/>
    </row>
    <row r="232">
      <c r="A232" s="111"/>
      <c r="B232" s="363"/>
      <c r="C232" s="363"/>
      <c r="D232" s="363"/>
      <c r="E232" s="363"/>
      <c r="F232" s="363"/>
      <c r="G232" s="363"/>
    </row>
    <row r="233">
      <c r="A233" s="111"/>
      <c r="B233" s="363"/>
      <c r="C233" s="363"/>
      <c r="D233" s="363"/>
      <c r="E233" s="363"/>
      <c r="F233" s="363"/>
      <c r="G233" s="363"/>
    </row>
    <row r="234">
      <c r="A234" s="111"/>
      <c r="B234" s="363"/>
      <c r="C234" s="363"/>
      <c r="D234" s="363"/>
      <c r="E234" s="363"/>
      <c r="F234" s="363"/>
      <c r="G234" s="363"/>
    </row>
    <row r="235">
      <c r="A235" s="111"/>
      <c r="B235" s="363"/>
      <c r="C235" s="363"/>
      <c r="D235" s="363"/>
      <c r="E235" s="363"/>
      <c r="F235" s="363"/>
      <c r="G235" s="363"/>
    </row>
    <row r="236">
      <c r="A236" s="111"/>
      <c r="B236" s="363"/>
      <c r="C236" s="363"/>
      <c r="D236" s="363"/>
      <c r="E236" s="363"/>
      <c r="F236" s="363"/>
      <c r="G236" s="363"/>
    </row>
    <row r="237">
      <c r="A237" s="111"/>
      <c r="B237" s="363"/>
      <c r="C237" s="363"/>
      <c r="D237" s="363"/>
      <c r="E237" s="363"/>
      <c r="F237" s="363"/>
      <c r="G237" s="363"/>
    </row>
    <row r="238">
      <c r="A238" s="111"/>
      <c r="B238" s="363"/>
      <c r="C238" s="363"/>
      <c r="D238" s="363"/>
      <c r="E238" s="363"/>
      <c r="F238" s="363"/>
      <c r="G238" s="363"/>
    </row>
    <row r="239">
      <c r="A239" s="111"/>
      <c r="B239" s="363"/>
      <c r="C239" s="363"/>
      <c r="D239" s="363"/>
      <c r="E239" s="363"/>
      <c r="F239" s="363"/>
      <c r="G239" s="363"/>
    </row>
    <row r="240">
      <c r="A240" s="111"/>
      <c r="B240" s="363"/>
      <c r="C240" s="363"/>
      <c r="D240" s="363"/>
      <c r="E240" s="363"/>
      <c r="F240" s="363"/>
      <c r="G240" s="363"/>
    </row>
    <row r="241">
      <c r="A241" s="111"/>
      <c r="B241" s="363"/>
      <c r="C241" s="363"/>
      <c r="D241" s="363"/>
      <c r="E241" s="363"/>
      <c r="F241" s="363"/>
      <c r="G241" s="363"/>
    </row>
    <row r="242">
      <c r="A242" s="111"/>
      <c r="B242" s="363"/>
      <c r="C242" s="363"/>
      <c r="D242" s="363"/>
      <c r="E242" s="363"/>
      <c r="F242" s="363"/>
      <c r="G242" s="363"/>
    </row>
    <row r="243">
      <c r="A243" s="111"/>
      <c r="B243" s="363"/>
      <c r="C243" s="363"/>
      <c r="D243" s="363"/>
      <c r="E243" s="363"/>
      <c r="F243" s="363"/>
      <c r="G243" s="363"/>
    </row>
    <row r="244">
      <c r="A244" s="111"/>
      <c r="B244" s="363"/>
      <c r="C244" s="363"/>
      <c r="D244" s="363"/>
      <c r="E244" s="363"/>
      <c r="F244" s="363"/>
      <c r="G244" s="363"/>
    </row>
    <row r="245">
      <c r="A245" s="111"/>
      <c r="B245" s="363"/>
      <c r="C245" s="363"/>
      <c r="D245" s="363"/>
      <c r="E245" s="363"/>
      <c r="F245" s="363"/>
      <c r="G245" s="363"/>
    </row>
    <row r="246">
      <c r="A246" s="111"/>
      <c r="B246" s="363"/>
      <c r="C246" s="363"/>
      <c r="D246" s="363"/>
      <c r="E246" s="363"/>
      <c r="F246" s="363"/>
      <c r="G246" s="363"/>
    </row>
    <row r="247">
      <c r="A247" s="111"/>
      <c r="B247" s="363"/>
      <c r="C247" s="363"/>
      <c r="D247" s="363"/>
      <c r="E247" s="363"/>
      <c r="F247" s="363"/>
      <c r="G247" s="363"/>
    </row>
    <row r="248">
      <c r="A248" s="111"/>
      <c r="B248" s="363"/>
      <c r="C248" s="363"/>
      <c r="D248" s="363"/>
      <c r="E248" s="363"/>
      <c r="F248" s="363"/>
      <c r="G248" s="363"/>
    </row>
    <row r="249">
      <c r="A249" s="111"/>
      <c r="B249" s="363"/>
      <c r="C249" s="363"/>
      <c r="D249" s="363"/>
      <c r="E249" s="363"/>
      <c r="F249" s="363"/>
      <c r="G249" s="363"/>
    </row>
    <row r="250">
      <c r="A250" s="111"/>
      <c r="B250" s="363"/>
      <c r="C250" s="363"/>
      <c r="D250" s="363"/>
      <c r="E250" s="363"/>
      <c r="F250" s="363"/>
      <c r="G250" s="363"/>
    </row>
    <row r="251">
      <c r="A251" s="111"/>
      <c r="B251" s="363"/>
      <c r="C251" s="363"/>
      <c r="D251" s="363"/>
      <c r="E251" s="363"/>
      <c r="F251" s="363"/>
      <c r="G251" s="363"/>
    </row>
    <row r="252">
      <c r="A252" s="111"/>
      <c r="B252" s="363"/>
      <c r="C252" s="363"/>
      <c r="D252" s="363"/>
      <c r="E252" s="363"/>
      <c r="F252" s="363"/>
      <c r="G252" s="363"/>
    </row>
    <row r="253">
      <c r="A253" s="111"/>
      <c r="B253" s="363"/>
      <c r="C253" s="363"/>
      <c r="D253" s="363"/>
      <c r="E253" s="363"/>
      <c r="F253" s="363"/>
      <c r="G253" s="363"/>
    </row>
    <row r="254">
      <c r="A254" s="111"/>
      <c r="B254" s="363"/>
      <c r="C254" s="363"/>
      <c r="D254" s="363"/>
      <c r="E254" s="363"/>
      <c r="F254" s="363"/>
      <c r="G254" s="363"/>
    </row>
    <row r="255">
      <c r="A255" s="111"/>
      <c r="B255" s="363"/>
      <c r="C255" s="363"/>
      <c r="D255" s="363"/>
      <c r="E255" s="363"/>
      <c r="F255" s="363"/>
      <c r="G255" s="363"/>
    </row>
    <row r="256">
      <c r="A256" s="111"/>
      <c r="B256" s="363"/>
      <c r="C256" s="363"/>
      <c r="D256" s="363"/>
      <c r="E256" s="363"/>
      <c r="F256" s="363"/>
      <c r="G256" s="363"/>
    </row>
    <row r="257">
      <c r="A257" s="111"/>
      <c r="B257" s="363"/>
      <c r="C257" s="363"/>
      <c r="D257" s="363"/>
      <c r="E257" s="363"/>
      <c r="F257" s="363"/>
      <c r="G257" s="363"/>
    </row>
    <row r="258">
      <c r="A258" s="111"/>
      <c r="B258" s="363"/>
      <c r="C258" s="363"/>
      <c r="D258" s="363"/>
      <c r="E258" s="363"/>
      <c r="F258" s="363"/>
      <c r="G258" s="363"/>
    </row>
    <row r="259">
      <c r="A259" s="111"/>
      <c r="B259" s="363"/>
      <c r="C259" s="363"/>
      <c r="D259" s="363"/>
      <c r="E259" s="363"/>
      <c r="F259" s="363"/>
      <c r="G259" s="363"/>
    </row>
    <row r="260">
      <c r="A260" s="111"/>
      <c r="B260" s="363"/>
      <c r="C260" s="363"/>
      <c r="D260" s="363"/>
      <c r="E260" s="363"/>
      <c r="F260" s="363"/>
      <c r="G260" s="363"/>
    </row>
    <row r="261">
      <c r="A261" s="111"/>
      <c r="B261" s="363"/>
      <c r="C261" s="363"/>
      <c r="D261" s="363"/>
      <c r="E261" s="363"/>
      <c r="F261" s="363"/>
      <c r="G261" s="363"/>
    </row>
    <row r="262">
      <c r="A262" s="111"/>
      <c r="B262" s="363"/>
      <c r="C262" s="363"/>
      <c r="D262" s="363"/>
      <c r="E262" s="363"/>
      <c r="F262" s="363"/>
      <c r="G262" s="363"/>
    </row>
    <row r="263">
      <c r="A263" s="111"/>
      <c r="B263" s="363"/>
      <c r="C263" s="363"/>
      <c r="D263" s="363"/>
      <c r="E263" s="363"/>
      <c r="F263" s="363"/>
      <c r="G263" s="363"/>
    </row>
    <row r="264">
      <c r="A264" s="111"/>
      <c r="B264" s="363"/>
      <c r="C264" s="363"/>
      <c r="D264" s="363"/>
      <c r="E264" s="363"/>
      <c r="F264" s="363"/>
      <c r="G264" s="363"/>
    </row>
    <row r="265">
      <c r="A265" s="111"/>
      <c r="B265" s="363"/>
      <c r="C265" s="363"/>
      <c r="D265" s="363"/>
      <c r="E265" s="363"/>
      <c r="F265" s="363"/>
      <c r="G265" s="363"/>
    </row>
    <row r="266">
      <c r="A266" s="111"/>
      <c r="B266" s="363"/>
      <c r="C266" s="363"/>
      <c r="D266" s="363"/>
      <c r="E266" s="363"/>
      <c r="F266" s="363"/>
      <c r="G266" s="363"/>
    </row>
    <row r="267">
      <c r="A267" s="111"/>
      <c r="B267" s="363"/>
      <c r="C267" s="363"/>
      <c r="D267" s="363"/>
      <c r="E267" s="363"/>
      <c r="F267" s="363"/>
      <c r="G267" s="363"/>
    </row>
    <row r="268">
      <c r="A268" s="111"/>
      <c r="B268" s="363"/>
      <c r="C268" s="363"/>
      <c r="D268" s="363"/>
      <c r="E268" s="363"/>
      <c r="F268" s="363"/>
      <c r="G268" s="363"/>
    </row>
    <row r="269">
      <c r="A269" s="111"/>
      <c r="B269" s="363"/>
      <c r="C269" s="363"/>
      <c r="D269" s="363"/>
      <c r="E269" s="363"/>
      <c r="F269" s="363"/>
      <c r="G269" s="363"/>
    </row>
    <row r="270">
      <c r="A270" s="111"/>
      <c r="B270" s="363"/>
      <c r="C270" s="363"/>
      <c r="D270" s="363"/>
      <c r="E270" s="363"/>
      <c r="F270" s="363"/>
      <c r="G270" s="363"/>
    </row>
    <row r="271">
      <c r="A271" s="111"/>
      <c r="B271" s="363"/>
      <c r="C271" s="363"/>
      <c r="D271" s="363"/>
      <c r="E271" s="363"/>
      <c r="F271" s="363"/>
      <c r="G271" s="363"/>
    </row>
    <row r="272">
      <c r="A272" s="111"/>
      <c r="B272" s="363"/>
      <c r="C272" s="363"/>
      <c r="D272" s="363"/>
      <c r="E272" s="363"/>
      <c r="F272" s="363"/>
      <c r="G272" s="363"/>
    </row>
    <row r="273">
      <c r="A273" s="111"/>
      <c r="B273" s="363"/>
      <c r="C273" s="363"/>
      <c r="D273" s="363"/>
      <c r="E273" s="363"/>
      <c r="F273" s="363"/>
      <c r="G273" s="363"/>
    </row>
    <row r="274">
      <c r="A274" s="111"/>
      <c r="B274" s="363"/>
      <c r="C274" s="363"/>
      <c r="D274" s="363"/>
      <c r="E274" s="363"/>
      <c r="F274" s="363"/>
      <c r="G274" s="363"/>
    </row>
    <row r="275">
      <c r="A275" s="111"/>
      <c r="B275" s="363"/>
      <c r="C275" s="363"/>
      <c r="D275" s="363"/>
      <c r="E275" s="363"/>
      <c r="F275" s="363"/>
      <c r="G275" s="363"/>
    </row>
    <row r="276">
      <c r="A276" s="111"/>
      <c r="B276" s="363"/>
      <c r="C276" s="363"/>
      <c r="D276" s="363"/>
      <c r="E276" s="363"/>
      <c r="F276" s="363"/>
      <c r="G276" s="363"/>
    </row>
    <row r="277">
      <c r="A277" s="111"/>
      <c r="B277" s="363"/>
      <c r="C277" s="363"/>
      <c r="D277" s="363"/>
      <c r="E277" s="363"/>
      <c r="F277" s="363"/>
      <c r="G277" s="363"/>
    </row>
    <row r="278">
      <c r="A278" s="111"/>
      <c r="B278" s="363"/>
      <c r="C278" s="363"/>
      <c r="D278" s="363"/>
      <c r="E278" s="363"/>
      <c r="F278" s="363"/>
      <c r="G278" s="363"/>
    </row>
    <row r="279">
      <c r="A279" s="111"/>
      <c r="B279" s="363"/>
      <c r="C279" s="363"/>
      <c r="D279" s="363"/>
      <c r="E279" s="363"/>
      <c r="F279" s="363"/>
      <c r="G279" s="363"/>
    </row>
    <row r="280">
      <c r="A280" s="111"/>
      <c r="B280" s="363"/>
      <c r="C280" s="363"/>
      <c r="D280" s="363"/>
      <c r="E280" s="363"/>
      <c r="F280" s="363"/>
      <c r="G280" s="363"/>
    </row>
    <row r="281">
      <c r="A281" s="111"/>
      <c r="B281" s="363"/>
      <c r="C281" s="363"/>
      <c r="D281" s="363"/>
      <c r="E281" s="363"/>
      <c r="F281" s="363"/>
      <c r="G281" s="363"/>
    </row>
    <row r="282">
      <c r="A282" s="111"/>
      <c r="B282" s="363"/>
      <c r="C282" s="363"/>
      <c r="D282" s="363"/>
      <c r="E282" s="363"/>
      <c r="F282" s="363"/>
      <c r="G282" s="363"/>
    </row>
    <row r="283">
      <c r="A283" s="111"/>
      <c r="B283" s="363"/>
      <c r="C283" s="363"/>
      <c r="D283" s="363"/>
      <c r="E283" s="363"/>
      <c r="F283" s="363"/>
      <c r="G283" s="363"/>
    </row>
    <row r="284">
      <c r="A284" s="111"/>
      <c r="B284" s="363"/>
      <c r="C284" s="363"/>
      <c r="D284" s="363"/>
      <c r="E284" s="363"/>
      <c r="F284" s="363"/>
      <c r="G284" s="363"/>
    </row>
    <row r="285">
      <c r="A285" s="111"/>
      <c r="B285" s="363"/>
      <c r="C285" s="363"/>
      <c r="D285" s="363"/>
      <c r="E285" s="363"/>
      <c r="F285" s="363"/>
      <c r="G285" s="363"/>
    </row>
    <row r="286">
      <c r="A286" s="111"/>
      <c r="B286" s="363"/>
      <c r="C286" s="363"/>
      <c r="D286" s="363"/>
      <c r="E286" s="363"/>
      <c r="F286" s="363"/>
      <c r="G286" s="363"/>
    </row>
    <row r="287">
      <c r="A287" s="111"/>
      <c r="B287" s="363"/>
      <c r="C287" s="363"/>
      <c r="D287" s="363"/>
      <c r="E287" s="363"/>
      <c r="F287" s="363"/>
      <c r="G287" s="363"/>
    </row>
    <row r="288">
      <c r="A288" s="111"/>
      <c r="B288" s="363"/>
      <c r="C288" s="363"/>
      <c r="D288" s="363"/>
      <c r="E288" s="363"/>
      <c r="F288" s="363"/>
      <c r="G288" s="363"/>
    </row>
    <row r="289">
      <c r="A289" s="111"/>
      <c r="B289" s="363"/>
      <c r="C289" s="363"/>
      <c r="D289" s="363"/>
      <c r="E289" s="363"/>
      <c r="F289" s="363"/>
      <c r="G289" s="363"/>
    </row>
    <row r="290">
      <c r="A290" s="111"/>
      <c r="B290" s="363"/>
      <c r="C290" s="363"/>
      <c r="D290" s="363"/>
      <c r="E290" s="363"/>
      <c r="F290" s="363"/>
      <c r="G290" s="363"/>
    </row>
    <row r="291">
      <c r="A291" s="111"/>
      <c r="B291" s="363"/>
      <c r="C291" s="363"/>
      <c r="D291" s="363"/>
      <c r="E291" s="363"/>
      <c r="F291" s="363"/>
      <c r="G291" s="363"/>
    </row>
    <row r="292">
      <c r="A292" s="111"/>
      <c r="B292" s="363"/>
      <c r="C292" s="363"/>
      <c r="D292" s="363"/>
      <c r="E292" s="363"/>
      <c r="F292" s="363"/>
      <c r="G292" s="363"/>
    </row>
    <row r="293">
      <c r="A293" s="111"/>
      <c r="B293" s="363"/>
      <c r="C293" s="363"/>
      <c r="D293" s="363"/>
      <c r="E293" s="363"/>
      <c r="F293" s="363"/>
      <c r="G293" s="363"/>
    </row>
    <row r="294">
      <c r="A294" s="111"/>
      <c r="B294" s="363"/>
      <c r="C294" s="363"/>
      <c r="D294" s="363"/>
      <c r="E294" s="363"/>
      <c r="F294" s="363"/>
      <c r="G294" s="363"/>
    </row>
    <row r="295">
      <c r="A295" s="111"/>
      <c r="B295" s="363"/>
      <c r="C295" s="363"/>
      <c r="D295" s="363"/>
      <c r="E295" s="363"/>
      <c r="F295" s="363"/>
      <c r="G295" s="363"/>
    </row>
    <row r="296">
      <c r="A296" s="111"/>
      <c r="B296" s="363"/>
      <c r="C296" s="363"/>
      <c r="D296" s="363"/>
      <c r="E296" s="363"/>
      <c r="F296" s="363"/>
      <c r="G296" s="363"/>
    </row>
    <row r="297">
      <c r="A297" s="111"/>
      <c r="B297" s="363"/>
      <c r="C297" s="363"/>
      <c r="D297" s="363"/>
      <c r="E297" s="363"/>
      <c r="F297" s="363"/>
      <c r="G297" s="363"/>
    </row>
    <row r="298">
      <c r="A298" s="111"/>
      <c r="B298" s="363"/>
      <c r="C298" s="363"/>
      <c r="D298" s="363"/>
      <c r="E298" s="363"/>
      <c r="F298" s="363"/>
      <c r="G298" s="363"/>
    </row>
    <row r="299">
      <c r="A299" s="111"/>
      <c r="B299" s="363"/>
      <c r="C299" s="363"/>
      <c r="D299" s="363"/>
      <c r="E299" s="363"/>
      <c r="F299" s="363"/>
      <c r="G299" s="363"/>
    </row>
    <row r="300">
      <c r="A300" s="111"/>
      <c r="B300" s="363"/>
      <c r="C300" s="363"/>
      <c r="D300" s="363"/>
      <c r="E300" s="363"/>
      <c r="F300" s="363"/>
      <c r="G300" s="363"/>
    </row>
    <row r="301">
      <c r="A301" s="111"/>
      <c r="B301" s="363"/>
      <c r="C301" s="363"/>
      <c r="D301" s="363"/>
      <c r="E301" s="363"/>
      <c r="F301" s="363"/>
      <c r="G301" s="363"/>
    </row>
    <row r="302">
      <c r="A302" s="111"/>
      <c r="B302" s="363"/>
      <c r="C302" s="363"/>
      <c r="D302" s="363"/>
      <c r="E302" s="363"/>
      <c r="F302" s="363"/>
      <c r="G302" s="363"/>
    </row>
    <row r="303">
      <c r="A303" s="111"/>
      <c r="B303" s="363"/>
      <c r="C303" s="363"/>
      <c r="D303" s="363"/>
      <c r="E303" s="363"/>
      <c r="F303" s="363"/>
      <c r="G303" s="363"/>
    </row>
    <row r="304">
      <c r="A304" s="111"/>
      <c r="B304" s="363"/>
      <c r="C304" s="363"/>
      <c r="D304" s="363"/>
      <c r="E304" s="363"/>
      <c r="F304" s="363"/>
      <c r="G304" s="363"/>
    </row>
    <row r="305">
      <c r="A305" s="111"/>
      <c r="B305" s="363"/>
      <c r="C305" s="363"/>
      <c r="D305" s="363"/>
      <c r="E305" s="363"/>
      <c r="F305" s="363"/>
      <c r="G305" s="363"/>
    </row>
    <row r="306">
      <c r="A306" s="111"/>
      <c r="B306" s="363"/>
      <c r="C306" s="363"/>
      <c r="D306" s="363"/>
      <c r="E306" s="363"/>
      <c r="F306" s="363"/>
      <c r="G306" s="363"/>
    </row>
    <row r="307">
      <c r="A307" s="111"/>
      <c r="B307" s="363"/>
      <c r="C307" s="363"/>
      <c r="D307" s="363"/>
      <c r="E307" s="363"/>
      <c r="F307" s="363"/>
      <c r="G307" s="363"/>
    </row>
    <row r="308">
      <c r="A308" s="111"/>
      <c r="B308" s="363"/>
      <c r="C308" s="363"/>
      <c r="D308" s="363"/>
      <c r="E308" s="363"/>
      <c r="F308" s="363"/>
      <c r="G308" s="363"/>
    </row>
    <row r="309">
      <c r="A309" s="111"/>
      <c r="B309" s="363"/>
      <c r="C309" s="363"/>
      <c r="D309" s="363"/>
      <c r="E309" s="363"/>
      <c r="F309" s="363"/>
      <c r="G309" s="363"/>
    </row>
    <row r="310">
      <c r="A310" s="111"/>
      <c r="B310" s="363"/>
      <c r="C310" s="363"/>
      <c r="D310" s="363"/>
      <c r="E310" s="363"/>
      <c r="F310" s="363"/>
      <c r="G310" s="363"/>
    </row>
    <row r="311">
      <c r="A311" s="111"/>
      <c r="B311" s="363"/>
      <c r="C311" s="363"/>
      <c r="D311" s="363"/>
      <c r="E311" s="363"/>
      <c r="F311" s="363"/>
      <c r="G311" s="363"/>
    </row>
    <row r="312">
      <c r="A312" s="111"/>
      <c r="B312" s="363"/>
      <c r="C312" s="363"/>
      <c r="D312" s="363"/>
      <c r="E312" s="363"/>
      <c r="F312" s="363"/>
      <c r="G312" s="363"/>
    </row>
    <row r="313">
      <c r="A313" s="111"/>
      <c r="B313" s="363"/>
      <c r="C313" s="363"/>
      <c r="D313" s="363"/>
      <c r="E313" s="363"/>
      <c r="F313" s="363"/>
      <c r="G313" s="363"/>
    </row>
    <row r="314">
      <c r="A314" s="111"/>
      <c r="B314" s="363"/>
      <c r="C314" s="363"/>
      <c r="D314" s="363"/>
      <c r="E314" s="363"/>
      <c r="F314" s="363"/>
      <c r="G314" s="363"/>
    </row>
    <row r="315">
      <c r="A315" s="111"/>
      <c r="B315" s="363"/>
      <c r="C315" s="363"/>
      <c r="D315" s="363"/>
      <c r="E315" s="363"/>
      <c r="F315" s="363"/>
      <c r="G315" s="363"/>
    </row>
    <row r="316">
      <c r="A316" s="111"/>
      <c r="B316" s="363"/>
      <c r="C316" s="363"/>
      <c r="D316" s="363"/>
      <c r="E316" s="363"/>
      <c r="F316" s="363"/>
      <c r="G316" s="363"/>
    </row>
    <row r="317">
      <c r="A317" s="111"/>
      <c r="B317" s="363"/>
      <c r="C317" s="363"/>
      <c r="D317" s="363"/>
      <c r="E317" s="363"/>
      <c r="F317" s="363"/>
      <c r="G317" s="363"/>
    </row>
    <row r="318">
      <c r="A318" s="111"/>
      <c r="B318" s="363"/>
      <c r="C318" s="363"/>
      <c r="D318" s="363"/>
      <c r="E318" s="363"/>
      <c r="F318" s="363"/>
      <c r="G318" s="363"/>
    </row>
    <row r="319">
      <c r="A319" s="111"/>
      <c r="B319" s="363"/>
      <c r="C319" s="363"/>
      <c r="D319" s="363"/>
      <c r="E319" s="363"/>
      <c r="F319" s="363"/>
      <c r="G319" s="363"/>
    </row>
    <row r="320">
      <c r="A320" s="111"/>
      <c r="B320" s="363"/>
      <c r="C320" s="363"/>
      <c r="D320" s="363"/>
      <c r="E320" s="363"/>
      <c r="F320" s="363"/>
      <c r="G320" s="363"/>
    </row>
    <row r="321">
      <c r="A321" s="111"/>
      <c r="B321" s="363"/>
      <c r="C321" s="363"/>
      <c r="D321" s="363"/>
      <c r="E321" s="363"/>
      <c r="F321" s="363"/>
      <c r="G321" s="363"/>
    </row>
    <row r="322">
      <c r="A322" s="111"/>
      <c r="B322" s="363"/>
      <c r="C322" s="363"/>
      <c r="D322" s="363"/>
      <c r="E322" s="363"/>
      <c r="F322" s="363"/>
      <c r="G322" s="363"/>
    </row>
    <row r="323">
      <c r="A323" s="111"/>
      <c r="B323" s="363"/>
      <c r="C323" s="363"/>
      <c r="D323" s="363"/>
      <c r="E323" s="363"/>
      <c r="F323" s="363"/>
      <c r="G323" s="363"/>
    </row>
    <row r="324">
      <c r="A324" s="111"/>
      <c r="B324" s="363"/>
      <c r="C324" s="363"/>
      <c r="D324" s="363"/>
      <c r="E324" s="363"/>
      <c r="F324" s="363"/>
      <c r="G324" s="363"/>
    </row>
    <row r="325">
      <c r="A325" s="111"/>
      <c r="B325" s="363"/>
      <c r="C325" s="363"/>
      <c r="D325" s="363"/>
      <c r="E325" s="363"/>
      <c r="F325" s="363"/>
      <c r="G325" s="363"/>
    </row>
    <row r="326">
      <c r="A326" s="111"/>
      <c r="B326" s="363"/>
      <c r="C326" s="363"/>
      <c r="D326" s="363"/>
      <c r="E326" s="363"/>
      <c r="F326" s="363"/>
      <c r="G326" s="363"/>
    </row>
    <row r="327">
      <c r="A327" s="111"/>
      <c r="B327" s="363"/>
      <c r="C327" s="363"/>
      <c r="D327" s="363"/>
      <c r="E327" s="363"/>
      <c r="F327" s="363"/>
      <c r="G327" s="363"/>
    </row>
    <row r="328">
      <c r="A328" s="111"/>
      <c r="B328" s="363"/>
      <c r="C328" s="363"/>
      <c r="D328" s="363"/>
      <c r="E328" s="363"/>
      <c r="F328" s="363"/>
      <c r="G328" s="363"/>
    </row>
    <row r="329">
      <c r="A329" s="111"/>
      <c r="B329" s="363"/>
      <c r="C329" s="363"/>
      <c r="D329" s="363"/>
      <c r="E329" s="363"/>
      <c r="F329" s="363"/>
      <c r="G329" s="363"/>
    </row>
    <row r="330">
      <c r="A330" s="111"/>
      <c r="B330" s="363"/>
      <c r="C330" s="363"/>
      <c r="D330" s="363"/>
      <c r="E330" s="363"/>
      <c r="F330" s="363"/>
      <c r="G330" s="363"/>
    </row>
    <row r="331">
      <c r="A331" s="111"/>
      <c r="B331" s="363"/>
      <c r="C331" s="363"/>
      <c r="D331" s="363"/>
      <c r="E331" s="363"/>
      <c r="F331" s="363"/>
      <c r="G331" s="363"/>
    </row>
    <row r="332">
      <c r="A332" s="111"/>
      <c r="B332" s="363"/>
      <c r="C332" s="363"/>
      <c r="D332" s="363"/>
      <c r="E332" s="363"/>
      <c r="F332" s="363"/>
      <c r="G332" s="363"/>
    </row>
    <row r="333">
      <c r="A333" s="111"/>
      <c r="B333" s="363"/>
      <c r="C333" s="363"/>
      <c r="D333" s="363"/>
      <c r="E333" s="363"/>
      <c r="F333" s="363"/>
      <c r="G333" s="363"/>
    </row>
    <row r="334">
      <c r="A334" s="111"/>
      <c r="B334" s="363"/>
      <c r="C334" s="363"/>
      <c r="D334" s="363"/>
      <c r="E334" s="363"/>
      <c r="F334" s="363"/>
      <c r="G334" s="363"/>
    </row>
    <row r="335">
      <c r="A335" s="111"/>
      <c r="B335" s="363"/>
      <c r="C335" s="363"/>
      <c r="D335" s="363"/>
      <c r="E335" s="363"/>
      <c r="F335" s="363"/>
      <c r="G335" s="363"/>
    </row>
    <row r="336">
      <c r="A336" s="111"/>
      <c r="B336" s="363"/>
      <c r="C336" s="363"/>
      <c r="D336" s="363"/>
      <c r="E336" s="363"/>
      <c r="F336" s="363"/>
      <c r="G336" s="363"/>
    </row>
    <row r="337">
      <c r="A337" s="111"/>
      <c r="B337" s="363"/>
      <c r="C337" s="363"/>
      <c r="D337" s="363"/>
      <c r="E337" s="363"/>
      <c r="F337" s="363"/>
      <c r="G337" s="363"/>
    </row>
    <row r="338">
      <c r="A338" s="111"/>
      <c r="B338" s="363"/>
      <c r="C338" s="363"/>
      <c r="D338" s="363"/>
      <c r="E338" s="363"/>
      <c r="F338" s="363"/>
      <c r="G338" s="363"/>
    </row>
    <row r="339">
      <c r="A339" s="111"/>
      <c r="B339" s="363"/>
      <c r="C339" s="363"/>
      <c r="D339" s="363"/>
      <c r="E339" s="363"/>
      <c r="F339" s="363"/>
      <c r="G339" s="363"/>
    </row>
    <row r="340">
      <c r="A340" s="111"/>
      <c r="B340" s="363"/>
      <c r="C340" s="363"/>
      <c r="D340" s="363"/>
      <c r="E340" s="363"/>
      <c r="F340" s="363"/>
      <c r="G340" s="363"/>
    </row>
    <row r="341">
      <c r="A341" s="111"/>
      <c r="B341" s="363"/>
      <c r="C341" s="363"/>
      <c r="D341" s="363"/>
      <c r="E341" s="363"/>
      <c r="F341" s="363"/>
      <c r="G341" s="363"/>
    </row>
    <row r="342">
      <c r="A342" s="111"/>
      <c r="B342" s="363"/>
      <c r="C342" s="363"/>
      <c r="D342" s="363"/>
      <c r="E342" s="363"/>
      <c r="F342" s="363"/>
      <c r="G342" s="363"/>
    </row>
    <row r="343">
      <c r="A343" s="111"/>
      <c r="B343" s="363"/>
      <c r="C343" s="363"/>
      <c r="D343" s="363"/>
      <c r="E343" s="363"/>
      <c r="F343" s="363"/>
      <c r="G343" s="363"/>
    </row>
    <row r="344">
      <c r="A344" s="111"/>
      <c r="B344" s="363"/>
      <c r="C344" s="363"/>
      <c r="D344" s="363"/>
      <c r="E344" s="363"/>
      <c r="F344" s="363"/>
      <c r="G344" s="363"/>
    </row>
    <row r="345">
      <c r="A345" s="111"/>
      <c r="B345" s="363"/>
      <c r="C345" s="363"/>
      <c r="D345" s="363"/>
      <c r="E345" s="363"/>
      <c r="F345" s="363"/>
      <c r="G345" s="363"/>
    </row>
    <row r="346">
      <c r="A346" s="111"/>
      <c r="B346" s="363"/>
      <c r="C346" s="363"/>
      <c r="D346" s="363"/>
      <c r="E346" s="363"/>
      <c r="F346" s="363"/>
      <c r="G346" s="363"/>
    </row>
    <row r="347">
      <c r="A347" s="111"/>
      <c r="B347" s="363"/>
      <c r="C347" s="363"/>
      <c r="D347" s="363"/>
      <c r="E347" s="363"/>
      <c r="F347" s="363"/>
      <c r="G347" s="363"/>
    </row>
    <row r="348">
      <c r="A348" s="111"/>
      <c r="B348" s="363"/>
      <c r="C348" s="363"/>
      <c r="D348" s="363"/>
      <c r="E348" s="363"/>
      <c r="F348" s="363"/>
      <c r="G348" s="363"/>
    </row>
    <row r="349">
      <c r="A349" s="111"/>
      <c r="B349" s="363"/>
      <c r="C349" s="363"/>
      <c r="D349" s="363"/>
      <c r="E349" s="363"/>
      <c r="F349" s="363"/>
      <c r="G349" s="363"/>
    </row>
    <row r="350">
      <c r="A350" s="111"/>
      <c r="B350" s="363"/>
      <c r="C350" s="363"/>
      <c r="D350" s="363"/>
      <c r="E350" s="363"/>
      <c r="F350" s="363"/>
      <c r="G350" s="363"/>
    </row>
    <row r="351">
      <c r="A351" s="111"/>
      <c r="B351" s="363"/>
      <c r="C351" s="363"/>
      <c r="D351" s="363"/>
      <c r="E351" s="363"/>
      <c r="F351" s="363"/>
      <c r="G351" s="363"/>
    </row>
    <row r="352">
      <c r="A352" s="111"/>
      <c r="B352" s="363"/>
      <c r="C352" s="363"/>
      <c r="D352" s="363"/>
      <c r="E352" s="363"/>
      <c r="F352" s="363"/>
      <c r="G352" s="363"/>
    </row>
    <row r="353">
      <c r="A353" s="111"/>
      <c r="B353" s="363"/>
      <c r="C353" s="363"/>
      <c r="D353" s="363"/>
      <c r="E353" s="363"/>
      <c r="F353" s="363"/>
      <c r="G353" s="363"/>
    </row>
    <row r="354">
      <c r="A354" s="111"/>
      <c r="B354" s="363"/>
      <c r="C354" s="363"/>
      <c r="D354" s="363"/>
      <c r="E354" s="363"/>
      <c r="F354" s="363"/>
      <c r="G354" s="363"/>
    </row>
    <row r="355">
      <c r="A355" s="111"/>
      <c r="B355" s="363"/>
      <c r="C355" s="363"/>
      <c r="D355" s="363"/>
      <c r="E355" s="363"/>
      <c r="F355" s="363"/>
      <c r="G355" s="363"/>
    </row>
    <row r="356">
      <c r="A356" s="111"/>
      <c r="B356" s="363"/>
      <c r="C356" s="363"/>
      <c r="D356" s="363"/>
      <c r="E356" s="363"/>
      <c r="F356" s="363"/>
      <c r="G356" s="363"/>
    </row>
    <row r="357">
      <c r="A357" s="111"/>
      <c r="B357" s="363"/>
      <c r="C357" s="363"/>
      <c r="D357" s="363"/>
      <c r="E357" s="363"/>
      <c r="F357" s="363"/>
      <c r="G357" s="363"/>
    </row>
    <row r="358">
      <c r="A358" s="111"/>
      <c r="B358" s="363"/>
      <c r="C358" s="363"/>
      <c r="D358" s="363"/>
      <c r="E358" s="363"/>
      <c r="F358" s="363"/>
      <c r="G358" s="363"/>
    </row>
    <row r="359">
      <c r="A359" s="111"/>
      <c r="B359" s="363"/>
      <c r="C359" s="363"/>
      <c r="D359" s="363"/>
      <c r="E359" s="363"/>
      <c r="F359" s="363"/>
      <c r="G359" s="363"/>
    </row>
    <row r="360">
      <c r="A360" s="111"/>
      <c r="B360" s="363"/>
      <c r="C360" s="363"/>
      <c r="D360" s="363"/>
      <c r="E360" s="363"/>
      <c r="F360" s="363"/>
      <c r="G360" s="363"/>
    </row>
    <row r="361">
      <c r="A361" s="111"/>
      <c r="B361" s="363"/>
      <c r="C361" s="363"/>
      <c r="D361" s="363"/>
      <c r="E361" s="363"/>
      <c r="F361" s="363"/>
      <c r="G361" s="363"/>
    </row>
    <row r="362">
      <c r="A362" s="111"/>
      <c r="B362" s="363"/>
      <c r="C362" s="363"/>
      <c r="D362" s="363"/>
      <c r="E362" s="363"/>
      <c r="F362" s="363"/>
      <c r="G362" s="363"/>
    </row>
    <row r="363">
      <c r="A363" s="111"/>
      <c r="B363" s="363"/>
      <c r="C363" s="363"/>
      <c r="D363" s="363"/>
      <c r="E363" s="363"/>
      <c r="F363" s="363"/>
      <c r="G363" s="363"/>
    </row>
    <row r="364">
      <c r="A364" s="111"/>
      <c r="B364" s="363"/>
      <c r="C364" s="363"/>
      <c r="D364" s="363"/>
      <c r="E364" s="363"/>
      <c r="F364" s="363"/>
      <c r="G364" s="363"/>
    </row>
    <row r="365">
      <c r="A365" s="111"/>
      <c r="B365" s="363"/>
      <c r="C365" s="363"/>
      <c r="D365" s="363"/>
      <c r="E365" s="363"/>
      <c r="F365" s="363"/>
      <c r="G365" s="363"/>
    </row>
    <row r="366">
      <c r="A366" s="111"/>
      <c r="B366" s="363"/>
      <c r="C366" s="363"/>
      <c r="D366" s="363"/>
      <c r="E366" s="363"/>
      <c r="F366" s="363"/>
      <c r="G366" s="363"/>
    </row>
    <row r="367">
      <c r="A367" s="111"/>
      <c r="B367" s="363"/>
      <c r="C367" s="363"/>
      <c r="D367" s="363"/>
      <c r="E367" s="363"/>
      <c r="F367" s="363"/>
      <c r="G367" s="363"/>
    </row>
    <row r="368">
      <c r="A368" s="111"/>
      <c r="B368" s="363"/>
      <c r="C368" s="363"/>
      <c r="D368" s="363"/>
      <c r="E368" s="363"/>
      <c r="F368" s="363"/>
      <c r="G368" s="363"/>
    </row>
    <row r="369">
      <c r="A369" s="111"/>
      <c r="B369" s="363"/>
      <c r="C369" s="363"/>
      <c r="D369" s="363"/>
      <c r="E369" s="363"/>
      <c r="F369" s="363"/>
      <c r="G369" s="363"/>
    </row>
    <row r="370">
      <c r="A370" s="111"/>
      <c r="B370" s="363"/>
      <c r="C370" s="363"/>
      <c r="D370" s="363"/>
      <c r="E370" s="363"/>
      <c r="F370" s="363"/>
      <c r="G370" s="363"/>
    </row>
    <row r="371">
      <c r="A371" s="111"/>
      <c r="B371" s="363"/>
      <c r="C371" s="363"/>
      <c r="D371" s="363"/>
      <c r="E371" s="363"/>
      <c r="F371" s="363"/>
      <c r="G371" s="363"/>
    </row>
    <row r="372">
      <c r="A372" s="111"/>
      <c r="B372" s="363"/>
      <c r="C372" s="363"/>
      <c r="D372" s="363"/>
      <c r="E372" s="363"/>
      <c r="F372" s="363"/>
      <c r="G372" s="363"/>
    </row>
    <row r="373">
      <c r="A373" s="111"/>
      <c r="B373" s="363"/>
      <c r="C373" s="363"/>
      <c r="D373" s="363"/>
      <c r="E373" s="363"/>
      <c r="F373" s="363"/>
      <c r="G373" s="363"/>
    </row>
    <row r="374">
      <c r="A374" s="111"/>
      <c r="B374" s="363"/>
      <c r="C374" s="363"/>
      <c r="D374" s="363"/>
      <c r="E374" s="363"/>
      <c r="F374" s="363"/>
      <c r="G374" s="363"/>
    </row>
    <row r="375">
      <c r="A375" s="111"/>
      <c r="B375" s="363"/>
      <c r="C375" s="363"/>
      <c r="D375" s="363"/>
      <c r="E375" s="363"/>
      <c r="F375" s="363"/>
      <c r="G375" s="363"/>
    </row>
    <row r="376">
      <c r="A376" s="111"/>
      <c r="B376" s="363"/>
      <c r="C376" s="363"/>
      <c r="D376" s="363"/>
      <c r="E376" s="363"/>
      <c r="F376" s="363"/>
      <c r="G376" s="363"/>
    </row>
    <row r="377">
      <c r="A377" s="111"/>
      <c r="B377" s="363"/>
      <c r="C377" s="363"/>
      <c r="D377" s="363"/>
      <c r="E377" s="363"/>
      <c r="F377" s="363"/>
      <c r="G377" s="363"/>
    </row>
    <row r="378">
      <c r="A378" s="111"/>
      <c r="B378" s="363"/>
      <c r="C378" s="363"/>
      <c r="D378" s="363"/>
      <c r="E378" s="363"/>
      <c r="F378" s="363"/>
      <c r="G378" s="363"/>
    </row>
    <row r="379">
      <c r="A379" s="111"/>
      <c r="B379" s="363"/>
      <c r="C379" s="363"/>
      <c r="D379" s="363"/>
      <c r="E379" s="363"/>
      <c r="F379" s="363"/>
      <c r="G379" s="363"/>
    </row>
    <row r="380">
      <c r="A380" s="111"/>
      <c r="B380" s="363"/>
      <c r="C380" s="363"/>
      <c r="D380" s="363"/>
      <c r="E380" s="363"/>
      <c r="F380" s="363"/>
      <c r="G380" s="363"/>
    </row>
    <row r="381">
      <c r="A381" s="111"/>
      <c r="B381" s="363"/>
      <c r="C381" s="363"/>
      <c r="D381" s="363"/>
      <c r="E381" s="363"/>
      <c r="F381" s="363"/>
      <c r="G381" s="363"/>
    </row>
    <row r="382">
      <c r="A382" s="111"/>
      <c r="B382" s="363"/>
      <c r="C382" s="363"/>
      <c r="D382" s="363"/>
      <c r="E382" s="363"/>
      <c r="F382" s="363"/>
      <c r="G382" s="363"/>
    </row>
    <row r="383">
      <c r="A383" s="111"/>
      <c r="B383" s="363"/>
      <c r="C383" s="363"/>
      <c r="D383" s="363"/>
      <c r="E383" s="363"/>
      <c r="F383" s="363"/>
      <c r="G383" s="363"/>
    </row>
    <row r="384">
      <c r="A384" s="111"/>
      <c r="B384" s="363"/>
      <c r="C384" s="363"/>
      <c r="D384" s="363"/>
      <c r="E384" s="363"/>
      <c r="F384" s="363"/>
      <c r="G384" s="363"/>
    </row>
    <row r="385">
      <c r="A385" s="111"/>
      <c r="B385" s="363"/>
      <c r="C385" s="363"/>
      <c r="D385" s="363"/>
      <c r="E385" s="363"/>
      <c r="F385" s="363"/>
      <c r="G385" s="363"/>
    </row>
    <row r="386">
      <c r="A386" s="111"/>
      <c r="B386" s="363"/>
      <c r="C386" s="363"/>
      <c r="D386" s="363"/>
      <c r="E386" s="363"/>
      <c r="F386" s="363"/>
      <c r="G386" s="363"/>
    </row>
    <row r="387">
      <c r="A387" s="111"/>
      <c r="B387" s="363"/>
      <c r="C387" s="363"/>
      <c r="D387" s="363"/>
      <c r="E387" s="363"/>
      <c r="F387" s="363"/>
      <c r="G387" s="363"/>
    </row>
    <row r="388">
      <c r="A388" s="111"/>
      <c r="B388" s="363"/>
      <c r="C388" s="363"/>
      <c r="D388" s="363"/>
      <c r="E388" s="363"/>
      <c r="F388" s="363"/>
      <c r="G388" s="363"/>
    </row>
    <row r="389">
      <c r="A389" s="111"/>
      <c r="B389" s="363"/>
      <c r="C389" s="363"/>
      <c r="D389" s="363"/>
      <c r="E389" s="363"/>
      <c r="F389" s="363"/>
      <c r="G389" s="363"/>
    </row>
    <row r="390">
      <c r="A390" s="111"/>
      <c r="B390" s="363"/>
      <c r="C390" s="363"/>
      <c r="D390" s="363"/>
      <c r="E390" s="363"/>
      <c r="F390" s="363"/>
      <c r="G390" s="363"/>
    </row>
    <row r="391">
      <c r="A391" s="111"/>
      <c r="B391" s="363"/>
      <c r="C391" s="363"/>
      <c r="D391" s="363"/>
      <c r="E391" s="363"/>
      <c r="F391" s="363"/>
      <c r="G391" s="363"/>
    </row>
    <row r="392">
      <c r="A392" s="111"/>
      <c r="B392" s="363"/>
      <c r="C392" s="363"/>
      <c r="D392" s="363"/>
      <c r="E392" s="363"/>
      <c r="F392" s="363"/>
      <c r="G392" s="363"/>
    </row>
    <row r="393">
      <c r="A393" s="111"/>
      <c r="B393" s="363"/>
      <c r="C393" s="363"/>
      <c r="D393" s="363"/>
      <c r="E393" s="363"/>
      <c r="F393" s="363"/>
      <c r="G393" s="363"/>
    </row>
    <row r="394">
      <c r="A394" s="111"/>
      <c r="B394" s="363"/>
      <c r="C394" s="363"/>
      <c r="D394" s="363"/>
      <c r="E394" s="363"/>
      <c r="F394" s="363"/>
      <c r="G394" s="363"/>
    </row>
    <row r="395">
      <c r="A395" s="111"/>
      <c r="B395" s="363"/>
      <c r="C395" s="363"/>
      <c r="D395" s="363"/>
      <c r="E395" s="363"/>
      <c r="F395" s="363"/>
      <c r="G395" s="363"/>
    </row>
    <row r="396">
      <c r="A396" s="111"/>
      <c r="B396" s="363"/>
      <c r="C396" s="363"/>
      <c r="D396" s="363"/>
      <c r="E396" s="363"/>
      <c r="F396" s="363"/>
      <c r="G396" s="363"/>
    </row>
    <row r="397">
      <c r="A397" s="111"/>
      <c r="B397" s="363"/>
      <c r="C397" s="363"/>
      <c r="D397" s="363"/>
      <c r="E397" s="363"/>
      <c r="F397" s="363"/>
      <c r="G397" s="363"/>
    </row>
    <row r="398">
      <c r="A398" s="111"/>
      <c r="B398" s="363"/>
      <c r="C398" s="363"/>
      <c r="D398" s="363"/>
      <c r="E398" s="363"/>
      <c r="F398" s="363"/>
      <c r="G398" s="363"/>
    </row>
    <row r="399">
      <c r="A399" s="111"/>
      <c r="B399" s="363"/>
      <c r="C399" s="363"/>
      <c r="D399" s="363"/>
      <c r="E399" s="363"/>
      <c r="F399" s="363"/>
      <c r="G399" s="363"/>
    </row>
    <row r="400">
      <c r="A400" s="111"/>
      <c r="B400" s="363"/>
      <c r="C400" s="363"/>
      <c r="D400" s="363"/>
      <c r="E400" s="363"/>
      <c r="F400" s="363"/>
      <c r="G400" s="363"/>
    </row>
    <row r="401">
      <c r="A401" s="111"/>
      <c r="B401" s="363"/>
      <c r="C401" s="363"/>
      <c r="D401" s="363"/>
      <c r="E401" s="363"/>
      <c r="F401" s="363"/>
      <c r="G401" s="363"/>
    </row>
    <row r="402">
      <c r="A402" s="111"/>
      <c r="B402" s="363"/>
      <c r="C402" s="363"/>
      <c r="D402" s="363"/>
      <c r="E402" s="363"/>
      <c r="F402" s="363"/>
      <c r="G402" s="363"/>
    </row>
    <row r="403">
      <c r="A403" s="111"/>
      <c r="B403" s="363"/>
      <c r="C403" s="363"/>
      <c r="D403" s="363"/>
      <c r="E403" s="363"/>
      <c r="F403" s="363"/>
      <c r="G403" s="363"/>
    </row>
    <row r="404">
      <c r="A404" s="111"/>
      <c r="B404" s="363"/>
      <c r="C404" s="363"/>
      <c r="D404" s="363"/>
      <c r="E404" s="363"/>
      <c r="F404" s="363"/>
      <c r="G404" s="363"/>
    </row>
    <row r="405">
      <c r="A405" s="111"/>
      <c r="B405" s="363"/>
      <c r="C405" s="363"/>
      <c r="D405" s="363"/>
      <c r="E405" s="363"/>
      <c r="F405" s="363"/>
      <c r="G405" s="363"/>
    </row>
    <row r="406">
      <c r="A406" s="111"/>
      <c r="B406" s="363"/>
      <c r="C406" s="363"/>
      <c r="D406" s="363"/>
      <c r="E406" s="363"/>
      <c r="F406" s="363"/>
      <c r="G406" s="363"/>
    </row>
    <row r="407">
      <c r="A407" s="111"/>
      <c r="B407" s="363"/>
      <c r="C407" s="363"/>
      <c r="D407" s="363"/>
      <c r="E407" s="363"/>
      <c r="F407" s="363"/>
      <c r="G407" s="363"/>
    </row>
    <row r="408">
      <c r="A408" s="111"/>
      <c r="B408" s="363"/>
      <c r="C408" s="363"/>
      <c r="D408" s="363"/>
      <c r="E408" s="363"/>
      <c r="F408" s="363"/>
      <c r="G408" s="363"/>
    </row>
    <row r="409">
      <c r="A409" s="111"/>
      <c r="B409" s="363"/>
      <c r="C409" s="363"/>
      <c r="D409" s="363"/>
      <c r="E409" s="363"/>
      <c r="F409" s="363"/>
      <c r="G409" s="363"/>
    </row>
    <row r="410">
      <c r="A410" s="111"/>
      <c r="B410" s="363"/>
      <c r="C410" s="363"/>
      <c r="D410" s="363"/>
      <c r="E410" s="363"/>
      <c r="F410" s="363"/>
      <c r="G410" s="363"/>
    </row>
    <row r="411">
      <c r="A411" s="111"/>
      <c r="B411" s="363"/>
      <c r="C411" s="363"/>
      <c r="D411" s="363"/>
      <c r="E411" s="363"/>
      <c r="F411" s="363"/>
      <c r="G411" s="363"/>
    </row>
    <row r="412">
      <c r="A412" s="111"/>
      <c r="B412" s="363"/>
      <c r="C412" s="363"/>
      <c r="D412" s="363"/>
      <c r="E412" s="363"/>
      <c r="F412" s="363"/>
      <c r="G412" s="363"/>
    </row>
    <row r="413">
      <c r="A413" s="111"/>
      <c r="B413" s="363"/>
      <c r="C413" s="363"/>
      <c r="D413" s="363"/>
      <c r="E413" s="363"/>
      <c r="F413" s="363"/>
      <c r="G413" s="363"/>
    </row>
    <row r="414">
      <c r="A414" s="111"/>
      <c r="B414" s="363"/>
      <c r="C414" s="363"/>
      <c r="D414" s="363"/>
      <c r="E414" s="363"/>
      <c r="F414" s="363"/>
      <c r="G414" s="363"/>
    </row>
    <row r="415">
      <c r="A415" s="111"/>
      <c r="B415" s="363"/>
      <c r="C415" s="363"/>
      <c r="D415" s="363"/>
      <c r="E415" s="363"/>
      <c r="F415" s="363"/>
      <c r="G415" s="363"/>
    </row>
    <row r="416">
      <c r="A416" s="111"/>
      <c r="B416" s="363"/>
      <c r="C416" s="363"/>
      <c r="D416" s="363"/>
      <c r="E416" s="363"/>
      <c r="F416" s="363"/>
      <c r="G416" s="363"/>
    </row>
    <row r="417">
      <c r="A417" s="111"/>
      <c r="B417" s="363"/>
      <c r="C417" s="363"/>
      <c r="D417" s="363"/>
      <c r="E417" s="363"/>
      <c r="F417" s="363"/>
      <c r="G417" s="363"/>
    </row>
    <row r="418">
      <c r="A418" s="111"/>
      <c r="B418" s="363"/>
      <c r="C418" s="363"/>
      <c r="D418" s="363"/>
      <c r="E418" s="363"/>
      <c r="F418" s="363"/>
      <c r="G418" s="363"/>
    </row>
    <row r="419">
      <c r="A419" s="111"/>
      <c r="B419" s="363"/>
      <c r="C419" s="363"/>
      <c r="D419" s="363"/>
      <c r="E419" s="363"/>
      <c r="F419" s="363"/>
      <c r="G419" s="363"/>
    </row>
    <row r="420">
      <c r="A420" s="111"/>
      <c r="B420" s="363"/>
      <c r="C420" s="363"/>
      <c r="D420" s="363"/>
      <c r="E420" s="363"/>
      <c r="F420" s="363"/>
      <c r="G420" s="363"/>
    </row>
    <row r="421">
      <c r="A421" s="111"/>
      <c r="B421" s="363"/>
      <c r="C421" s="363"/>
      <c r="D421" s="363"/>
      <c r="E421" s="363"/>
      <c r="F421" s="363"/>
      <c r="G421" s="363"/>
    </row>
    <row r="422">
      <c r="A422" s="111"/>
      <c r="B422" s="363"/>
      <c r="C422" s="363"/>
      <c r="D422" s="363"/>
      <c r="E422" s="363"/>
      <c r="F422" s="363"/>
      <c r="G422" s="363"/>
    </row>
    <row r="423">
      <c r="A423" s="111"/>
      <c r="B423" s="363"/>
      <c r="C423" s="363"/>
      <c r="D423" s="363"/>
      <c r="E423" s="363"/>
      <c r="F423" s="363"/>
      <c r="G423" s="363"/>
    </row>
    <row r="424">
      <c r="A424" s="111"/>
      <c r="B424" s="363"/>
      <c r="C424" s="363"/>
      <c r="D424" s="363"/>
      <c r="E424" s="363"/>
      <c r="F424" s="363"/>
      <c r="G424" s="363"/>
    </row>
    <row r="425">
      <c r="A425" s="111"/>
      <c r="B425" s="363"/>
      <c r="C425" s="363"/>
      <c r="D425" s="363"/>
      <c r="E425" s="363"/>
      <c r="F425" s="363"/>
      <c r="G425" s="363"/>
    </row>
    <row r="426">
      <c r="A426" s="111"/>
      <c r="B426" s="363"/>
      <c r="C426" s="363"/>
      <c r="D426" s="363"/>
      <c r="E426" s="363"/>
      <c r="F426" s="363"/>
      <c r="G426" s="363"/>
    </row>
    <row r="427">
      <c r="A427" s="111"/>
      <c r="B427" s="363"/>
      <c r="C427" s="363"/>
      <c r="D427" s="363"/>
      <c r="E427" s="363"/>
      <c r="F427" s="363"/>
      <c r="G427" s="363"/>
    </row>
    <row r="428">
      <c r="A428" s="111"/>
      <c r="B428" s="363"/>
      <c r="C428" s="363"/>
      <c r="D428" s="363"/>
      <c r="E428" s="363"/>
      <c r="F428" s="363"/>
      <c r="G428" s="363"/>
    </row>
    <row r="429">
      <c r="A429" s="111"/>
      <c r="B429" s="363"/>
      <c r="C429" s="363"/>
      <c r="D429" s="363"/>
      <c r="E429" s="363"/>
      <c r="F429" s="363"/>
      <c r="G429" s="363"/>
    </row>
    <row r="430">
      <c r="A430" s="111"/>
      <c r="B430" s="363"/>
      <c r="C430" s="363"/>
      <c r="D430" s="363"/>
      <c r="E430" s="363"/>
      <c r="F430" s="363"/>
      <c r="G430" s="363"/>
    </row>
    <row r="431">
      <c r="A431" s="111"/>
      <c r="B431" s="363"/>
      <c r="C431" s="363"/>
      <c r="D431" s="363"/>
      <c r="E431" s="363"/>
      <c r="F431" s="363"/>
      <c r="G431" s="363"/>
    </row>
    <row r="432">
      <c r="A432" s="111"/>
      <c r="B432" s="363"/>
      <c r="C432" s="363"/>
      <c r="D432" s="363"/>
      <c r="E432" s="363"/>
      <c r="F432" s="363"/>
      <c r="G432" s="363"/>
    </row>
    <row r="433">
      <c r="A433" s="111"/>
      <c r="B433" s="363"/>
      <c r="C433" s="363"/>
      <c r="D433" s="363"/>
      <c r="E433" s="363"/>
      <c r="F433" s="363"/>
      <c r="G433" s="363"/>
    </row>
    <row r="434">
      <c r="A434" s="111"/>
      <c r="B434" s="363"/>
      <c r="C434" s="363"/>
      <c r="D434" s="363"/>
      <c r="E434" s="363"/>
      <c r="F434" s="363"/>
      <c r="G434" s="363"/>
    </row>
    <row r="435">
      <c r="A435" s="111"/>
      <c r="B435" s="363"/>
      <c r="C435" s="363"/>
      <c r="D435" s="363"/>
      <c r="E435" s="363"/>
      <c r="F435" s="363"/>
      <c r="G435" s="363"/>
    </row>
    <row r="436">
      <c r="A436" s="111"/>
      <c r="B436" s="363"/>
      <c r="C436" s="363"/>
      <c r="D436" s="363"/>
      <c r="E436" s="363"/>
      <c r="F436" s="363"/>
      <c r="G436" s="363"/>
    </row>
    <row r="437">
      <c r="A437" s="111"/>
      <c r="B437" s="363"/>
      <c r="C437" s="363"/>
      <c r="D437" s="363"/>
      <c r="E437" s="363"/>
      <c r="F437" s="363"/>
      <c r="G437" s="363"/>
    </row>
    <row r="438">
      <c r="A438" s="111"/>
      <c r="B438" s="363"/>
      <c r="C438" s="363"/>
      <c r="D438" s="363"/>
      <c r="E438" s="363"/>
      <c r="F438" s="363"/>
      <c r="G438" s="363"/>
    </row>
    <row r="439">
      <c r="A439" s="111"/>
      <c r="B439" s="363"/>
      <c r="C439" s="363"/>
      <c r="D439" s="363"/>
      <c r="E439" s="363"/>
      <c r="F439" s="363"/>
      <c r="G439" s="363"/>
    </row>
    <row r="440">
      <c r="A440" s="111"/>
      <c r="B440" s="363"/>
      <c r="C440" s="363"/>
      <c r="D440" s="363"/>
      <c r="E440" s="363"/>
      <c r="F440" s="363"/>
      <c r="G440" s="363"/>
    </row>
    <row r="441">
      <c r="A441" s="111"/>
      <c r="B441" s="363"/>
      <c r="C441" s="363"/>
      <c r="D441" s="363"/>
      <c r="E441" s="363"/>
      <c r="F441" s="363"/>
      <c r="G441" s="363"/>
    </row>
    <row r="442">
      <c r="A442" s="111"/>
      <c r="B442" s="363"/>
      <c r="C442" s="363"/>
      <c r="D442" s="363"/>
      <c r="E442" s="363"/>
      <c r="F442" s="363"/>
      <c r="G442" s="363"/>
    </row>
    <row r="443">
      <c r="A443" s="111"/>
      <c r="B443" s="363"/>
      <c r="C443" s="363"/>
      <c r="D443" s="363"/>
      <c r="E443" s="363"/>
      <c r="F443" s="363"/>
      <c r="G443" s="363"/>
    </row>
    <row r="444">
      <c r="A444" s="111"/>
      <c r="B444" s="363"/>
      <c r="C444" s="363"/>
      <c r="D444" s="363"/>
      <c r="E444" s="363"/>
      <c r="F444" s="363"/>
      <c r="G444" s="363"/>
    </row>
    <row r="445">
      <c r="A445" s="111"/>
      <c r="B445" s="363"/>
      <c r="C445" s="363"/>
      <c r="D445" s="363"/>
      <c r="E445" s="363"/>
      <c r="F445" s="363"/>
      <c r="G445" s="363"/>
    </row>
    <row r="446">
      <c r="A446" s="111"/>
      <c r="B446" s="363"/>
      <c r="C446" s="363"/>
      <c r="D446" s="363"/>
      <c r="E446" s="363"/>
      <c r="F446" s="363"/>
      <c r="G446" s="363"/>
    </row>
    <row r="447">
      <c r="A447" s="111"/>
      <c r="B447" s="363"/>
      <c r="C447" s="363"/>
      <c r="D447" s="363"/>
      <c r="E447" s="363"/>
      <c r="F447" s="363"/>
      <c r="G447" s="363"/>
    </row>
    <row r="448">
      <c r="A448" s="111"/>
      <c r="B448" s="363"/>
      <c r="C448" s="363"/>
      <c r="D448" s="363"/>
      <c r="E448" s="363"/>
      <c r="F448" s="363"/>
      <c r="G448" s="363"/>
    </row>
    <row r="449">
      <c r="A449" s="111"/>
      <c r="B449" s="363"/>
      <c r="C449" s="363"/>
      <c r="D449" s="363"/>
      <c r="E449" s="363"/>
      <c r="F449" s="363"/>
      <c r="G449" s="363"/>
    </row>
    <row r="450">
      <c r="A450" s="111"/>
      <c r="B450" s="363"/>
      <c r="C450" s="363"/>
      <c r="D450" s="363"/>
      <c r="E450" s="363"/>
      <c r="F450" s="363"/>
      <c r="G450" s="363"/>
    </row>
    <row r="451">
      <c r="A451" s="111"/>
      <c r="B451" s="363"/>
      <c r="C451" s="363"/>
      <c r="D451" s="363"/>
      <c r="E451" s="363"/>
      <c r="F451" s="363"/>
      <c r="G451" s="363"/>
    </row>
    <row r="452">
      <c r="A452" s="111"/>
      <c r="B452" s="363"/>
      <c r="C452" s="363"/>
      <c r="D452" s="363"/>
      <c r="E452" s="363"/>
      <c r="F452" s="363"/>
      <c r="G452" s="363"/>
    </row>
    <row r="453">
      <c r="A453" s="111"/>
      <c r="B453" s="363"/>
      <c r="C453" s="363"/>
      <c r="D453" s="363"/>
      <c r="E453" s="363"/>
      <c r="F453" s="363"/>
      <c r="G453" s="363"/>
    </row>
    <row r="454">
      <c r="A454" s="111"/>
      <c r="B454" s="363"/>
      <c r="C454" s="363"/>
      <c r="D454" s="363"/>
      <c r="E454" s="363"/>
      <c r="F454" s="363"/>
      <c r="G454" s="363"/>
    </row>
    <row r="455">
      <c r="A455" s="111"/>
      <c r="B455" s="363"/>
      <c r="C455" s="363"/>
      <c r="D455" s="363"/>
      <c r="E455" s="363"/>
      <c r="F455" s="363"/>
      <c r="G455" s="363"/>
    </row>
    <row r="456">
      <c r="A456" s="111"/>
      <c r="B456" s="363"/>
      <c r="C456" s="363"/>
      <c r="D456" s="363"/>
      <c r="E456" s="363"/>
      <c r="F456" s="363"/>
      <c r="G456" s="363"/>
    </row>
    <row r="457">
      <c r="A457" s="111"/>
      <c r="B457" s="363"/>
      <c r="C457" s="363"/>
      <c r="D457" s="363"/>
      <c r="E457" s="363"/>
      <c r="F457" s="363"/>
      <c r="G457" s="363"/>
    </row>
    <row r="458">
      <c r="A458" s="111"/>
      <c r="B458" s="363"/>
      <c r="C458" s="363"/>
      <c r="D458" s="363"/>
      <c r="E458" s="363"/>
      <c r="F458" s="363"/>
      <c r="G458" s="363"/>
    </row>
    <row r="459">
      <c r="A459" s="111"/>
      <c r="B459" s="363"/>
      <c r="C459" s="363"/>
      <c r="D459" s="363"/>
      <c r="E459" s="363"/>
      <c r="F459" s="363"/>
      <c r="G459" s="363"/>
    </row>
    <row r="460">
      <c r="A460" s="111"/>
      <c r="B460" s="363"/>
      <c r="C460" s="363"/>
      <c r="D460" s="363"/>
      <c r="E460" s="363"/>
      <c r="F460" s="363"/>
      <c r="G460" s="363"/>
    </row>
    <row r="461">
      <c r="A461" s="111"/>
      <c r="B461" s="363"/>
      <c r="C461" s="363"/>
      <c r="D461" s="363"/>
      <c r="E461" s="363"/>
      <c r="F461" s="363"/>
      <c r="G461" s="363"/>
    </row>
    <row r="462">
      <c r="A462" s="111"/>
      <c r="B462" s="363"/>
      <c r="C462" s="363"/>
      <c r="D462" s="363"/>
      <c r="E462" s="363"/>
      <c r="F462" s="363"/>
      <c r="G462" s="363"/>
    </row>
    <row r="463">
      <c r="A463" s="111"/>
      <c r="B463" s="363"/>
      <c r="C463" s="363"/>
      <c r="D463" s="363"/>
      <c r="E463" s="363"/>
      <c r="F463" s="363"/>
      <c r="G463" s="363"/>
    </row>
    <row r="464">
      <c r="A464" s="111"/>
      <c r="B464" s="363"/>
      <c r="C464" s="363"/>
      <c r="D464" s="363"/>
      <c r="E464" s="363"/>
      <c r="F464" s="363"/>
      <c r="G464" s="363"/>
    </row>
    <row r="465">
      <c r="A465" s="111"/>
      <c r="B465" s="363"/>
      <c r="C465" s="363"/>
      <c r="D465" s="363"/>
      <c r="E465" s="363"/>
      <c r="F465" s="363"/>
      <c r="G465" s="363"/>
    </row>
    <row r="466">
      <c r="A466" s="111"/>
      <c r="B466" s="363"/>
      <c r="C466" s="363"/>
      <c r="D466" s="363"/>
      <c r="E466" s="363"/>
      <c r="F466" s="363"/>
      <c r="G466" s="363"/>
    </row>
    <row r="467">
      <c r="A467" s="111"/>
      <c r="B467" s="363"/>
      <c r="C467" s="363"/>
      <c r="D467" s="363"/>
      <c r="E467" s="363"/>
      <c r="F467" s="363"/>
      <c r="G467" s="363"/>
    </row>
    <row r="468">
      <c r="A468" s="111"/>
      <c r="B468" s="363"/>
      <c r="C468" s="363"/>
      <c r="D468" s="363"/>
      <c r="E468" s="363"/>
      <c r="F468" s="363"/>
      <c r="G468" s="363"/>
    </row>
    <row r="469">
      <c r="A469" s="111"/>
      <c r="B469" s="363"/>
      <c r="C469" s="363"/>
      <c r="D469" s="363"/>
      <c r="E469" s="363"/>
      <c r="F469" s="363"/>
      <c r="G469" s="363"/>
    </row>
    <row r="470">
      <c r="A470" s="111"/>
      <c r="B470" s="363"/>
      <c r="C470" s="363"/>
      <c r="D470" s="363"/>
      <c r="E470" s="363"/>
      <c r="F470" s="363"/>
      <c r="G470" s="363"/>
    </row>
    <row r="471">
      <c r="A471" s="111"/>
      <c r="B471" s="363"/>
      <c r="C471" s="363"/>
      <c r="D471" s="363"/>
      <c r="E471" s="363"/>
      <c r="F471" s="363"/>
      <c r="G471" s="363"/>
    </row>
    <row r="472">
      <c r="A472" s="111"/>
      <c r="B472" s="363"/>
      <c r="C472" s="363"/>
      <c r="D472" s="363"/>
      <c r="E472" s="363"/>
      <c r="F472" s="363"/>
      <c r="G472" s="363"/>
    </row>
    <row r="473">
      <c r="A473" s="111"/>
      <c r="B473" s="363"/>
      <c r="C473" s="363"/>
      <c r="D473" s="363"/>
      <c r="E473" s="363"/>
      <c r="F473" s="363"/>
      <c r="G473" s="363"/>
    </row>
    <row r="474">
      <c r="A474" s="111"/>
      <c r="B474" s="363"/>
      <c r="C474" s="363"/>
      <c r="D474" s="363"/>
      <c r="E474" s="363"/>
      <c r="F474" s="363"/>
      <c r="G474" s="363"/>
    </row>
    <row r="475">
      <c r="A475" s="111"/>
      <c r="B475" s="363"/>
      <c r="C475" s="363"/>
      <c r="D475" s="363"/>
      <c r="E475" s="363"/>
      <c r="F475" s="363"/>
      <c r="G475" s="363"/>
    </row>
    <row r="476">
      <c r="A476" s="111"/>
      <c r="B476" s="363"/>
      <c r="C476" s="363"/>
      <c r="D476" s="363"/>
      <c r="E476" s="363"/>
      <c r="F476" s="363"/>
      <c r="G476" s="363"/>
    </row>
    <row r="477">
      <c r="A477" s="111"/>
      <c r="B477" s="363"/>
      <c r="C477" s="363"/>
      <c r="D477" s="363"/>
      <c r="E477" s="363"/>
      <c r="F477" s="363"/>
      <c r="G477" s="363"/>
    </row>
    <row r="478">
      <c r="A478" s="111"/>
      <c r="B478" s="363"/>
      <c r="C478" s="363"/>
      <c r="D478" s="363"/>
      <c r="E478" s="363"/>
      <c r="F478" s="363"/>
      <c r="G478" s="363"/>
    </row>
    <row r="479">
      <c r="A479" s="111"/>
      <c r="B479" s="363"/>
      <c r="C479" s="363"/>
      <c r="D479" s="363"/>
      <c r="E479" s="363"/>
      <c r="F479" s="363"/>
      <c r="G479" s="363"/>
    </row>
    <row r="480">
      <c r="A480" s="111"/>
      <c r="B480" s="363"/>
      <c r="C480" s="363"/>
      <c r="D480" s="363"/>
      <c r="E480" s="363"/>
      <c r="F480" s="363"/>
      <c r="G480" s="363"/>
    </row>
    <row r="481">
      <c r="A481" s="111"/>
      <c r="B481" s="363"/>
      <c r="C481" s="363"/>
      <c r="D481" s="363"/>
      <c r="E481" s="363"/>
      <c r="F481" s="363"/>
      <c r="G481" s="363"/>
    </row>
    <row r="482">
      <c r="A482" s="111"/>
      <c r="B482" s="363"/>
      <c r="C482" s="363"/>
      <c r="D482" s="363"/>
      <c r="E482" s="363"/>
      <c r="F482" s="363"/>
      <c r="G482" s="363"/>
    </row>
    <row r="483">
      <c r="A483" s="111"/>
      <c r="B483" s="363"/>
      <c r="C483" s="363"/>
      <c r="D483" s="363"/>
      <c r="E483" s="363"/>
      <c r="F483" s="363"/>
      <c r="G483" s="363"/>
    </row>
    <row r="484">
      <c r="A484" s="111"/>
      <c r="B484" s="363"/>
      <c r="C484" s="363"/>
      <c r="D484" s="363"/>
      <c r="E484" s="363"/>
      <c r="F484" s="363"/>
      <c r="G484" s="363"/>
    </row>
    <row r="485">
      <c r="A485" s="111"/>
      <c r="B485" s="363"/>
      <c r="C485" s="363"/>
      <c r="D485" s="363"/>
      <c r="E485" s="363"/>
      <c r="F485" s="363"/>
      <c r="G485" s="363"/>
    </row>
    <row r="486">
      <c r="A486" s="111"/>
      <c r="B486" s="363"/>
      <c r="C486" s="363"/>
      <c r="D486" s="363"/>
      <c r="E486" s="363"/>
      <c r="F486" s="363"/>
      <c r="G486" s="363"/>
    </row>
    <row r="487">
      <c r="A487" s="111"/>
      <c r="B487" s="363"/>
      <c r="C487" s="363"/>
      <c r="D487" s="363"/>
      <c r="E487" s="363"/>
      <c r="F487" s="363"/>
      <c r="G487" s="363"/>
    </row>
    <row r="488">
      <c r="A488" s="111"/>
      <c r="B488" s="363"/>
      <c r="C488" s="363"/>
      <c r="D488" s="363"/>
      <c r="E488" s="363"/>
      <c r="F488" s="363"/>
      <c r="G488" s="363"/>
    </row>
    <row r="489">
      <c r="A489" s="111"/>
      <c r="B489" s="363"/>
      <c r="C489" s="363"/>
      <c r="D489" s="363"/>
      <c r="E489" s="363"/>
      <c r="F489" s="363"/>
      <c r="G489" s="363"/>
    </row>
    <row r="490">
      <c r="A490" s="111"/>
      <c r="B490" s="363"/>
      <c r="C490" s="363"/>
      <c r="D490" s="363"/>
      <c r="E490" s="363"/>
      <c r="F490" s="363"/>
      <c r="G490" s="363"/>
    </row>
    <row r="491">
      <c r="A491" s="111"/>
      <c r="B491" s="363"/>
      <c r="C491" s="363"/>
      <c r="D491" s="363"/>
      <c r="E491" s="363"/>
      <c r="F491" s="363"/>
      <c r="G491" s="363"/>
    </row>
    <row r="492">
      <c r="A492" s="111"/>
      <c r="B492" s="363"/>
      <c r="C492" s="363"/>
      <c r="D492" s="363"/>
      <c r="E492" s="363"/>
      <c r="F492" s="363"/>
      <c r="G492" s="363"/>
    </row>
    <row r="493">
      <c r="A493" s="111"/>
      <c r="B493" s="363"/>
      <c r="C493" s="363"/>
      <c r="D493" s="363"/>
      <c r="E493" s="363"/>
      <c r="F493" s="363"/>
      <c r="G493" s="363"/>
    </row>
    <row r="494">
      <c r="A494" s="111"/>
      <c r="B494" s="363"/>
      <c r="C494" s="363"/>
      <c r="D494" s="363"/>
      <c r="E494" s="363"/>
      <c r="F494" s="363"/>
      <c r="G494" s="363"/>
    </row>
    <row r="495">
      <c r="A495" s="111"/>
      <c r="B495" s="363"/>
      <c r="C495" s="363"/>
      <c r="D495" s="363"/>
      <c r="E495" s="363"/>
      <c r="F495" s="363"/>
      <c r="G495" s="363"/>
    </row>
    <row r="496">
      <c r="A496" s="111"/>
      <c r="B496" s="363"/>
      <c r="C496" s="363"/>
      <c r="D496" s="363"/>
      <c r="E496" s="363"/>
      <c r="F496" s="363"/>
      <c r="G496" s="363"/>
    </row>
    <row r="497">
      <c r="A497" s="111"/>
      <c r="B497" s="363"/>
      <c r="C497" s="363"/>
      <c r="D497" s="363"/>
      <c r="E497" s="363"/>
      <c r="F497" s="363"/>
      <c r="G497" s="363"/>
    </row>
    <row r="498">
      <c r="A498" s="111"/>
      <c r="B498" s="363"/>
      <c r="C498" s="363"/>
      <c r="D498" s="363"/>
      <c r="E498" s="363"/>
      <c r="F498" s="363"/>
      <c r="G498" s="363"/>
    </row>
    <row r="499">
      <c r="A499" s="111"/>
      <c r="B499" s="363"/>
      <c r="C499" s="363"/>
      <c r="D499" s="363"/>
      <c r="E499" s="363"/>
      <c r="F499" s="363"/>
      <c r="G499" s="363"/>
    </row>
    <row r="500">
      <c r="A500" s="111"/>
      <c r="B500" s="363"/>
      <c r="C500" s="363"/>
      <c r="D500" s="363"/>
      <c r="E500" s="363"/>
      <c r="F500" s="363"/>
      <c r="G500" s="363"/>
    </row>
    <row r="501">
      <c r="A501" s="111"/>
      <c r="B501" s="363"/>
      <c r="C501" s="363"/>
      <c r="D501" s="363"/>
      <c r="E501" s="363"/>
      <c r="F501" s="363"/>
      <c r="G501" s="363"/>
    </row>
    <row r="502">
      <c r="A502" s="111"/>
      <c r="B502" s="363"/>
      <c r="C502" s="363"/>
      <c r="D502" s="363"/>
      <c r="E502" s="363"/>
      <c r="F502" s="363"/>
      <c r="G502" s="363"/>
    </row>
    <row r="503">
      <c r="A503" s="111"/>
      <c r="B503" s="363"/>
      <c r="C503" s="363"/>
      <c r="D503" s="363"/>
      <c r="E503" s="363"/>
      <c r="F503" s="363"/>
      <c r="G503" s="363"/>
    </row>
    <row r="504">
      <c r="A504" s="111"/>
      <c r="B504" s="363"/>
      <c r="C504" s="363"/>
      <c r="D504" s="363"/>
      <c r="E504" s="363"/>
      <c r="F504" s="363"/>
      <c r="G504" s="363"/>
    </row>
    <row r="505">
      <c r="A505" s="111"/>
      <c r="B505" s="363"/>
      <c r="C505" s="363"/>
      <c r="D505" s="363"/>
      <c r="E505" s="363"/>
      <c r="F505" s="363"/>
      <c r="G505" s="363"/>
    </row>
    <row r="506">
      <c r="A506" s="111"/>
      <c r="B506" s="363"/>
      <c r="C506" s="363"/>
      <c r="D506" s="363"/>
      <c r="E506" s="363"/>
      <c r="F506" s="363"/>
      <c r="G506" s="363"/>
    </row>
    <row r="507">
      <c r="A507" s="111"/>
      <c r="B507" s="363"/>
      <c r="C507" s="363"/>
      <c r="D507" s="363"/>
      <c r="E507" s="363"/>
      <c r="F507" s="363"/>
      <c r="G507" s="363"/>
    </row>
    <row r="508">
      <c r="A508" s="111"/>
      <c r="B508" s="363"/>
      <c r="C508" s="363"/>
      <c r="D508" s="363"/>
      <c r="E508" s="363"/>
      <c r="F508" s="363"/>
      <c r="G508" s="363"/>
    </row>
    <row r="509">
      <c r="A509" s="111"/>
      <c r="B509" s="363"/>
      <c r="C509" s="363"/>
      <c r="D509" s="363"/>
      <c r="E509" s="363"/>
      <c r="F509" s="363"/>
      <c r="G509" s="363"/>
    </row>
    <row r="510">
      <c r="A510" s="111"/>
      <c r="B510" s="363"/>
      <c r="C510" s="363"/>
      <c r="D510" s="363"/>
      <c r="E510" s="363"/>
      <c r="F510" s="363"/>
      <c r="G510" s="363"/>
    </row>
    <row r="511">
      <c r="A511" s="111"/>
      <c r="B511" s="363"/>
      <c r="C511" s="363"/>
      <c r="D511" s="363"/>
      <c r="E511" s="363"/>
      <c r="F511" s="363"/>
      <c r="G511" s="363"/>
    </row>
    <row r="512">
      <c r="A512" s="111"/>
      <c r="B512" s="363"/>
      <c r="C512" s="363"/>
      <c r="D512" s="363"/>
      <c r="E512" s="363"/>
      <c r="F512" s="363"/>
      <c r="G512" s="363"/>
    </row>
    <row r="513">
      <c r="A513" s="111"/>
      <c r="B513" s="363"/>
      <c r="C513" s="363"/>
      <c r="D513" s="363"/>
      <c r="E513" s="363"/>
      <c r="F513" s="363"/>
      <c r="G513" s="363"/>
    </row>
    <row r="514">
      <c r="A514" s="111"/>
      <c r="B514" s="363"/>
      <c r="C514" s="363"/>
      <c r="D514" s="363"/>
      <c r="E514" s="363"/>
      <c r="F514" s="363"/>
      <c r="G514" s="363"/>
    </row>
    <row r="515">
      <c r="A515" s="111"/>
      <c r="B515" s="363"/>
      <c r="C515" s="363"/>
      <c r="D515" s="363"/>
      <c r="E515" s="363"/>
      <c r="F515" s="363"/>
      <c r="G515" s="363"/>
    </row>
    <row r="516">
      <c r="A516" s="111"/>
      <c r="B516" s="363"/>
      <c r="C516" s="363"/>
      <c r="D516" s="363"/>
      <c r="E516" s="363"/>
      <c r="F516" s="363"/>
      <c r="G516" s="363"/>
    </row>
    <row r="517">
      <c r="A517" s="111"/>
      <c r="B517" s="363"/>
      <c r="C517" s="363"/>
      <c r="D517" s="363"/>
      <c r="E517" s="363"/>
      <c r="F517" s="363"/>
      <c r="G517" s="363"/>
    </row>
    <row r="518">
      <c r="A518" s="111"/>
      <c r="B518" s="363"/>
      <c r="C518" s="363"/>
      <c r="D518" s="363"/>
      <c r="E518" s="363"/>
      <c r="F518" s="363"/>
      <c r="G518" s="363"/>
    </row>
    <row r="519">
      <c r="A519" s="111"/>
      <c r="B519" s="363"/>
      <c r="C519" s="363"/>
      <c r="D519" s="363"/>
      <c r="E519" s="363"/>
      <c r="F519" s="363"/>
      <c r="G519" s="363"/>
    </row>
    <row r="520">
      <c r="A520" s="111"/>
      <c r="B520" s="363"/>
      <c r="C520" s="363"/>
      <c r="D520" s="363"/>
      <c r="E520" s="363"/>
      <c r="F520" s="363"/>
      <c r="G520" s="363"/>
    </row>
    <row r="521">
      <c r="A521" s="111"/>
      <c r="B521" s="363"/>
      <c r="C521" s="363"/>
      <c r="D521" s="363"/>
      <c r="E521" s="363"/>
      <c r="F521" s="363"/>
      <c r="G521" s="363"/>
    </row>
    <row r="522">
      <c r="A522" s="111"/>
      <c r="B522" s="363"/>
      <c r="C522" s="363"/>
      <c r="D522" s="363"/>
      <c r="E522" s="363"/>
      <c r="F522" s="363"/>
      <c r="G522" s="363"/>
    </row>
    <row r="523">
      <c r="A523" s="111"/>
      <c r="B523" s="363"/>
      <c r="C523" s="363"/>
      <c r="D523" s="363"/>
      <c r="E523" s="363"/>
      <c r="F523" s="363"/>
      <c r="G523" s="363"/>
    </row>
    <row r="524">
      <c r="A524" s="111"/>
      <c r="B524" s="363"/>
      <c r="C524" s="363"/>
      <c r="D524" s="363"/>
      <c r="E524" s="363"/>
      <c r="F524" s="363"/>
      <c r="G524" s="363"/>
    </row>
    <row r="525">
      <c r="A525" s="111"/>
      <c r="B525" s="363"/>
      <c r="C525" s="363"/>
      <c r="D525" s="363"/>
      <c r="E525" s="363"/>
      <c r="F525" s="363"/>
      <c r="G525" s="363"/>
    </row>
    <row r="526">
      <c r="A526" s="111"/>
      <c r="B526" s="363"/>
      <c r="C526" s="363"/>
      <c r="D526" s="363"/>
      <c r="E526" s="363"/>
      <c r="F526" s="363"/>
      <c r="G526" s="363"/>
    </row>
    <row r="527">
      <c r="A527" s="111"/>
      <c r="B527" s="363"/>
      <c r="C527" s="363"/>
      <c r="D527" s="363"/>
      <c r="E527" s="363"/>
      <c r="F527" s="363"/>
      <c r="G527" s="363"/>
    </row>
    <row r="528">
      <c r="A528" s="111"/>
      <c r="B528" s="363"/>
      <c r="C528" s="363"/>
      <c r="D528" s="363"/>
      <c r="E528" s="363"/>
      <c r="F528" s="363"/>
      <c r="G528" s="363"/>
    </row>
    <row r="529">
      <c r="A529" s="111"/>
      <c r="B529" s="363"/>
      <c r="C529" s="363"/>
      <c r="D529" s="363"/>
      <c r="E529" s="363"/>
      <c r="F529" s="363"/>
      <c r="G529" s="363"/>
    </row>
    <row r="530">
      <c r="A530" s="111"/>
      <c r="B530" s="363"/>
      <c r="C530" s="363"/>
      <c r="D530" s="363"/>
      <c r="E530" s="363"/>
      <c r="F530" s="363"/>
      <c r="G530" s="363"/>
    </row>
    <row r="531">
      <c r="A531" s="111"/>
      <c r="B531" s="363"/>
      <c r="C531" s="363"/>
      <c r="D531" s="363"/>
      <c r="E531" s="363"/>
      <c r="F531" s="363"/>
      <c r="G531" s="363"/>
    </row>
    <row r="532">
      <c r="A532" s="111"/>
      <c r="B532" s="363"/>
      <c r="C532" s="363"/>
      <c r="D532" s="363"/>
      <c r="E532" s="363"/>
      <c r="F532" s="363"/>
      <c r="G532" s="363"/>
    </row>
    <row r="533">
      <c r="A533" s="111"/>
      <c r="B533" s="363"/>
      <c r="C533" s="363"/>
      <c r="D533" s="363"/>
      <c r="E533" s="363"/>
      <c r="F533" s="363"/>
      <c r="G533" s="363"/>
    </row>
    <row r="534">
      <c r="A534" s="111"/>
      <c r="B534" s="363"/>
      <c r="C534" s="363"/>
      <c r="D534" s="363"/>
      <c r="E534" s="363"/>
      <c r="F534" s="363"/>
      <c r="G534" s="363"/>
    </row>
    <row r="535">
      <c r="A535" s="111"/>
      <c r="B535" s="363"/>
      <c r="C535" s="363"/>
      <c r="D535" s="363"/>
      <c r="E535" s="363"/>
      <c r="F535" s="363"/>
      <c r="G535" s="363"/>
    </row>
    <row r="536">
      <c r="A536" s="111"/>
      <c r="B536" s="363"/>
      <c r="C536" s="363"/>
      <c r="D536" s="363"/>
      <c r="E536" s="363"/>
      <c r="F536" s="363"/>
      <c r="G536" s="363"/>
    </row>
    <row r="537">
      <c r="A537" s="111"/>
      <c r="B537" s="363"/>
      <c r="C537" s="363"/>
      <c r="D537" s="363"/>
      <c r="E537" s="363"/>
      <c r="F537" s="363"/>
      <c r="G537" s="363"/>
    </row>
    <row r="538">
      <c r="A538" s="111"/>
      <c r="B538" s="363"/>
      <c r="C538" s="363"/>
      <c r="D538" s="363"/>
      <c r="E538" s="363"/>
      <c r="F538" s="363"/>
      <c r="G538" s="363"/>
    </row>
    <row r="539">
      <c r="A539" s="111"/>
      <c r="B539" s="363"/>
      <c r="C539" s="363"/>
      <c r="D539" s="363"/>
      <c r="E539" s="363"/>
      <c r="F539" s="363"/>
      <c r="G539" s="363"/>
    </row>
    <row r="540">
      <c r="A540" s="111"/>
      <c r="B540" s="363"/>
      <c r="C540" s="363"/>
      <c r="D540" s="363"/>
      <c r="E540" s="363"/>
      <c r="F540" s="363"/>
      <c r="G540" s="363"/>
    </row>
    <row r="541">
      <c r="A541" s="111"/>
      <c r="B541" s="363"/>
      <c r="C541" s="363"/>
      <c r="D541" s="363"/>
      <c r="E541" s="363"/>
      <c r="F541" s="363"/>
      <c r="G541" s="363"/>
    </row>
    <row r="542">
      <c r="A542" s="111"/>
      <c r="B542" s="363"/>
      <c r="C542" s="363"/>
      <c r="D542" s="363"/>
      <c r="E542" s="363"/>
      <c r="F542" s="363"/>
      <c r="G542" s="363"/>
    </row>
    <row r="543">
      <c r="A543" s="111"/>
      <c r="B543" s="363"/>
      <c r="C543" s="363"/>
      <c r="D543" s="363"/>
      <c r="E543" s="363"/>
      <c r="F543" s="363"/>
      <c r="G543" s="363"/>
    </row>
    <row r="544">
      <c r="A544" s="111"/>
      <c r="B544" s="363"/>
      <c r="C544" s="363"/>
      <c r="D544" s="363"/>
      <c r="E544" s="363"/>
      <c r="F544" s="363"/>
      <c r="G544" s="363"/>
    </row>
    <row r="545">
      <c r="A545" s="111"/>
      <c r="B545" s="363"/>
      <c r="C545" s="363"/>
      <c r="D545" s="363"/>
      <c r="E545" s="363"/>
      <c r="F545" s="363"/>
      <c r="G545" s="363"/>
    </row>
    <row r="546">
      <c r="A546" s="111"/>
      <c r="B546" s="363"/>
      <c r="C546" s="363"/>
      <c r="D546" s="363"/>
      <c r="E546" s="363"/>
      <c r="F546" s="363"/>
      <c r="G546" s="363"/>
    </row>
    <row r="547">
      <c r="A547" s="111"/>
      <c r="B547" s="363"/>
      <c r="C547" s="363"/>
      <c r="D547" s="363"/>
      <c r="E547" s="363"/>
      <c r="F547" s="363"/>
      <c r="G547" s="363"/>
    </row>
    <row r="548">
      <c r="A548" s="111"/>
      <c r="B548" s="363"/>
      <c r="C548" s="363"/>
      <c r="D548" s="363"/>
      <c r="E548" s="363"/>
      <c r="F548" s="363"/>
      <c r="G548" s="363"/>
    </row>
    <row r="549">
      <c r="A549" s="111"/>
      <c r="B549" s="363"/>
      <c r="C549" s="363"/>
      <c r="D549" s="363"/>
      <c r="E549" s="363"/>
      <c r="F549" s="363"/>
      <c r="G549" s="363"/>
    </row>
    <row r="550">
      <c r="A550" s="111"/>
      <c r="B550" s="363"/>
      <c r="C550" s="363"/>
      <c r="D550" s="363"/>
      <c r="E550" s="363"/>
      <c r="F550" s="363"/>
      <c r="G550" s="363"/>
    </row>
    <row r="551">
      <c r="A551" s="111"/>
      <c r="B551" s="363"/>
      <c r="C551" s="363"/>
      <c r="D551" s="363"/>
      <c r="E551" s="363"/>
      <c r="F551" s="363"/>
      <c r="G551" s="363"/>
    </row>
    <row r="552">
      <c r="A552" s="111"/>
      <c r="B552" s="363"/>
      <c r="C552" s="363"/>
      <c r="D552" s="363"/>
      <c r="E552" s="363"/>
      <c r="F552" s="363"/>
      <c r="G552" s="363"/>
    </row>
    <row r="553">
      <c r="A553" s="111"/>
      <c r="B553" s="363"/>
      <c r="C553" s="363"/>
      <c r="D553" s="363"/>
      <c r="E553" s="363"/>
      <c r="F553" s="363"/>
      <c r="G553" s="363"/>
    </row>
    <row r="554">
      <c r="A554" s="111"/>
      <c r="B554" s="363"/>
      <c r="C554" s="363"/>
      <c r="D554" s="363"/>
      <c r="E554" s="363"/>
      <c r="F554" s="363"/>
      <c r="G554" s="363"/>
    </row>
    <row r="555">
      <c r="A555" s="111"/>
      <c r="B555" s="363"/>
      <c r="C555" s="363"/>
      <c r="D555" s="363"/>
      <c r="E555" s="363"/>
      <c r="F555" s="363"/>
      <c r="G555" s="363"/>
    </row>
    <row r="556">
      <c r="A556" s="111"/>
      <c r="B556" s="363"/>
      <c r="C556" s="363"/>
      <c r="D556" s="363"/>
      <c r="E556" s="363"/>
      <c r="F556" s="363"/>
      <c r="G556" s="363"/>
    </row>
    <row r="557">
      <c r="A557" s="111"/>
      <c r="B557" s="363"/>
      <c r="C557" s="363"/>
      <c r="D557" s="363"/>
      <c r="E557" s="363"/>
      <c r="F557" s="363"/>
      <c r="G557" s="363"/>
    </row>
    <row r="558">
      <c r="A558" s="111"/>
      <c r="B558" s="363"/>
      <c r="C558" s="363"/>
      <c r="D558" s="363"/>
      <c r="E558" s="363"/>
      <c r="F558" s="363"/>
      <c r="G558" s="363"/>
    </row>
    <row r="559">
      <c r="A559" s="111"/>
      <c r="B559" s="363"/>
      <c r="C559" s="363"/>
      <c r="D559" s="363"/>
      <c r="E559" s="363"/>
      <c r="F559" s="363"/>
      <c r="G559" s="363"/>
    </row>
    <row r="560">
      <c r="A560" s="111"/>
      <c r="B560" s="363"/>
      <c r="C560" s="363"/>
      <c r="D560" s="363"/>
      <c r="E560" s="363"/>
      <c r="F560" s="363"/>
      <c r="G560" s="363"/>
    </row>
    <row r="561">
      <c r="A561" s="111"/>
      <c r="B561" s="363"/>
      <c r="C561" s="363"/>
      <c r="D561" s="363"/>
      <c r="E561" s="363"/>
      <c r="F561" s="363"/>
      <c r="G561" s="363"/>
    </row>
    <row r="562">
      <c r="A562" s="111"/>
      <c r="B562" s="363"/>
      <c r="C562" s="363"/>
      <c r="D562" s="363"/>
      <c r="E562" s="363"/>
      <c r="F562" s="363"/>
      <c r="G562" s="363"/>
    </row>
    <row r="563">
      <c r="A563" s="111"/>
      <c r="B563" s="363"/>
      <c r="C563" s="363"/>
      <c r="D563" s="363"/>
      <c r="E563" s="363"/>
      <c r="F563" s="363"/>
      <c r="G563" s="363"/>
    </row>
    <row r="564">
      <c r="A564" s="111"/>
      <c r="B564" s="363"/>
      <c r="C564" s="363"/>
      <c r="D564" s="363"/>
      <c r="E564" s="363"/>
      <c r="F564" s="363"/>
      <c r="G564" s="363"/>
    </row>
    <row r="565">
      <c r="A565" s="111"/>
      <c r="B565" s="363"/>
      <c r="C565" s="363"/>
      <c r="D565" s="363"/>
      <c r="E565" s="363"/>
      <c r="F565" s="363"/>
      <c r="G565" s="363"/>
    </row>
    <row r="566">
      <c r="A566" s="111"/>
      <c r="B566" s="363"/>
      <c r="C566" s="363"/>
      <c r="D566" s="363"/>
      <c r="E566" s="363"/>
      <c r="F566" s="363"/>
      <c r="G566" s="363"/>
    </row>
    <row r="567">
      <c r="A567" s="111"/>
      <c r="B567" s="363"/>
      <c r="C567" s="363"/>
      <c r="D567" s="363"/>
      <c r="E567" s="363"/>
      <c r="F567" s="363"/>
      <c r="G567" s="363"/>
    </row>
    <row r="568">
      <c r="A568" s="111"/>
      <c r="B568" s="363"/>
      <c r="C568" s="363"/>
      <c r="D568" s="363"/>
      <c r="E568" s="363"/>
      <c r="F568" s="363"/>
      <c r="G568" s="363"/>
    </row>
    <row r="569">
      <c r="A569" s="111"/>
      <c r="B569" s="363"/>
      <c r="C569" s="363"/>
      <c r="D569" s="363"/>
      <c r="E569" s="363"/>
      <c r="F569" s="363"/>
      <c r="G569" s="363"/>
    </row>
    <row r="570">
      <c r="A570" s="111"/>
      <c r="B570" s="363"/>
      <c r="C570" s="363"/>
      <c r="D570" s="363"/>
      <c r="E570" s="363"/>
      <c r="F570" s="363"/>
      <c r="G570" s="363"/>
    </row>
    <row r="571">
      <c r="A571" s="111"/>
      <c r="B571" s="363"/>
      <c r="C571" s="363"/>
      <c r="D571" s="363"/>
      <c r="E571" s="363"/>
      <c r="F571" s="363"/>
      <c r="G571" s="363"/>
    </row>
    <row r="572">
      <c r="A572" s="111"/>
      <c r="B572" s="363"/>
      <c r="C572" s="363"/>
      <c r="D572" s="363"/>
      <c r="E572" s="363"/>
      <c r="F572" s="363"/>
      <c r="G572" s="363"/>
    </row>
    <row r="573">
      <c r="A573" s="111"/>
      <c r="B573" s="363"/>
      <c r="C573" s="363"/>
      <c r="D573" s="363"/>
      <c r="E573" s="363"/>
      <c r="F573" s="363"/>
      <c r="G573" s="363"/>
    </row>
    <row r="574">
      <c r="A574" s="111"/>
      <c r="B574" s="363"/>
      <c r="C574" s="363"/>
      <c r="D574" s="363"/>
      <c r="E574" s="363"/>
      <c r="F574" s="363"/>
      <c r="G574" s="363"/>
    </row>
    <row r="575">
      <c r="A575" s="111"/>
      <c r="B575" s="363"/>
      <c r="C575" s="363"/>
      <c r="D575" s="363"/>
      <c r="E575" s="363"/>
      <c r="F575" s="363"/>
      <c r="G575" s="363"/>
    </row>
    <row r="576">
      <c r="A576" s="111"/>
      <c r="B576" s="363"/>
      <c r="C576" s="363"/>
      <c r="D576" s="363"/>
      <c r="E576" s="363"/>
      <c r="F576" s="363"/>
      <c r="G576" s="363"/>
    </row>
    <row r="577">
      <c r="A577" s="111"/>
      <c r="B577" s="363"/>
      <c r="C577" s="363"/>
      <c r="D577" s="363"/>
      <c r="E577" s="363"/>
      <c r="F577" s="363"/>
      <c r="G577" s="363"/>
    </row>
    <row r="578">
      <c r="A578" s="111"/>
      <c r="B578" s="363"/>
      <c r="C578" s="363"/>
      <c r="D578" s="363"/>
      <c r="E578" s="363"/>
      <c r="F578" s="363"/>
      <c r="G578" s="363"/>
    </row>
    <row r="579">
      <c r="A579" s="111"/>
      <c r="B579" s="363"/>
      <c r="C579" s="363"/>
      <c r="D579" s="363"/>
      <c r="E579" s="363"/>
      <c r="F579" s="363"/>
      <c r="G579" s="363"/>
    </row>
    <row r="580">
      <c r="A580" s="111"/>
      <c r="B580" s="363"/>
      <c r="C580" s="363"/>
      <c r="D580" s="363"/>
      <c r="E580" s="363"/>
      <c r="F580" s="363"/>
      <c r="G580" s="363"/>
    </row>
    <row r="581">
      <c r="A581" s="111"/>
      <c r="B581" s="363"/>
      <c r="C581" s="363"/>
      <c r="D581" s="363"/>
      <c r="E581" s="363"/>
      <c r="F581" s="363"/>
      <c r="G581" s="363"/>
    </row>
    <row r="582">
      <c r="A582" s="111"/>
      <c r="B582" s="363"/>
      <c r="C582" s="363"/>
      <c r="D582" s="363"/>
      <c r="E582" s="363"/>
      <c r="F582" s="363"/>
      <c r="G582" s="363"/>
    </row>
    <row r="583">
      <c r="A583" s="111"/>
      <c r="B583" s="363"/>
      <c r="C583" s="363"/>
      <c r="D583" s="363"/>
      <c r="E583" s="363"/>
      <c r="F583" s="363"/>
      <c r="G583" s="363"/>
    </row>
    <row r="584">
      <c r="A584" s="111"/>
      <c r="B584" s="363"/>
      <c r="C584" s="363"/>
      <c r="D584" s="363"/>
      <c r="E584" s="363"/>
      <c r="F584" s="363"/>
      <c r="G584" s="363"/>
    </row>
    <row r="585">
      <c r="A585" s="111"/>
      <c r="B585" s="363"/>
      <c r="C585" s="363"/>
      <c r="D585" s="363"/>
      <c r="E585" s="363"/>
      <c r="F585" s="363"/>
      <c r="G585" s="363"/>
    </row>
    <row r="586">
      <c r="A586" s="111"/>
      <c r="B586" s="363"/>
      <c r="C586" s="363"/>
      <c r="D586" s="363"/>
      <c r="E586" s="363"/>
      <c r="F586" s="363"/>
      <c r="G586" s="363"/>
    </row>
    <row r="587">
      <c r="A587" s="111"/>
      <c r="B587" s="363"/>
      <c r="C587" s="363"/>
      <c r="D587" s="363"/>
      <c r="E587" s="363"/>
      <c r="F587" s="363"/>
      <c r="G587" s="363"/>
    </row>
    <row r="588">
      <c r="A588" s="111"/>
      <c r="B588" s="363"/>
      <c r="C588" s="363"/>
      <c r="D588" s="363"/>
      <c r="E588" s="363"/>
      <c r="F588" s="363"/>
      <c r="G588" s="363"/>
    </row>
    <row r="589">
      <c r="A589" s="111"/>
      <c r="B589" s="363"/>
      <c r="C589" s="363"/>
      <c r="D589" s="363"/>
      <c r="E589" s="363"/>
      <c r="F589" s="363"/>
      <c r="G589" s="363"/>
    </row>
    <row r="590">
      <c r="A590" s="111"/>
      <c r="B590" s="363"/>
      <c r="C590" s="363"/>
      <c r="D590" s="363"/>
      <c r="E590" s="363"/>
      <c r="F590" s="363"/>
      <c r="G590" s="363"/>
    </row>
    <row r="591">
      <c r="A591" s="111"/>
      <c r="B591" s="363"/>
      <c r="C591" s="363"/>
      <c r="D591" s="363"/>
      <c r="E591" s="363"/>
      <c r="F591" s="363"/>
      <c r="G591" s="363"/>
    </row>
    <row r="592">
      <c r="A592" s="111"/>
      <c r="B592" s="363"/>
      <c r="C592" s="363"/>
      <c r="D592" s="363"/>
      <c r="E592" s="363"/>
      <c r="F592" s="363"/>
      <c r="G592" s="363"/>
    </row>
    <row r="593">
      <c r="A593" s="111"/>
      <c r="B593" s="363"/>
      <c r="C593" s="363"/>
      <c r="D593" s="363"/>
      <c r="E593" s="363"/>
      <c r="F593" s="363"/>
      <c r="G593" s="363"/>
    </row>
    <row r="594">
      <c r="A594" s="111"/>
      <c r="B594" s="363"/>
      <c r="C594" s="363"/>
      <c r="D594" s="363"/>
      <c r="E594" s="363"/>
      <c r="F594" s="363"/>
      <c r="G594" s="363"/>
    </row>
    <row r="595">
      <c r="A595" s="111"/>
      <c r="B595" s="363"/>
      <c r="C595" s="363"/>
      <c r="D595" s="363"/>
      <c r="E595" s="363"/>
      <c r="F595" s="363"/>
      <c r="G595" s="363"/>
    </row>
    <row r="596">
      <c r="A596" s="111"/>
      <c r="B596" s="363"/>
      <c r="C596" s="363"/>
      <c r="D596" s="363"/>
      <c r="E596" s="363"/>
      <c r="F596" s="363"/>
      <c r="G596" s="363"/>
    </row>
    <row r="597">
      <c r="A597" s="111"/>
      <c r="B597" s="363"/>
      <c r="C597" s="363"/>
      <c r="D597" s="363"/>
      <c r="E597" s="363"/>
      <c r="F597" s="363"/>
      <c r="G597" s="363"/>
    </row>
    <row r="598">
      <c r="A598" s="111"/>
      <c r="B598" s="363"/>
      <c r="C598" s="363"/>
      <c r="D598" s="363"/>
      <c r="E598" s="363"/>
      <c r="F598" s="363"/>
      <c r="G598" s="363"/>
    </row>
    <row r="599">
      <c r="A599" s="111"/>
      <c r="B599" s="363"/>
      <c r="C599" s="363"/>
      <c r="D599" s="363"/>
      <c r="E599" s="363"/>
      <c r="F599" s="363"/>
      <c r="G599" s="363"/>
    </row>
    <row r="600">
      <c r="A600" s="111"/>
      <c r="B600" s="363"/>
      <c r="C600" s="363"/>
      <c r="D600" s="363"/>
      <c r="E600" s="363"/>
      <c r="F600" s="363"/>
      <c r="G600" s="363"/>
    </row>
    <row r="601">
      <c r="A601" s="111"/>
      <c r="B601" s="363"/>
      <c r="C601" s="363"/>
      <c r="D601" s="363"/>
      <c r="E601" s="363"/>
      <c r="F601" s="363"/>
      <c r="G601" s="363"/>
    </row>
    <row r="602">
      <c r="A602" s="111"/>
      <c r="B602" s="363"/>
      <c r="C602" s="363"/>
      <c r="D602" s="363"/>
      <c r="E602" s="363"/>
      <c r="F602" s="363"/>
      <c r="G602" s="363"/>
    </row>
    <row r="603">
      <c r="A603" s="111"/>
      <c r="B603" s="363"/>
      <c r="C603" s="363"/>
      <c r="D603" s="363"/>
      <c r="E603" s="363"/>
      <c r="F603" s="363"/>
      <c r="G603" s="363"/>
    </row>
    <row r="604">
      <c r="A604" s="111"/>
      <c r="B604" s="363"/>
      <c r="C604" s="363"/>
      <c r="D604" s="363"/>
      <c r="E604" s="363"/>
      <c r="F604" s="363"/>
      <c r="G604" s="363"/>
    </row>
    <row r="605">
      <c r="A605" s="111"/>
      <c r="B605" s="363"/>
      <c r="C605" s="363"/>
      <c r="D605" s="363"/>
      <c r="E605" s="363"/>
      <c r="F605" s="363"/>
      <c r="G605" s="363"/>
    </row>
    <row r="606">
      <c r="A606" s="111"/>
      <c r="B606" s="363"/>
      <c r="C606" s="363"/>
      <c r="D606" s="363"/>
      <c r="E606" s="363"/>
      <c r="F606" s="363"/>
      <c r="G606" s="363"/>
    </row>
    <row r="607">
      <c r="A607" s="111"/>
      <c r="B607" s="363"/>
      <c r="C607" s="363"/>
      <c r="D607" s="363"/>
      <c r="E607" s="363"/>
      <c r="F607" s="363"/>
      <c r="G607" s="363"/>
    </row>
    <row r="608">
      <c r="A608" s="111"/>
      <c r="B608" s="363"/>
      <c r="C608" s="363"/>
      <c r="D608" s="363"/>
      <c r="E608" s="363"/>
      <c r="F608" s="363"/>
      <c r="G608" s="363"/>
    </row>
    <row r="609">
      <c r="A609" s="111"/>
      <c r="B609" s="363"/>
      <c r="C609" s="363"/>
      <c r="D609" s="363"/>
      <c r="E609" s="363"/>
      <c r="F609" s="363"/>
      <c r="G609" s="363"/>
    </row>
    <row r="610">
      <c r="A610" s="111"/>
      <c r="B610" s="363"/>
      <c r="C610" s="363"/>
      <c r="D610" s="363"/>
      <c r="E610" s="363"/>
      <c r="F610" s="363"/>
      <c r="G610" s="363"/>
    </row>
    <row r="611">
      <c r="A611" s="111"/>
      <c r="B611" s="363"/>
      <c r="C611" s="363"/>
      <c r="D611" s="363"/>
      <c r="E611" s="363"/>
      <c r="F611" s="363"/>
      <c r="G611" s="363"/>
    </row>
    <row r="612">
      <c r="A612" s="111"/>
      <c r="B612" s="363"/>
      <c r="C612" s="363"/>
      <c r="D612" s="363"/>
      <c r="E612" s="363"/>
      <c r="F612" s="363"/>
      <c r="G612" s="363"/>
    </row>
    <row r="613">
      <c r="A613" s="111"/>
      <c r="B613" s="363"/>
      <c r="C613" s="363"/>
      <c r="D613" s="363"/>
      <c r="E613" s="363"/>
      <c r="F613" s="363"/>
      <c r="G613" s="363"/>
    </row>
    <row r="614">
      <c r="A614" s="111"/>
      <c r="B614" s="363"/>
      <c r="C614" s="363"/>
      <c r="D614" s="363"/>
      <c r="E614" s="363"/>
      <c r="F614" s="363"/>
      <c r="G614" s="363"/>
    </row>
    <row r="615">
      <c r="A615" s="111"/>
      <c r="B615" s="363"/>
      <c r="C615" s="363"/>
      <c r="D615" s="363"/>
      <c r="E615" s="363"/>
      <c r="F615" s="363"/>
      <c r="G615" s="363"/>
    </row>
    <row r="616">
      <c r="A616" s="111"/>
      <c r="B616" s="363"/>
      <c r="C616" s="363"/>
      <c r="D616" s="363"/>
      <c r="E616" s="363"/>
      <c r="F616" s="363"/>
      <c r="G616" s="363"/>
    </row>
    <row r="617">
      <c r="A617" s="111"/>
      <c r="B617" s="363"/>
      <c r="C617" s="363"/>
      <c r="D617" s="363"/>
      <c r="E617" s="363"/>
      <c r="F617" s="363"/>
      <c r="G617" s="363"/>
    </row>
    <row r="618">
      <c r="A618" s="111"/>
      <c r="B618" s="363"/>
      <c r="C618" s="363"/>
      <c r="D618" s="363"/>
      <c r="E618" s="363"/>
      <c r="F618" s="363"/>
      <c r="G618" s="363"/>
    </row>
    <row r="619">
      <c r="A619" s="111"/>
      <c r="B619" s="363"/>
      <c r="C619" s="363"/>
      <c r="D619" s="363"/>
      <c r="E619" s="363"/>
      <c r="F619" s="363"/>
      <c r="G619" s="363"/>
    </row>
    <row r="620">
      <c r="A620" s="111"/>
      <c r="B620" s="363"/>
      <c r="C620" s="363"/>
      <c r="D620" s="363"/>
      <c r="E620" s="363"/>
      <c r="F620" s="363"/>
      <c r="G620" s="363"/>
    </row>
    <row r="621">
      <c r="A621" s="111"/>
      <c r="B621" s="363"/>
      <c r="C621" s="363"/>
      <c r="D621" s="363"/>
      <c r="E621" s="363"/>
      <c r="F621" s="363"/>
      <c r="G621" s="363"/>
    </row>
    <row r="622">
      <c r="A622" s="111"/>
      <c r="B622" s="363"/>
      <c r="C622" s="363"/>
      <c r="D622" s="363"/>
      <c r="E622" s="363"/>
      <c r="F622" s="363"/>
      <c r="G622" s="363"/>
    </row>
    <row r="623">
      <c r="A623" s="111"/>
      <c r="B623" s="363"/>
      <c r="C623" s="363"/>
      <c r="D623" s="363"/>
      <c r="E623" s="363"/>
      <c r="F623" s="363"/>
      <c r="G623" s="363"/>
    </row>
    <row r="624">
      <c r="A624" s="111"/>
      <c r="B624" s="363"/>
      <c r="C624" s="363"/>
      <c r="D624" s="363"/>
      <c r="E624" s="363"/>
      <c r="F624" s="363"/>
      <c r="G624" s="363"/>
    </row>
    <row r="625">
      <c r="A625" s="111"/>
      <c r="B625" s="363"/>
      <c r="C625" s="363"/>
      <c r="D625" s="363"/>
      <c r="E625" s="363"/>
      <c r="F625" s="363"/>
      <c r="G625" s="363"/>
    </row>
    <row r="626">
      <c r="A626" s="111"/>
      <c r="B626" s="363"/>
      <c r="C626" s="363"/>
      <c r="D626" s="363"/>
      <c r="E626" s="363"/>
      <c r="F626" s="363"/>
      <c r="G626" s="363"/>
    </row>
    <row r="627">
      <c r="A627" s="111"/>
      <c r="B627" s="363"/>
      <c r="C627" s="363"/>
      <c r="D627" s="363"/>
      <c r="E627" s="363"/>
      <c r="F627" s="363"/>
      <c r="G627" s="363"/>
    </row>
    <row r="628">
      <c r="A628" s="111"/>
      <c r="B628" s="363"/>
      <c r="C628" s="363"/>
      <c r="D628" s="363"/>
      <c r="E628" s="363"/>
      <c r="F628" s="363"/>
      <c r="G628" s="363"/>
    </row>
    <row r="629">
      <c r="A629" s="111"/>
      <c r="B629" s="363"/>
      <c r="C629" s="363"/>
      <c r="D629" s="363"/>
      <c r="E629" s="363"/>
      <c r="F629" s="363"/>
      <c r="G629" s="363"/>
    </row>
    <row r="630">
      <c r="A630" s="111"/>
      <c r="B630" s="363"/>
      <c r="C630" s="363"/>
      <c r="D630" s="363"/>
      <c r="E630" s="363"/>
      <c r="F630" s="363"/>
      <c r="G630" s="363"/>
    </row>
    <row r="631">
      <c r="A631" s="111"/>
      <c r="B631" s="363"/>
      <c r="C631" s="363"/>
      <c r="D631" s="363"/>
      <c r="E631" s="363"/>
      <c r="F631" s="363"/>
      <c r="G631" s="363"/>
    </row>
    <row r="632">
      <c r="A632" s="111"/>
      <c r="B632" s="363"/>
      <c r="C632" s="363"/>
      <c r="D632" s="363"/>
      <c r="E632" s="363"/>
      <c r="F632" s="363"/>
      <c r="G632" s="363"/>
    </row>
    <row r="633">
      <c r="A633" s="111"/>
      <c r="B633" s="363"/>
      <c r="C633" s="363"/>
      <c r="D633" s="363"/>
      <c r="E633" s="363"/>
      <c r="F633" s="363"/>
      <c r="G633" s="363"/>
    </row>
    <row r="634">
      <c r="A634" s="111"/>
      <c r="B634" s="363"/>
      <c r="C634" s="363"/>
      <c r="D634" s="363"/>
      <c r="E634" s="363"/>
      <c r="F634" s="363"/>
      <c r="G634" s="363"/>
    </row>
    <row r="635">
      <c r="A635" s="111"/>
      <c r="B635" s="363"/>
      <c r="C635" s="363"/>
      <c r="D635" s="363"/>
      <c r="E635" s="363"/>
      <c r="F635" s="363"/>
      <c r="G635" s="363"/>
    </row>
    <row r="636">
      <c r="A636" s="111"/>
      <c r="B636" s="363"/>
      <c r="C636" s="363"/>
      <c r="D636" s="363"/>
      <c r="E636" s="363"/>
      <c r="F636" s="363"/>
      <c r="G636" s="363"/>
    </row>
    <row r="637">
      <c r="A637" s="111"/>
      <c r="B637" s="363"/>
      <c r="C637" s="363"/>
      <c r="D637" s="363"/>
      <c r="E637" s="363"/>
      <c r="F637" s="363"/>
      <c r="G637" s="363"/>
    </row>
    <row r="638">
      <c r="A638" s="111"/>
      <c r="B638" s="363"/>
      <c r="C638" s="363"/>
      <c r="D638" s="363"/>
      <c r="E638" s="363"/>
      <c r="F638" s="363"/>
      <c r="G638" s="363"/>
    </row>
    <row r="639">
      <c r="A639" s="111"/>
      <c r="B639" s="363"/>
      <c r="C639" s="363"/>
      <c r="D639" s="363"/>
      <c r="E639" s="363"/>
      <c r="F639" s="363"/>
      <c r="G639" s="363"/>
    </row>
    <row r="640">
      <c r="A640" s="111"/>
      <c r="B640" s="363"/>
      <c r="C640" s="363"/>
      <c r="D640" s="363"/>
      <c r="E640" s="363"/>
      <c r="F640" s="363"/>
      <c r="G640" s="363"/>
    </row>
    <row r="641">
      <c r="A641" s="111"/>
      <c r="B641" s="363"/>
      <c r="C641" s="363"/>
      <c r="D641" s="363"/>
      <c r="E641" s="363"/>
      <c r="F641" s="363"/>
      <c r="G641" s="363"/>
    </row>
    <row r="642">
      <c r="A642" s="111"/>
      <c r="B642" s="363"/>
      <c r="C642" s="363"/>
      <c r="D642" s="363"/>
      <c r="E642" s="363"/>
      <c r="F642" s="363"/>
      <c r="G642" s="363"/>
    </row>
    <row r="643">
      <c r="A643" s="111"/>
      <c r="B643" s="363"/>
      <c r="C643" s="363"/>
      <c r="D643" s="363"/>
      <c r="E643" s="363"/>
      <c r="F643" s="363"/>
      <c r="G643" s="363"/>
    </row>
    <row r="644">
      <c r="A644" s="111"/>
      <c r="B644" s="363"/>
      <c r="C644" s="363"/>
      <c r="D644" s="363"/>
      <c r="E644" s="363"/>
      <c r="F644" s="363"/>
      <c r="G644" s="363"/>
    </row>
    <row r="645">
      <c r="A645" s="111"/>
      <c r="B645" s="363"/>
      <c r="C645" s="363"/>
      <c r="D645" s="363"/>
      <c r="E645" s="363"/>
      <c r="F645" s="363"/>
      <c r="G645" s="363"/>
    </row>
    <row r="646">
      <c r="A646" s="111"/>
      <c r="B646" s="363"/>
      <c r="C646" s="363"/>
      <c r="D646" s="363"/>
      <c r="E646" s="363"/>
      <c r="F646" s="363"/>
      <c r="G646" s="363"/>
    </row>
    <row r="647">
      <c r="A647" s="111"/>
      <c r="B647" s="363"/>
      <c r="C647" s="363"/>
      <c r="D647" s="363"/>
      <c r="E647" s="363"/>
      <c r="F647" s="363"/>
      <c r="G647" s="363"/>
    </row>
    <row r="648">
      <c r="A648" s="111"/>
      <c r="B648" s="363"/>
      <c r="C648" s="363"/>
      <c r="D648" s="363"/>
      <c r="E648" s="363"/>
      <c r="F648" s="363"/>
      <c r="G648" s="363"/>
    </row>
    <row r="649">
      <c r="A649" s="111"/>
      <c r="B649" s="363"/>
      <c r="C649" s="363"/>
      <c r="D649" s="363"/>
      <c r="E649" s="363"/>
      <c r="F649" s="363"/>
      <c r="G649" s="363"/>
    </row>
    <row r="650">
      <c r="A650" s="111"/>
      <c r="B650" s="363"/>
      <c r="C650" s="363"/>
      <c r="D650" s="363"/>
      <c r="E650" s="363"/>
      <c r="F650" s="363"/>
      <c r="G650" s="363"/>
    </row>
    <row r="651">
      <c r="A651" s="111"/>
      <c r="B651" s="363"/>
      <c r="C651" s="363"/>
      <c r="D651" s="363"/>
      <c r="E651" s="363"/>
      <c r="F651" s="363"/>
      <c r="G651" s="363"/>
    </row>
    <row r="652">
      <c r="A652" s="111"/>
      <c r="B652" s="363"/>
      <c r="C652" s="363"/>
      <c r="D652" s="363"/>
      <c r="E652" s="363"/>
      <c r="F652" s="363"/>
      <c r="G652" s="363"/>
    </row>
    <row r="653">
      <c r="A653" s="111"/>
      <c r="B653" s="363"/>
      <c r="C653" s="363"/>
      <c r="D653" s="363"/>
      <c r="E653" s="363"/>
      <c r="F653" s="363"/>
      <c r="G653" s="363"/>
    </row>
    <row r="654">
      <c r="A654" s="111"/>
      <c r="B654" s="363"/>
      <c r="C654" s="363"/>
      <c r="D654" s="363"/>
      <c r="E654" s="363"/>
      <c r="F654" s="363"/>
      <c r="G654" s="363"/>
    </row>
    <row r="655">
      <c r="A655" s="111"/>
      <c r="B655" s="363"/>
      <c r="C655" s="363"/>
      <c r="D655" s="363"/>
      <c r="E655" s="363"/>
      <c r="F655" s="363"/>
      <c r="G655" s="363"/>
    </row>
    <row r="656">
      <c r="A656" s="111"/>
      <c r="B656" s="363"/>
      <c r="C656" s="363"/>
      <c r="D656" s="363"/>
      <c r="E656" s="363"/>
      <c r="F656" s="363"/>
      <c r="G656" s="363"/>
    </row>
    <row r="657">
      <c r="A657" s="111"/>
      <c r="B657" s="363"/>
      <c r="C657" s="363"/>
      <c r="D657" s="363"/>
      <c r="E657" s="363"/>
      <c r="F657" s="363"/>
      <c r="G657" s="363"/>
    </row>
    <row r="658">
      <c r="A658" s="111"/>
      <c r="B658" s="363"/>
      <c r="C658" s="363"/>
      <c r="D658" s="363"/>
      <c r="E658" s="363"/>
      <c r="F658" s="363"/>
      <c r="G658" s="363"/>
    </row>
    <row r="659">
      <c r="A659" s="111"/>
      <c r="B659" s="363"/>
      <c r="C659" s="363"/>
      <c r="D659" s="363"/>
      <c r="E659" s="363"/>
      <c r="F659" s="363"/>
      <c r="G659" s="363"/>
    </row>
    <row r="660">
      <c r="A660" s="111"/>
      <c r="B660" s="363"/>
      <c r="C660" s="363"/>
      <c r="D660" s="363"/>
      <c r="E660" s="363"/>
      <c r="F660" s="363"/>
      <c r="G660" s="363"/>
    </row>
    <row r="661">
      <c r="A661" s="111"/>
      <c r="B661" s="363"/>
      <c r="C661" s="363"/>
      <c r="D661" s="363"/>
      <c r="E661" s="363"/>
      <c r="F661" s="363"/>
      <c r="G661" s="363"/>
    </row>
    <row r="662">
      <c r="A662" s="111"/>
      <c r="B662" s="363"/>
      <c r="C662" s="363"/>
      <c r="D662" s="363"/>
      <c r="E662" s="363"/>
      <c r="F662" s="363"/>
      <c r="G662" s="363"/>
    </row>
    <row r="663">
      <c r="A663" s="111"/>
      <c r="B663" s="363"/>
      <c r="C663" s="363"/>
      <c r="D663" s="363"/>
      <c r="E663" s="363"/>
      <c r="F663" s="363"/>
      <c r="G663" s="363"/>
    </row>
    <row r="664">
      <c r="A664" s="111"/>
      <c r="B664" s="363"/>
      <c r="C664" s="363"/>
      <c r="D664" s="363"/>
      <c r="E664" s="363"/>
      <c r="F664" s="363"/>
      <c r="G664" s="363"/>
    </row>
    <row r="665">
      <c r="A665" s="111"/>
      <c r="B665" s="363"/>
      <c r="C665" s="363"/>
      <c r="D665" s="363"/>
      <c r="E665" s="363"/>
      <c r="F665" s="363"/>
      <c r="G665" s="363"/>
    </row>
    <row r="666">
      <c r="A666" s="111"/>
      <c r="B666" s="363"/>
      <c r="C666" s="363"/>
      <c r="D666" s="363"/>
      <c r="E666" s="363"/>
      <c r="F666" s="363"/>
      <c r="G666" s="363"/>
    </row>
    <row r="667">
      <c r="A667" s="111"/>
      <c r="B667" s="363"/>
      <c r="C667" s="363"/>
      <c r="D667" s="363"/>
      <c r="E667" s="363"/>
      <c r="F667" s="363"/>
      <c r="G667" s="363"/>
    </row>
    <row r="668">
      <c r="A668" s="111"/>
      <c r="B668" s="363"/>
      <c r="C668" s="363"/>
      <c r="D668" s="363"/>
      <c r="E668" s="363"/>
      <c r="F668" s="363"/>
      <c r="G668" s="363"/>
    </row>
    <row r="669">
      <c r="A669" s="111"/>
      <c r="B669" s="363"/>
      <c r="C669" s="363"/>
      <c r="D669" s="363"/>
      <c r="E669" s="363"/>
      <c r="F669" s="363"/>
      <c r="G669" s="363"/>
    </row>
    <row r="670">
      <c r="A670" s="111"/>
      <c r="B670" s="363"/>
      <c r="C670" s="363"/>
      <c r="D670" s="363"/>
      <c r="E670" s="363"/>
      <c r="F670" s="363"/>
      <c r="G670" s="363"/>
    </row>
    <row r="671">
      <c r="A671" s="111"/>
      <c r="B671" s="363"/>
      <c r="C671" s="363"/>
      <c r="D671" s="363"/>
      <c r="E671" s="363"/>
      <c r="F671" s="363"/>
      <c r="G671" s="363"/>
    </row>
    <row r="672">
      <c r="A672" s="111"/>
      <c r="B672" s="363"/>
      <c r="C672" s="363"/>
      <c r="D672" s="363"/>
      <c r="E672" s="363"/>
      <c r="F672" s="363"/>
      <c r="G672" s="363"/>
    </row>
    <row r="673">
      <c r="A673" s="111"/>
      <c r="B673" s="363"/>
      <c r="C673" s="363"/>
      <c r="D673" s="363"/>
      <c r="E673" s="363"/>
      <c r="F673" s="363"/>
      <c r="G673" s="363"/>
    </row>
    <row r="674">
      <c r="A674" s="111"/>
      <c r="B674" s="363"/>
      <c r="C674" s="363"/>
      <c r="D674" s="363"/>
      <c r="E674" s="363"/>
      <c r="F674" s="363"/>
      <c r="G674" s="363"/>
    </row>
    <row r="675">
      <c r="A675" s="111"/>
      <c r="B675" s="363"/>
      <c r="C675" s="363"/>
      <c r="D675" s="363"/>
      <c r="E675" s="363"/>
      <c r="F675" s="363"/>
      <c r="G675" s="363"/>
    </row>
    <row r="676">
      <c r="A676" s="111"/>
      <c r="B676" s="363"/>
      <c r="C676" s="363"/>
      <c r="D676" s="363"/>
      <c r="E676" s="363"/>
      <c r="F676" s="363"/>
      <c r="G676" s="363"/>
    </row>
    <row r="677">
      <c r="A677" s="111"/>
      <c r="B677" s="363"/>
      <c r="C677" s="363"/>
      <c r="D677" s="363"/>
      <c r="E677" s="363"/>
      <c r="F677" s="363"/>
      <c r="G677" s="363"/>
    </row>
    <row r="678">
      <c r="A678" s="111"/>
      <c r="B678" s="363"/>
      <c r="C678" s="363"/>
      <c r="D678" s="363"/>
      <c r="E678" s="363"/>
      <c r="F678" s="363"/>
      <c r="G678" s="363"/>
    </row>
    <row r="679">
      <c r="A679" s="111"/>
      <c r="B679" s="363"/>
      <c r="C679" s="363"/>
      <c r="D679" s="363"/>
      <c r="E679" s="363"/>
      <c r="F679" s="363"/>
      <c r="G679" s="363"/>
    </row>
    <row r="680">
      <c r="A680" s="111"/>
      <c r="B680" s="363"/>
      <c r="C680" s="363"/>
      <c r="D680" s="363"/>
      <c r="E680" s="363"/>
      <c r="F680" s="363"/>
      <c r="G680" s="363"/>
    </row>
    <row r="681">
      <c r="A681" s="111"/>
      <c r="B681" s="363"/>
      <c r="C681" s="363"/>
      <c r="D681" s="363"/>
      <c r="E681" s="363"/>
      <c r="F681" s="363"/>
      <c r="G681" s="363"/>
    </row>
    <row r="682">
      <c r="A682" s="111"/>
      <c r="B682" s="363"/>
      <c r="C682" s="363"/>
      <c r="D682" s="363"/>
      <c r="E682" s="363"/>
      <c r="F682" s="363"/>
      <c r="G682" s="363"/>
    </row>
    <row r="683">
      <c r="A683" s="111"/>
      <c r="B683" s="363"/>
      <c r="C683" s="363"/>
      <c r="D683" s="363"/>
      <c r="E683" s="363"/>
      <c r="F683" s="363"/>
      <c r="G683" s="363"/>
    </row>
    <row r="684">
      <c r="A684" s="111"/>
      <c r="B684" s="363"/>
      <c r="C684" s="363"/>
      <c r="D684" s="363"/>
      <c r="E684" s="363"/>
      <c r="F684" s="363"/>
      <c r="G684" s="363"/>
    </row>
    <row r="685">
      <c r="A685" s="111"/>
      <c r="B685" s="363"/>
      <c r="C685" s="363"/>
      <c r="D685" s="363"/>
      <c r="E685" s="363"/>
      <c r="F685" s="363"/>
      <c r="G685" s="363"/>
    </row>
    <row r="686">
      <c r="A686" s="111"/>
      <c r="B686" s="363"/>
      <c r="C686" s="363"/>
      <c r="D686" s="363"/>
      <c r="E686" s="363"/>
      <c r="F686" s="363"/>
      <c r="G686" s="363"/>
    </row>
    <row r="687">
      <c r="A687" s="111"/>
      <c r="B687" s="363"/>
      <c r="C687" s="363"/>
      <c r="D687" s="363"/>
      <c r="E687" s="363"/>
      <c r="F687" s="363"/>
      <c r="G687" s="363"/>
    </row>
    <row r="688">
      <c r="A688" s="111"/>
      <c r="B688" s="363"/>
      <c r="C688" s="363"/>
      <c r="D688" s="363"/>
      <c r="E688" s="363"/>
      <c r="F688" s="363"/>
      <c r="G688" s="363"/>
    </row>
    <row r="689">
      <c r="A689" s="111"/>
      <c r="B689" s="363"/>
      <c r="C689" s="363"/>
      <c r="D689" s="363"/>
      <c r="E689" s="363"/>
      <c r="F689" s="363"/>
      <c r="G689" s="363"/>
    </row>
    <row r="690">
      <c r="A690" s="111"/>
      <c r="B690" s="363"/>
      <c r="C690" s="363"/>
      <c r="D690" s="363"/>
      <c r="E690" s="363"/>
      <c r="F690" s="363"/>
      <c r="G690" s="363"/>
    </row>
    <row r="691">
      <c r="A691" s="111"/>
      <c r="B691" s="363"/>
      <c r="C691" s="363"/>
      <c r="D691" s="363"/>
      <c r="E691" s="363"/>
      <c r="F691" s="363"/>
      <c r="G691" s="363"/>
    </row>
    <row r="692">
      <c r="A692" s="111"/>
      <c r="B692" s="363"/>
      <c r="C692" s="363"/>
      <c r="D692" s="363"/>
      <c r="E692" s="363"/>
      <c r="F692" s="363"/>
      <c r="G692" s="363"/>
    </row>
    <row r="693">
      <c r="A693" s="111"/>
      <c r="B693" s="363"/>
      <c r="C693" s="363"/>
      <c r="D693" s="363"/>
      <c r="E693" s="363"/>
      <c r="F693" s="363"/>
      <c r="G693" s="363"/>
    </row>
    <row r="694">
      <c r="A694" s="111"/>
      <c r="B694" s="363"/>
      <c r="C694" s="363"/>
      <c r="D694" s="363"/>
      <c r="E694" s="363"/>
      <c r="F694" s="363"/>
      <c r="G694" s="363"/>
    </row>
    <row r="695">
      <c r="A695" s="111"/>
      <c r="B695" s="363"/>
      <c r="C695" s="363"/>
      <c r="D695" s="363"/>
      <c r="E695" s="363"/>
      <c r="F695" s="363"/>
      <c r="G695" s="363"/>
    </row>
    <row r="696">
      <c r="A696" s="111"/>
      <c r="B696" s="363"/>
      <c r="C696" s="363"/>
      <c r="D696" s="363"/>
      <c r="E696" s="363"/>
      <c r="F696" s="363"/>
      <c r="G696" s="363"/>
    </row>
    <row r="697">
      <c r="A697" s="111"/>
      <c r="B697" s="363"/>
      <c r="C697" s="363"/>
      <c r="D697" s="363"/>
      <c r="E697" s="363"/>
      <c r="F697" s="363"/>
      <c r="G697" s="363"/>
    </row>
    <row r="698">
      <c r="A698" s="111"/>
      <c r="B698" s="363"/>
      <c r="C698" s="363"/>
      <c r="D698" s="363"/>
      <c r="E698" s="363"/>
      <c r="F698" s="363"/>
      <c r="G698" s="363"/>
    </row>
    <row r="699">
      <c r="A699" s="111"/>
      <c r="B699" s="363"/>
      <c r="C699" s="363"/>
      <c r="D699" s="363"/>
      <c r="E699" s="363"/>
      <c r="F699" s="363"/>
      <c r="G699" s="363"/>
    </row>
    <row r="700">
      <c r="A700" s="111"/>
      <c r="B700" s="363"/>
      <c r="C700" s="363"/>
      <c r="D700" s="363"/>
      <c r="E700" s="363"/>
      <c r="F700" s="363"/>
      <c r="G700" s="363"/>
    </row>
    <row r="701">
      <c r="A701" s="111"/>
      <c r="B701" s="363"/>
      <c r="C701" s="363"/>
      <c r="D701" s="363"/>
      <c r="E701" s="363"/>
      <c r="F701" s="363"/>
      <c r="G701" s="363"/>
    </row>
    <row r="702">
      <c r="A702" s="111"/>
      <c r="B702" s="363"/>
      <c r="C702" s="363"/>
      <c r="D702" s="363"/>
      <c r="E702" s="363"/>
      <c r="F702" s="363"/>
      <c r="G702" s="363"/>
    </row>
    <row r="703">
      <c r="A703" s="111"/>
      <c r="B703" s="363"/>
      <c r="C703" s="363"/>
      <c r="D703" s="363"/>
      <c r="E703" s="363"/>
      <c r="F703" s="363"/>
      <c r="G703" s="363"/>
    </row>
    <row r="704">
      <c r="A704" s="111"/>
      <c r="B704" s="363"/>
      <c r="C704" s="363"/>
      <c r="D704" s="363"/>
      <c r="E704" s="363"/>
      <c r="F704" s="363"/>
      <c r="G704" s="363"/>
    </row>
    <row r="705">
      <c r="A705" s="111"/>
      <c r="B705" s="363"/>
      <c r="C705" s="363"/>
      <c r="D705" s="363"/>
      <c r="E705" s="363"/>
      <c r="F705" s="363"/>
      <c r="G705" s="363"/>
    </row>
    <row r="706">
      <c r="A706" s="111"/>
      <c r="B706" s="363"/>
      <c r="C706" s="363"/>
      <c r="D706" s="363"/>
      <c r="E706" s="363"/>
      <c r="F706" s="363"/>
      <c r="G706" s="363"/>
    </row>
    <row r="707">
      <c r="A707" s="111"/>
      <c r="B707" s="363"/>
      <c r="C707" s="363"/>
      <c r="D707" s="363"/>
      <c r="E707" s="363"/>
      <c r="F707" s="363"/>
      <c r="G707" s="363"/>
    </row>
    <row r="708">
      <c r="A708" s="111"/>
      <c r="B708" s="363"/>
      <c r="C708" s="363"/>
      <c r="D708" s="363"/>
      <c r="E708" s="363"/>
      <c r="F708" s="363"/>
      <c r="G708" s="363"/>
    </row>
    <row r="709">
      <c r="A709" s="111"/>
      <c r="B709" s="363"/>
      <c r="C709" s="363"/>
      <c r="D709" s="363"/>
      <c r="E709" s="363"/>
      <c r="F709" s="363"/>
      <c r="G709" s="363"/>
    </row>
    <row r="710">
      <c r="A710" s="111"/>
      <c r="B710" s="363"/>
      <c r="C710" s="363"/>
      <c r="D710" s="363"/>
      <c r="E710" s="363"/>
      <c r="F710" s="363"/>
      <c r="G710" s="363"/>
    </row>
    <row r="711">
      <c r="A711" s="111"/>
      <c r="B711" s="363"/>
      <c r="C711" s="363"/>
      <c r="D711" s="363"/>
      <c r="E711" s="363"/>
      <c r="F711" s="363"/>
      <c r="G711" s="363"/>
    </row>
    <row r="712">
      <c r="A712" s="111"/>
      <c r="B712" s="363"/>
      <c r="C712" s="363"/>
      <c r="D712" s="363"/>
      <c r="E712" s="363"/>
      <c r="F712" s="363"/>
      <c r="G712" s="363"/>
    </row>
    <row r="713">
      <c r="A713" s="111"/>
      <c r="B713" s="363"/>
      <c r="C713" s="363"/>
      <c r="D713" s="363"/>
      <c r="E713" s="363"/>
      <c r="F713" s="363"/>
      <c r="G713" s="363"/>
    </row>
    <row r="714">
      <c r="A714" s="111"/>
      <c r="B714" s="363"/>
      <c r="C714" s="363"/>
      <c r="D714" s="363"/>
      <c r="E714" s="363"/>
      <c r="F714" s="363"/>
      <c r="G714" s="363"/>
    </row>
    <row r="715">
      <c r="A715" s="111"/>
      <c r="B715" s="363"/>
      <c r="C715" s="363"/>
      <c r="D715" s="363"/>
      <c r="E715" s="363"/>
      <c r="F715" s="363"/>
      <c r="G715" s="363"/>
    </row>
    <row r="716">
      <c r="A716" s="111"/>
      <c r="B716" s="363"/>
      <c r="C716" s="363"/>
      <c r="D716" s="363"/>
      <c r="E716" s="363"/>
      <c r="F716" s="363"/>
      <c r="G716" s="363"/>
    </row>
    <row r="717">
      <c r="A717" s="111"/>
      <c r="B717" s="363"/>
      <c r="C717" s="363"/>
      <c r="D717" s="363"/>
      <c r="E717" s="363"/>
      <c r="F717" s="363"/>
      <c r="G717" s="363"/>
    </row>
    <row r="718">
      <c r="A718" s="111"/>
      <c r="B718" s="363"/>
      <c r="C718" s="363"/>
      <c r="D718" s="363"/>
      <c r="E718" s="363"/>
      <c r="F718" s="363"/>
      <c r="G718" s="363"/>
    </row>
    <row r="719">
      <c r="A719" s="111"/>
      <c r="B719" s="363"/>
      <c r="C719" s="363"/>
      <c r="D719" s="363"/>
      <c r="E719" s="363"/>
      <c r="F719" s="363"/>
      <c r="G719" s="363"/>
    </row>
    <row r="720">
      <c r="A720" s="111"/>
      <c r="B720" s="363"/>
      <c r="C720" s="363"/>
      <c r="D720" s="363"/>
      <c r="E720" s="363"/>
      <c r="F720" s="363"/>
      <c r="G720" s="363"/>
    </row>
    <row r="721">
      <c r="A721" s="111"/>
      <c r="B721" s="363"/>
      <c r="C721" s="363"/>
      <c r="D721" s="363"/>
      <c r="E721" s="363"/>
      <c r="F721" s="363"/>
      <c r="G721" s="363"/>
    </row>
    <row r="722">
      <c r="A722" s="111"/>
      <c r="B722" s="363"/>
      <c r="C722" s="363"/>
      <c r="D722" s="363"/>
      <c r="E722" s="363"/>
      <c r="F722" s="363"/>
      <c r="G722" s="363"/>
    </row>
    <row r="723">
      <c r="A723" s="111"/>
      <c r="B723" s="363"/>
      <c r="C723" s="363"/>
      <c r="D723" s="363"/>
      <c r="E723" s="363"/>
      <c r="F723" s="363"/>
      <c r="G723" s="363"/>
    </row>
    <row r="724">
      <c r="A724" s="111"/>
      <c r="B724" s="363"/>
      <c r="C724" s="363"/>
      <c r="D724" s="363"/>
      <c r="E724" s="363"/>
      <c r="F724" s="363"/>
      <c r="G724" s="363"/>
    </row>
    <row r="725">
      <c r="A725" s="111"/>
      <c r="B725" s="363"/>
      <c r="C725" s="363"/>
      <c r="D725" s="363"/>
      <c r="E725" s="363"/>
      <c r="F725" s="363"/>
      <c r="G725" s="363"/>
    </row>
    <row r="726">
      <c r="A726" s="111"/>
      <c r="B726" s="363"/>
      <c r="C726" s="363"/>
      <c r="D726" s="363"/>
      <c r="E726" s="363"/>
      <c r="F726" s="363"/>
      <c r="G726" s="363"/>
    </row>
    <row r="727">
      <c r="A727" s="111"/>
      <c r="B727" s="363"/>
      <c r="C727" s="363"/>
      <c r="D727" s="363"/>
      <c r="E727" s="363"/>
      <c r="F727" s="363"/>
      <c r="G727" s="363"/>
    </row>
    <row r="728">
      <c r="A728" s="111"/>
      <c r="B728" s="363"/>
      <c r="C728" s="363"/>
      <c r="D728" s="363"/>
      <c r="E728" s="363"/>
      <c r="F728" s="363"/>
      <c r="G728" s="363"/>
    </row>
    <row r="729">
      <c r="A729" s="111"/>
      <c r="B729" s="363"/>
      <c r="C729" s="363"/>
      <c r="D729" s="363"/>
      <c r="E729" s="363"/>
      <c r="F729" s="363"/>
      <c r="G729" s="363"/>
    </row>
    <row r="730">
      <c r="A730" s="111"/>
      <c r="B730" s="363"/>
      <c r="C730" s="363"/>
      <c r="D730" s="363"/>
      <c r="E730" s="363"/>
      <c r="F730" s="363"/>
      <c r="G730" s="363"/>
    </row>
    <row r="731">
      <c r="A731" s="111"/>
      <c r="B731" s="363"/>
      <c r="C731" s="363"/>
      <c r="D731" s="363"/>
      <c r="E731" s="363"/>
      <c r="F731" s="363"/>
      <c r="G731" s="363"/>
    </row>
    <row r="732">
      <c r="A732" s="111"/>
      <c r="B732" s="363"/>
      <c r="C732" s="363"/>
      <c r="D732" s="363"/>
      <c r="E732" s="363"/>
      <c r="F732" s="363"/>
      <c r="G732" s="363"/>
    </row>
    <row r="733">
      <c r="A733" s="111"/>
      <c r="B733" s="363"/>
      <c r="C733" s="363"/>
      <c r="D733" s="363"/>
      <c r="E733" s="363"/>
      <c r="F733" s="363"/>
      <c r="G733" s="363"/>
    </row>
    <row r="734">
      <c r="A734" s="111"/>
      <c r="B734" s="363"/>
      <c r="C734" s="363"/>
      <c r="D734" s="363"/>
      <c r="E734" s="363"/>
      <c r="F734" s="363"/>
      <c r="G734" s="363"/>
    </row>
    <row r="735">
      <c r="A735" s="111"/>
      <c r="B735" s="363"/>
      <c r="C735" s="363"/>
      <c r="D735" s="363"/>
      <c r="E735" s="363"/>
      <c r="F735" s="363"/>
      <c r="G735" s="363"/>
    </row>
    <row r="736">
      <c r="A736" s="111"/>
      <c r="B736" s="363"/>
      <c r="C736" s="363"/>
      <c r="D736" s="363"/>
      <c r="E736" s="363"/>
      <c r="F736" s="363"/>
      <c r="G736" s="363"/>
    </row>
    <row r="737">
      <c r="A737" s="111"/>
      <c r="B737" s="363"/>
      <c r="C737" s="363"/>
      <c r="D737" s="363"/>
      <c r="E737" s="363"/>
      <c r="F737" s="363"/>
      <c r="G737" s="363"/>
    </row>
    <row r="738">
      <c r="A738" s="111"/>
      <c r="B738" s="363"/>
      <c r="C738" s="363"/>
      <c r="D738" s="363"/>
      <c r="E738" s="363"/>
      <c r="F738" s="363"/>
      <c r="G738" s="363"/>
    </row>
    <row r="739">
      <c r="A739" s="111"/>
      <c r="B739" s="363"/>
      <c r="C739" s="363"/>
      <c r="D739" s="363"/>
      <c r="E739" s="363"/>
      <c r="F739" s="363"/>
      <c r="G739" s="363"/>
    </row>
    <row r="740">
      <c r="A740" s="111"/>
      <c r="B740" s="363"/>
      <c r="C740" s="363"/>
      <c r="D740" s="363"/>
      <c r="E740" s="363"/>
      <c r="F740" s="363"/>
      <c r="G740" s="363"/>
    </row>
    <row r="741">
      <c r="A741" s="111"/>
      <c r="B741" s="363"/>
      <c r="C741" s="363"/>
      <c r="D741" s="363"/>
      <c r="E741" s="363"/>
      <c r="F741" s="363"/>
      <c r="G741" s="363"/>
    </row>
    <row r="742">
      <c r="A742" s="111"/>
      <c r="B742" s="363"/>
      <c r="C742" s="363"/>
      <c r="D742" s="363"/>
      <c r="E742" s="363"/>
      <c r="F742" s="363"/>
      <c r="G742" s="363"/>
    </row>
    <row r="743">
      <c r="A743" s="111"/>
      <c r="B743" s="363"/>
      <c r="C743" s="363"/>
      <c r="D743" s="363"/>
      <c r="E743" s="363"/>
      <c r="F743" s="363"/>
      <c r="G743" s="363"/>
    </row>
    <row r="744">
      <c r="A744" s="111"/>
      <c r="B744" s="363"/>
      <c r="C744" s="363"/>
      <c r="D744" s="363"/>
      <c r="E744" s="363"/>
      <c r="F744" s="363"/>
      <c r="G744" s="363"/>
    </row>
    <row r="745">
      <c r="A745" s="111"/>
      <c r="B745" s="363"/>
      <c r="C745" s="363"/>
      <c r="D745" s="363"/>
      <c r="E745" s="363"/>
      <c r="F745" s="363"/>
      <c r="G745" s="363"/>
    </row>
    <row r="746">
      <c r="A746" s="111"/>
      <c r="B746" s="363"/>
      <c r="C746" s="363"/>
      <c r="D746" s="363"/>
      <c r="E746" s="363"/>
      <c r="F746" s="363"/>
      <c r="G746" s="363"/>
    </row>
    <row r="747">
      <c r="A747" s="111"/>
      <c r="B747" s="363"/>
      <c r="C747" s="363"/>
      <c r="D747" s="363"/>
      <c r="E747" s="363"/>
      <c r="F747" s="363"/>
      <c r="G747" s="363"/>
    </row>
    <row r="748">
      <c r="A748" s="111"/>
      <c r="B748" s="363"/>
      <c r="C748" s="363"/>
      <c r="D748" s="363"/>
      <c r="E748" s="363"/>
      <c r="F748" s="363"/>
      <c r="G748" s="363"/>
    </row>
    <row r="749">
      <c r="A749" s="111"/>
      <c r="B749" s="363"/>
      <c r="C749" s="363"/>
      <c r="D749" s="363"/>
      <c r="E749" s="363"/>
      <c r="F749" s="363"/>
      <c r="G749" s="363"/>
    </row>
    <row r="750">
      <c r="A750" s="111"/>
      <c r="B750" s="363"/>
      <c r="C750" s="363"/>
      <c r="D750" s="363"/>
      <c r="E750" s="363"/>
      <c r="F750" s="363"/>
      <c r="G750" s="363"/>
    </row>
    <row r="751">
      <c r="A751" s="111"/>
      <c r="B751" s="363"/>
      <c r="C751" s="363"/>
      <c r="D751" s="363"/>
      <c r="E751" s="363"/>
      <c r="F751" s="363"/>
      <c r="G751" s="363"/>
    </row>
    <row r="752">
      <c r="A752" s="111"/>
      <c r="B752" s="363"/>
      <c r="C752" s="363"/>
      <c r="D752" s="363"/>
      <c r="E752" s="363"/>
      <c r="F752" s="363"/>
      <c r="G752" s="363"/>
    </row>
    <row r="753">
      <c r="A753" s="111"/>
      <c r="B753" s="363"/>
      <c r="C753" s="363"/>
      <c r="D753" s="363"/>
      <c r="E753" s="363"/>
      <c r="F753" s="363"/>
      <c r="G753" s="363"/>
    </row>
    <row r="754">
      <c r="A754" s="111"/>
      <c r="B754" s="363"/>
      <c r="C754" s="363"/>
      <c r="D754" s="363"/>
      <c r="E754" s="363"/>
      <c r="F754" s="363"/>
      <c r="G754" s="363"/>
    </row>
    <row r="755">
      <c r="A755" s="111"/>
      <c r="B755" s="363"/>
      <c r="C755" s="363"/>
      <c r="D755" s="363"/>
      <c r="E755" s="363"/>
      <c r="F755" s="363"/>
      <c r="G755" s="363"/>
    </row>
    <row r="756">
      <c r="A756" s="111"/>
      <c r="B756" s="363"/>
      <c r="C756" s="363"/>
      <c r="D756" s="363"/>
      <c r="E756" s="363"/>
      <c r="F756" s="363"/>
      <c r="G756" s="363"/>
    </row>
    <row r="757">
      <c r="A757" s="111"/>
      <c r="B757" s="363"/>
      <c r="C757" s="363"/>
      <c r="D757" s="363"/>
      <c r="E757" s="363"/>
      <c r="F757" s="363"/>
      <c r="G757" s="363"/>
    </row>
    <row r="758">
      <c r="A758" s="111"/>
      <c r="B758" s="363"/>
      <c r="C758" s="363"/>
      <c r="D758" s="363"/>
      <c r="E758" s="363"/>
      <c r="F758" s="363"/>
      <c r="G758" s="363"/>
    </row>
    <row r="759">
      <c r="A759" s="111"/>
      <c r="B759" s="363"/>
      <c r="C759" s="363"/>
      <c r="D759" s="363"/>
      <c r="E759" s="363"/>
      <c r="F759" s="363"/>
      <c r="G759" s="363"/>
    </row>
    <row r="760">
      <c r="A760" s="111"/>
      <c r="B760" s="363"/>
      <c r="C760" s="363"/>
      <c r="D760" s="363"/>
      <c r="E760" s="363"/>
      <c r="F760" s="363"/>
      <c r="G760" s="363"/>
    </row>
    <row r="761">
      <c r="A761" s="111"/>
      <c r="B761" s="363"/>
      <c r="C761" s="363"/>
      <c r="D761" s="363"/>
      <c r="E761" s="363"/>
      <c r="F761" s="363"/>
      <c r="G761" s="363"/>
    </row>
    <row r="762">
      <c r="A762" s="111"/>
      <c r="B762" s="363"/>
      <c r="C762" s="363"/>
      <c r="D762" s="363"/>
      <c r="E762" s="363"/>
      <c r="F762" s="363"/>
      <c r="G762" s="363"/>
    </row>
    <row r="763">
      <c r="A763" s="111"/>
      <c r="B763" s="363"/>
      <c r="C763" s="363"/>
      <c r="D763" s="363"/>
      <c r="E763" s="363"/>
      <c r="F763" s="363"/>
      <c r="G763" s="363"/>
    </row>
    <row r="764">
      <c r="A764" s="111"/>
      <c r="B764" s="363"/>
      <c r="C764" s="363"/>
      <c r="D764" s="363"/>
      <c r="E764" s="363"/>
      <c r="F764" s="363"/>
      <c r="G764" s="363"/>
    </row>
    <row r="765">
      <c r="A765" s="111"/>
      <c r="B765" s="363"/>
      <c r="C765" s="363"/>
      <c r="D765" s="363"/>
      <c r="E765" s="363"/>
      <c r="F765" s="363"/>
      <c r="G765" s="363"/>
    </row>
    <row r="766">
      <c r="A766" s="111"/>
      <c r="B766" s="363"/>
      <c r="C766" s="363"/>
      <c r="D766" s="363"/>
      <c r="E766" s="363"/>
      <c r="F766" s="363"/>
      <c r="G766" s="363"/>
    </row>
    <row r="767">
      <c r="A767" s="111"/>
      <c r="B767" s="363"/>
      <c r="C767" s="363"/>
      <c r="D767" s="363"/>
      <c r="E767" s="363"/>
      <c r="F767" s="363"/>
      <c r="G767" s="363"/>
    </row>
    <row r="768">
      <c r="A768" s="111"/>
      <c r="B768" s="363"/>
      <c r="C768" s="363"/>
      <c r="D768" s="363"/>
      <c r="E768" s="363"/>
      <c r="F768" s="363"/>
      <c r="G768" s="363"/>
    </row>
    <row r="769">
      <c r="A769" s="111"/>
      <c r="B769" s="363"/>
      <c r="C769" s="363"/>
      <c r="D769" s="363"/>
      <c r="E769" s="363"/>
      <c r="F769" s="363"/>
      <c r="G769" s="363"/>
    </row>
    <row r="770">
      <c r="A770" s="111"/>
      <c r="B770" s="363"/>
      <c r="C770" s="363"/>
      <c r="D770" s="363"/>
      <c r="E770" s="363"/>
      <c r="F770" s="363"/>
      <c r="G770" s="363"/>
    </row>
    <row r="771">
      <c r="A771" s="111"/>
      <c r="B771" s="363"/>
      <c r="C771" s="363"/>
      <c r="D771" s="363"/>
      <c r="E771" s="363"/>
      <c r="F771" s="363"/>
      <c r="G771" s="363"/>
    </row>
    <row r="772">
      <c r="A772" s="111"/>
      <c r="B772" s="363"/>
      <c r="C772" s="363"/>
      <c r="D772" s="363"/>
      <c r="E772" s="363"/>
      <c r="F772" s="363"/>
      <c r="G772" s="363"/>
    </row>
    <row r="773">
      <c r="A773" s="111"/>
      <c r="B773" s="363"/>
      <c r="C773" s="363"/>
      <c r="D773" s="363"/>
      <c r="E773" s="363"/>
      <c r="F773" s="363"/>
      <c r="G773" s="363"/>
    </row>
    <row r="774">
      <c r="A774" s="111"/>
      <c r="B774" s="363"/>
      <c r="C774" s="363"/>
      <c r="D774" s="363"/>
      <c r="E774" s="363"/>
      <c r="F774" s="363"/>
      <c r="G774" s="363"/>
    </row>
    <row r="775">
      <c r="A775" s="111"/>
      <c r="B775" s="363"/>
      <c r="C775" s="363"/>
      <c r="D775" s="363"/>
      <c r="E775" s="363"/>
      <c r="F775" s="363"/>
      <c r="G775" s="363"/>
    </row>
    <row r="776">
      <c r="A776" s="111"/>
      <c r="B776" s="363"/>
      <c r="C776" s="363"/>
      <c r="D776" s="363"/>
      <c r="E776" s="363"/>
      <c r="F776" s="363"/>
      <c r="G776" s="363"/>
    </row>
    <row r="777">
      <c r="A777" s="111"/>
      <c r="B777" s="363"/>
      <c r="C777" s="363"/>
      <c r="D777" s="363"/>
      <c r="E777" s="363"/>
      <c r="F777" s="363"/>
      <c r="G777" s="363"/>
    </row>
    <row r="778">
      <c r="A778" s="111"/>
      <c r="B778" s="363"/>
      <c r="C778" s="363"/>
      <c r="D778" s="363"/>
      <c r="E778" s="363"/>
      <c r="F778" s="363"/>
      <c r="G778" s="363"/>
    </row>
    <row r="779">
      <c r="A779" s="111"/>
      <c r="B779" s="363"/>
      <c r="C779" s="363"/>
      <c r="D779" s="363"/>
      <c r="E779" s="363"/>
      <c r="F779" s="363"/>
      <c r="G779" s="363"/>
    </row>
    <row r="780">
      <c r="A780" s="111"/>
      <c r="B780" s="363"/>
      <c r="C780" s="363"/>
      <c r="D780" s="363"/>
      <c r="E780" s="363"/>
      <c r="F780" s="363"/>
      <c r="G780" s="363"/>
    </row>
    <row r="781">
      <c r="A781" s="111"/>
      <c r="B781" s="363"/>
      <c r="C781" s="363"/>
      <c r="D781" s="363"/>
      <c r="E781" s="363"/>
      <c r="F781" s="363"/>
      <c r="G781" s="363"/>
    </row>
    <row r="782">
      <c r="A782" s="111"/>
      <c r="B782" s="363"/>
      <c r="C782" s="363"/>
      <c r="D782" s="363"/>
      <c r="E782" s="363"/>
      <c r="F782" s="363"/>
      <c r="G782" s="363"/>
    </row>
    <row r="783">
      <c r="A783" s="111"/>
      <c r="B783" s="363"/>
      <c r="C783" s="363"/>
      <c r="D783" s="363"/>
      <c r="E783" s="363"/>
      <c r="F783" s="363"/>
      <c r="G783" s="363"/>
    </row>
    <row r="784">
      <c r="A784" s="111"/>
      <c r="B784" s="363"/>
      <c r="C784" s="363"/>
      <c r="D784" s="363"/>
      <c r="E784" s="363"/>
      <c r="F784" s="363"/>
      <c r="G784" s="363"/>
    </row>
    <row r="785">
      <c r="A785" s="111"/>
      <c r="B785" s="363"/>
      <c r="C785" s="363"/>
      <c r="D785" s="363"/>
      <c r="E785" s="363"/>
      <c r="F785" s="363"/>
      <c r="G785" s="363"/>
    </row>
    <row r="786">
      <c r="A786" s="111"/>
      <c r="B786" s="363"/>
      <c r="C786" s="363"/>
      <c r="D786" s="363"/>
      <c r="E786" s="363"/>
      <c r="F786" s="363"/>
      <c r="G786" s="363"/>
    </row>
    <row r="787">
      <c r="A787" s="111"/>
      <c r="B787" s="363"/>
      <c r="C787" s="363"/>
      <c r="D787" s="363"/>
      <c r="E787" s="363"/>
      <c r="F787" s="363"/>
      <c r="G787" s="363"/>
    </row>
    <row r="788">
      <c r="A788" s="111"/>
      <c r="B788" s="363"/>
      <c r="C788" s="363"/>
      <c r="D788" s="363"/>
      <c r="E788" s="363"/>
      <c r="F788" s="363"/>
      <c r="G788" s="363"/>
    </row>
    <row r="789">
      <c r="A789" s="111"/>
      <c r="B789" s="363"/>
      <c r="C789" s="363"/>
      <c r="D789" s="363"/>
      <c r="E789" s="363"/>
      <c r="F789" s="363"/>
      <c r="G789" s="363"/>
    </row>
    <row r="790">
      <c r="A790" s="111"/>
      <c r="B790" s="363"/>
      <c r="C790" s="363"/>
      <c r="D790" s="363"/>
      <c r="E790" s="363"/>
      <c r="F790" s="363"/>
      <c r="G790" s="363"/>
    </row>
    <row r="791">
      <c r="A791" s="111"/>
      <c r="B791" s="363"/>
      <c r="C791" s="363"/>
      <c r="D791" s="363"/>
      <c r="E791" s="363"/>
      <c r="F791" s="363"/>
      <c r="G791" s="363"/>
    </row>
    <row r="792">
      <c r="A792" s="111"/>
      <c r="B792" s="363"/>
      <c r="C792" s="363"/>
      <c r="D792" s="363"/>
      <c r="E792" s="363"/>
      <c r="F792" s="363"/>
      <c r="G792" s="363"/>
    </row>
    <row r="793">
      <c r="A793" s="111"/>
      <c r="B793" s="363"/>
      <c r="C793" s="363"/>
      <c r="D793" s="363"/>
      <c r="E793" s="363"/>
      <c r="F793" s="363"/>
      <c r="G793" s="363"/>
    </row>
    <row r="794">
      <c r="A794" s="111"/>
      <c r="B794" s="363"/>
      <c r="C794" s="363"/>
      <c r="D794" s="363"/>
      <c r="E794" s="363"/>
      <c r="F794" s="363"/>
      <c r="G794" s="363"/>
    </row>
    <row r="795">
      <c r="A795" s="111"/>
      <c r="B795" s="363"/>
      <c r="C795" s="363"/>
      <c r="D795" s="363"/>
      <c r="E795" s="363"/>
      <c r="F795" s="363"/>
      <c r="G795" s="363"/>
    </row>
    <row r="796">
      <c r="A796" s="111"/>
      <c r="B796" s="363"/>
      <c r="C796" s="363"/>
      <c r="D796" s="363"/>
      <c r="E796" s="363"/>
      <c r="F796" s="363"/>
      <c r="G796" s="363"/>
    </row>
    <row r="797">
      <c r="A797" s="111"/>
      <c r="B797" s="363"/>
      <c r="C797" s="363"/>
      <c r="D797" s="363"/>
      <c r="E797" s="363"/>
      <c r="F797" s="363"/>
      <c r="G797" s="363"/>
    </row>
    <row r="798">
      <c r="A798" s="111"/>
      <c r="B798" s="363"/>
      <c r="C798" s="363"/>
      <c r="D798" s="363"/>
      <c r="E798" s="363"/>
      <c r="F798" s="363"/>
      <c r="G798" s="363"/>
    </row>
    <row r="799">
      <c r="A799" s="111"/>
      <c r="B799" s="363"/>
      <c r="C799" s="363"/>
      <c r="D799" s="363"/>
      <c r="E799" s="363"/>
      <c r="F799" s="363"/>
      <c r="G799" s="363"/>
    </row>
    <row r="800">
      <c r="A800" s="111"/>
      <c r="B800" s="363"/>
      <c r="C800" s="363"/>
      <c r="D800" s="363"/>
      <c r="E800" s="363"/>
      <c r="F800" s="363"/>
      <c r="G800" s="363"/>
    </row>
    <row r="801">
      <c r="A801" s="111"/>
      <c r="B801" s="363"/>
      <c r="C801" s="363"/>
      <c r="D801" s="363"/>
      <c r="E801" s="363"/>
      <c r="F801" s="363"/>
      <c r="G801" s="363"/>
    </row>
    <row r="802">
      <c r="A802" s="111"/>
      <c r="B802" s="363"/>
      <c r="C802" s="363"/>
      <c r="D802" s="363"/>
      <c r="E802" s="363"/>
      <c r="F802" s="363"/>
      <c r="G802" s="363"/>
    </row>
    <row r="803">
      <c r="A803" s="111"/>
      <c r="B803" s="363"/>
      <c r="C803" s="363"/>
      <c r="D803" s="363"/>
      <c r="E803" s="363"/>
      <c r="F803" s="363"/>
      <c r="G803" s="363"/>
    </row>
    <row r="804">
      <c r="A804" s="111"/>
      <c r="B804" s="363"/>
      <c r="C804" s="363"/>
      <c r="D804" s="363"/>
      <c r="E804" s="363"/>
      <c r="F804" s="363"/>
      <c r="G804" s="363"/>
    </row>
    <row r="805">
      <c r="A805" s="111"/>
      <c r="B805" s="363"/>
      <c r="C805" s="363"/>
      <c r="D805" s="363"/>
      <c r="E805" s="363"/>
      <c r="F805" s="363"/>
      <c r="G805" s="363"/>
    </row>
    <row r="806">
      <c r="A806" s="111"/>
      <c r="B806" s="363"/>
      <c r="C806" s="363"/>
      <c r="D806" s="363"/>
      <c r="E806" s="363"/>
      <c r="F806" s="363"/>
      <c r="G806" s="363"/>
    </row>
    <row r="807">
      <c r="A807" s="111"/>
      <c r="B807" s="363"/>
      <c r="C807" s="363"/>
      <c r="D807" s="363"/>
      <c r="E807" s="363"/>
      <c r="F807" s="363"/>
      <c r="G807" s="363"/>
    </row>
    <row r="808">
      <c r="A808" s="111"/>
      <c r="B808" s="363"/>
      <c r="C808" s="363"/>
      <c r="D808" s="363"/>
      <c r="E808" s="363"/>
      <c r="F808" s="363"/>
      <c r="G808" s="363"/>
    </row>
    <row r="809">
      <c r="A809" s="111"/>
      <c r="B809" s="363"/>
      <c r="C809" s="363"/>
      <c r="D809" s="363"/>
      <c r="E809" s="363"/>
      <c r="F809" s="363"/>
      <c r="G809" s="363"/>
    </row>
    <row r="810">
      <c r="A810" s="111"/>
      <c r="B810" s="363"/>
      <c r="C810" s="363"/>
      <c r="D810" s="363"/>
      <c r="E810" s="363"/>
      <c r="F810" s="363"/>
      <c r="G810" s="363"/>
    </row>
    <row r="811">
      <c r="A811" s="111"/>
      <c r="B811" s="363"/>
      <c r="C811" s="363"/>
      <c r="D811" s="363"/>
      <c r="E811" s="363"/>
      <c r="F811" s="363"/>
      <c r="G811" s="363"/>
    </row>
    <row r="812">
      <c r="A812" s="111"/>
      <c r="B812" s="363"/>
      <c r="C812" s="363"/>
      <c r="D812" s="363"/>
      <c r="E812" s="363"/>
      <c r="F812" s="363"/>
      <c r="G812" s="363"/>
    </row>
    <row r="813">
      <c r="A813" s="111"/>
      <c r="B813" s="363"/>
      <c r="C813" s="363"/>
      <c r="D813" s="363"/>
      <c r="E813" s="363"/>
      <c r="F813" s="363"/>
      <c r="G813" s="363"/>
    </row>
    <row r="814">
      <c r="A814" s="111"/>
      <c r="B814" s="363"/>
      <c r="C814" s="363"/>
      <c r="D814" s="363"/>
      <c r="E814" s="363"/>
      <c r="F814" s="363"/>
      <c r="G814" s="363"/>
    </row>
    <row r="815">
      <c r="A815" s="111"/>
      <c r="B815" s="363"/>
      <c r="C815" s="363"/>
      <c r="D815" s="363"/>
      <c r="E815" s="363"/>
      <c r="F815" s="363"/>
      <c r="G815" s="363"/>
    </row>
    <row r="816">
      <c r="A816" s="111"/>
      <c r="B816" s="363"/>
      <c r="C816" s="363"/>
      <c r="D816" s="363"/>
      <c r="E816" s="363"/>
      <c r="F816" s="363"/>
      <c r="G816" s="363"/>
    </row>
    <row r="817">
      <c r="A817" s="111"/>
      <c r="B817" s="363"/>
      <c r="C817" s="363"/>
      <c r="D817" s="363"/>
      <c r="E817" s="363"/>
      <c r="F817" s="363"/>
      <c r="G817" s="363"/>
    </row>
    <row r="818">
      <c r="A818" s="111"/>
      <c r="B818" s="363"/>
      <c r="C818" s="363"/>
      <c r="D818" s="363"/>
      <c r="E818" s="363"/>
      <c r="F818" s="363"/>
      <c r="G818" s="363"/>
    </row>
    <row r="819">
      <c r="A819" s="111"/>
      <c r="B819" s="363"/>
      <c r="C819" s="363"/>
      <c r="D819" s="363"/>
      <c r="E819" s="363"/>
      <c r="F819" s="363"/>
      <c r="G819" s="363"/>
    </row>
    <row r="820">
      <c r="A820" s="111"/>
      <c r="B820" s="363"/>
      <c r="C820" s="363"/>
      <c r="D820" s="363"/>
      <c r="E820" s="363"/>
      <c r="F820" s="363"/>
      <c r="G820" s="363"/>
    </row>
    <row r="821">
      <c r="A821" s="111"/>
      <c r="B821" s="363"/>
      <c r="C821" s="363"/>
      <c r="D821" s="363"/>
      <c r="E821" s="363"/>
      <c r="F821" s="363"/>
      <c r="G821" s="363"/>
    </row>
    <row r="822">
      <c r="A822" s="111"/>
      <c r="B822" s="363"/>
      <c r="C822" s="363"/>
      <c r="D822" s="363"/>
      <c r="E822" s="363"/>
      <c r="F822" s="363"/>
      <c r="G822" s="363"/>
    </row>
    <row r="823">
      <c r="A823" s="111"/>
      <c r="B823" s="363"/>
      <c r="C823" s="363"/>
      <c r="D823" s="363"/>
      <c r="E823" s="363"/>
      <c r="F823" s="363"/>
      <c r="G823" s="363"/>
    </row>
    <row r="824">
      <c r="A824" s="111"/>
      <c r="B824" s="363"/>
      <c r="C824" s="363"/>
      <c r="D824" s="363"/>
      <c r="E824" s="363"/>
      <c r="F824" s="363"/>
      <c r="G824" s="363"/>
    </row>
    <row r="825">
      <c r="A825" s="111"/>
      <c r="B825" s="363"/>
      <c r="C825" s="363"/>
      <c r="D825" s="363"/>
      <c r="E825" s="363"/>
      <c r="F825" s="363"/>
      <c r="G825" s="363"/>
    </row>
    <row r="826">
      <c r="A826" s="111"/>
      <c r="B826" s="363"/>
      <c r="C826" s="363"/>
      <c r="D826" s="363"/>
      <c r="E826" s="363"/>
      <c r="F826" s="363"/>
      <c r="G826" s="363"/>
    </row>
    <row r="827">
      <c r="A827" s="111"/>
      <c r="B827" s="363"/>
      <c r="C827" s="363"/>
      <c r="D827" s="363"/>
      <c r="E827" s="363"/>
      <c r="F827" s="363"/>
      <c r="G827" s="363"/>
    </row>
    <row r="828">
      <c r="A828" s="111"/>
      <c r="B828" s="363"/>
      <c r="C828" s="363"/>
      <c r="D828" s="363"/>
      <c r="E828" s="363"/>
      <c r="F828" s="363"/>
      <c r="G828" s="363"/>
    </row>
    <row r="829">
      <c r="A829" s="111"/>
      <c r="B829" s="363"/>
      <c r="C829" s="363"/>
      <c r="D829" s="363"/>
      <c r="E829" s="363"/>
      <c r="F829" s="363"/>
      <c r="G829" s="363"/>
    </row>
    <row r="830">
      <c r="A830" s="111"/>
      <c r="B830" s="363"/>
      <c r="C830" s="363"/>
      <c r="D830" s="363"/>
      <c r="E830" s="363"/>
      <c r="F830" s="363"/>
      <c r="G830" s="363"/>
    </row>
    <row r="831">
      <c r="A831" s="111"/>
      <c r="B831" s="363"/>
      <c r="C831" s="363"/>
      <c r="D831" s="363"/>
      <c r="E831" s="363"/>
      <c r="F831" s="363"/>
      <c r="G831" s="363"/>
    </row>
    <row r="832">
      <c r="A832" s="111"/>
      <c r="B832" s="363"/>
      <c r="C832" s="363"/>
      <c r="D832" s="363"/>
      <c r="E832" s="363"/>
      <c r="F832" s="363"/>
      <c r="G832" s="363"/>
    </row>
    <row r="833">
      <c r="A833" s="111"/>
      <c r="B833" s="363"/>
      <c r="C833" s="363"/>
      <c r="D833" s="363"/>
      <c r="E833" s="363"/>
      <c r="F833" s="363"/>
      <c r="G833" s="363"/>
    </row>
    <row r="834">
      <c r="A834" s="111"/>
      <c r="B834" s="363"/>
      <c r="C834" s="363"/>
      <c r="D834" s="363"/>
      <c r="E834" s="363"/>
      <c r="F834" s="363"/>
      <c r="G834" s="363"/>
    </row>
    <row r="835">
      <c r="A835" s="111"/>
      <c r="B835" s="363"/>
      <c r="C835" s="363"/>
      <c r="D835" s="363"/>
      <c r="E835" s="363"/>
      <c r="F835" s="363"/>
      <c r="G835" s="363"/>
    </row>
    <row r="836">
      <c r="A836" s="111"/>
      <c r="B836" s="363"/>
      <c r="C836" s="363"/>
      <c r="D836" s="363"/>
      <c r="E836" s="363"/>
      <c r="F836" s="363"/>
      <c r="G836" s="363"/>
    </row>
    <row r="837">
      <c r="A837" s="111"/>
      <c r="B837" s="363"/>
      <c r="C837" s="363"/>
      <c r="D837" s="363"/>
      <c r="E837" s="363"/>
      <c r="F837" s="363"/>
      <c r="G837" s="363"/>
    </row>
    <row r="838">
      <c r="A838" s="111"/>
      <c r="B838" s="363"/>
      <c r="C838" s="363"/>
      <c r="D838" s="363"/>
      <c r="E838" s="363"/>
      <c r="F838" s="363"/>
      <c r="G838" s="363"/>
    </row>
    <row r="839">
      <c r="A839" s="111"/>
      <c r="B839" s="363"/>
      <c r="C839" s="363"/>
      <c r="D839" s="363"/>
      <c r="E839" s="363"/>
      <c r="F839" s="363"/>
      <c r="G839" s="363"/>
    </row>
    <row r="840">
      <c r="A840" s="111"/>
      <c r="B840" s="363"/>
      <c r="C840" s="363"/>
      <c r="D840" s="363"/>
      <c r="E840" s="363"/>
      <c r="F840" s="363"/>
      <c r="G840" s="363"/>
    </row>
    <row r="841">
      <c r="A841" s="111"/>
      <c r="B841" s="363"/>
      <c r="C841" s="363"/>
      <c r="D841" s="363"/>
      <c r="E841" s="363"/>
      <c r="F841" s="363"/>
      <c r="G841" s="363"/>
    </row>
    <row r="842">
      <c r="A842" s="111"/>
      <c r="B842" s="363"/>
      <c r="C842" s="363"/>
      <c r="D842" s="363"/>
      <c r="E842" s="363"/>
      <c r="F842" s="363"/>
      <c r="G842" s="363"/>
    </row>
    <row r="843">
      <c r="A843" s="111"/>
      <c r="B843" s="363"/>
      <c r="C843" s="363"/>
      <c r="D843" s="363"/>
      <c r="E843" s="363"/>
      <c r="F843" s="363"/>
      <c r="G843" s="363"/>
    </row>
    <row r="844">
      <c r="A844" s="111"/>
      <c r="B844" s="363"/>
      <c r="C844" s="363"/>
      <c r="D844" s="363"/>
      <c r="E844" s="363"/>
      <c r="F844" s="363"/>
      <c r="G844" s="363"/>
    </row>
    <row r="845">
      <c r="A845" s="111"/>
      <c r="B845" s="363"/>
      <c r="C845" s="363"/>
      <c r="D845" s="363"/>
      <c r="E845" s="363"/>
      <c r="F845" s="363"/>
      <c r="G845" s="363"/>
    </row>
    <row r="846">
      <c r="A846" s="111"/>
      <c r="B846" s="363"/>
      <c r="C846" s="363"/>
      <c r="D846" s="363"/>
      <c r="E846" s="363"/>
      <c r="F846" s="363"/>
      <c r="G846" s="363"/>
    </row>
    <row r="847">
      <c r="A847" s="111"/>
      <c r="B847" s="363"/>
      <c r="C847" s="363"/>
      <c r="D847" s="363"/>
      <c r="E847" s="363"/>
      <c r="F847" s="363"/>
      <c r="G847" s="363"/>
    </row>
    <row r="848">
      <c r="A848" s="111"/>
      <c r="B848" s="363"/>
      <c r="C848" s="363"/>
      <c r="D848" s="363"/>
      <c r="E848" s="363"/>
      <c r="F848" s="363"/>
      <c r="G848" s="363"/>
    </row>
    <row r="849">
      <c r="A849" s="111"/>
      <c r="B849" s="363"/>
      <c r="C849" s="363"/>
      <c r="D849" s="363"/>
      <c r="E849" s="363"/>
      <c r="F849" s="363"/>
      <c r="G849" s="363"/>
    </row>
    <row r="850">
      <c r="A850" s="111"/>
      <c r="B850" s="363"/>
      <c r="C850" s="363"/>
      <c r="D850" s="363"/>
      <c r="E850" s="363"/>
      <c r="F850" s="363"/>
      <c r="G850" s="363"/>
    </row>
    <row r="851">
      <c r="A851" s="111"/>
      <c r="B851" s="363"/>
      <c r="C851" s="363"/>
      <c r="D851" s="363"/>
      <c r="E851" s="363"/>
      <c r="F851" s="363"/>
      <c r="G851" s="363"/>
    </row>
    <row r="852">
      <c r="A852" s="111"/>
      <c r="B852" s="363"/>
      <c r="C852" s="363"/>
      <c r="D852" s="363"/>
      <c r="E852" s="363"/>
      <c r="F852" s="363"/>
      <c r="G852" s="363"/>
    </row>
    <row r="853">
      <c r="A853" s="111"/>
      <c r="B853" s="363"/>
      <c r="C853" s="363"/>
      <c r="D853" s="363"/>
      <c r="E853" s="363"/>
      <c r="F853" s="363"/>
      <c r="G853" s="363"/>
    </row>
    <row r="854">
      <c r="A854" s="111"/>
      <c r="B854" s="363"/>
      <c r="C854" s="363"/>
      <c r="D854" s="363"/>
      <c r="E854" s="363"/>
      <c r="F854" s="363"/>
      <c r="G854" s="363"/>
    </row>
    <row r="855">
      <c r="A855" s="111"/>
      <c r="B855" s="363"/>
      <c r="C855" s="363"/>
      <c r="D855" s="363"/>
      <c r="E855" s="363"/>
      <c r="F855" s="363"/>
      <c r="G855" s="363"/>
    </row>
    <row r="856">
      <c r="A856" s="111"/>
      <c r="B856" s="363"/>
      <c r="C856" s="363"/>
      <c r="D856" s="363"/>
      <c r="E856" s="363"/>
      <c r="F856" s="363"/>
      <c r="G856" s="363"/>
    </row>
    <row r="857">
      <c r="A857" s="111"/>
      <c r="B857" s="363"/>
      <c r="C857" s="363"/>
      <c r="D857" s="363"/>
      <c r="E857" s="363"/>
      <c r="F857" s="363"/>
      <c r="G857" s="363"/>
    </row>
    <row r="858">
      <c r="A858" s="111"/>
      <c r="B858" s="363"/>
      <c r="C858" s="363"/>
      <c r="D858" s="363"/>
      <c r="E858" s="363"/>
      <c r="F858" s="363"/>
      <c r="G858" s="363"/>
    </row>
    <row r="859">
      <c r="A859" s="111"/>
      <c r="B859" s="363"/>
      <c r="C859" s="363"/>
      <c r="D859" s="363"/>
      <c r="E859" s="363"/>
      <c r="F859" s="363"/>
      <c r="G859" s="363"/>
    </row>
    <row r="860">
      <c r="A860" s="111"/>
      <c r="B860" s="363"/>
      <c r="C860" s="363"/>
      <c r="D860" s="363"/>
      <c r="E860" s="363"/>
      <c r="F860" s="363"/>
      <c r="G860" s="363"/>
    </row>
    <row r="861">
      <c r="A861" s="111"/>
      <c r="B861" s="363"/>
      <c r="C861" s="363"/>
      <c r="D861" s="363"/>
      <c r="E861" s="363"/>
      <c r="F861" s="363"/>
      <c r="G861" s="363"/>
    </row>
    <row r="862">
      <c r="A862" s="111"/>
      <c r="B862" s="363"/>
      <c r="C862" s="363"/>
      <c r="D862" s="363"/>
      <c r="E862" s="363"/>
      <c r="F862" s="363"/>
      <c r="G862" s="363"/>
    </row>
    <row r="863">
      <c r="A863" s="111"/>
      <c r="B863" s="363"/>
      <c r="C863" s="363"/>
      <c r="D863" s="363"/>
      <c r="E863" s="363"/>
      <c r="F863" s="363"/>
      <c r="G863" s="363"/>
    </row>
    <row r="864">
      <c r="A864" s="111"/>
      <c r="B864" s="363"/>
      <c r="C864" s="363"/>
      <c r="D864" s="363"/>
      <c r="E864" s="363"/>
      <c r="F864" s="363"/>
      <c r="G864" s="363"/>
    </row>
    <row r="865">
      <c r="A865" s="111"/>
      <c r="B865" s="363"/>
      <c r="C865" s="363"/>
      <c r="D865" s="363"/>
      <c r="E865" s="363"/>
      <c r="F865" s="363"/>
      <c r="G865" s="363"/>
    </row>
    <row r="866">
      <c r="A866" s="111"/>
      <c r="B866" s="363"/>
      <c r="C866" s="363"/>
      <c r="D866" s="363"/>
      <c r="E866" s="363"/>
      <c r="F866" s="363"/>
      <c r="G866" s="363"/>
    </row>
    <row r="867">
      <c r="A867" s="111"/>
      <c r="B867" s="363"/>
      <c r="C867" s="363"/>
      <c r="D867" s="363"/>
      <c r="E867" s="363"/>
      <c r="F867" s="363"/>
      <c r="G867" s="363"/>
    </row>
    <row r="868">
      <c r="A868" s="111"/>
      <c r="B868" s="363"/>
      <c r="C868" s="363"/>
      <c r="D868" s="363"/>
      <c r="E868" s="363"/>
      <c r="F868" s="363"/>
      <c r="G868" s="363"/>
    </row>
    <row r="869">
      <c r="A869" s="111"/>
      <c r="B869" s="363"/>
      <c r="C869" s="363"/>
      <c r="D869" s="363"/>
      <c r="E869" s="363"/>
      <c r="F869" s="363"/>
      <c r="G869" s="363"/>
    </row>
    <row r="870">
      <c r="A870" s="111"/>
      <c r="B870" s="363"/>
      <c r="C870" s="363"/>
      <c r="D870" s="363"/>
      <c r="E870" s="363"/>
      <c r="F870" s="363"/>
      <c r="G870" s="363"/>
    </row>
    <row r="871">
      <c r="A871" s="111"/>
      <c r="B871" s="363"/>
      <c r="C871" s="363"/>
      <c r="D871" s="363"/>
      <c r="E871" s="363"/>
      <c r="F871" s="363"/>
      <c r="G871" s="363"/>
    </row>
    <row r="872">
      <c r="A872" s="111"/>
      <c r="B872" s="363"/>
      <c r="C872" s="363"/>
      <c r="D872" s="363"/>
      <c r="E872" s="363"/>
      <c r="F872" s="363"/>
      <c r="G872" s="363"/>
    </row>
    <row r="873">
      <c r="A873" s="111"/>
      <c r="B873" s="363"/>
      <c r="C873" s="363"/>
      <c r="D873" s="363"/>
      <c r="E873" s="363"/>
      <c r="F873" s="363"/>
      <c r="G873" s="363"/>
    </row>
    <row r="874">
      <c r="A874" s="111"/>
      <c r="B874" s="363"/>
      <c r="C874" s="363"/>
      <c r="D874" s="363"/>
      <c r="E874" s="363"/>
      <c r="F874" s="363"/>
      <c r="G874" s="363"/>
    </row>
    <row r="875">
      <c r="A875" s="111"/>
      <c r="B875" s="363"/>
      <c r="C875" s="363"/>
      <c r="D875" s="363"/>
      <c r="E875" s="363"/>
      <c r="F875" s="363"/>
      <c r="G875" s="363"/>
    </row>
    <row r="876">
      <c r="A876" s="111"/>
      <c r="B876" s="363"/>
      <c r="C876" s="363"/>
      <c r="D876" s="363"/>
      <c r="E876" s="363"/>
      <c r="F876" s="363"/>
      <c r="G876" s="363"/>
    </row>
    <row r="877">
      <c r="A877" s="111"/>
      <c r="B877" s="363"/>
      <c r="C877" s="363"/>
      <c r="D877" s="363"/>
      <c r="E877" s="363"/>
      <c r="F877" s="363"/>
      <c r="G877" s="363"/>
    </row>
    <row r="878">
      <c r="A878" s="111"/>
      <c r="B878" s="363"/>
      <c r="C878" s="363"/>
      <c r="D878" s="363"/>
      <c r="E878" s="363"/>
      <c r="F878" s="363"/>
      <c r="G878" s="363"/>
    </row>
    <row r="879">
      <c r="A879" s="111"/>
      <c r="B879" s="363"/>
      <c r="C879" s="363"/>
      <c r="D879" s="363"/>
      <c r="E879" s="363"/>
      <c r="F879" s="363"/>
      <c r="G879" s="363"/>
    </row>
    <row r="880">
      <c r="A880" s="111"/>
      <c r="B880" s="363"/>
      <c r="C880" s="363"/>
      <c r="D880" s="363"/>
      <c r="E880" s="363"/>
      <c r="F880" s="363"/>
      <c r="G880" s="363"/>
    </row>
    <row r="881">
      <c r="A881" s="111"/>
      <c r="B881" s="363"/>
      <c r="C881" s="363"/>
      <c r="D881" s="363"/>
      <c r="E881" s="363"/>
      <c r="F881" s="363"/>
      <c r="G881" s="363"/>
    </row>
    <row r="882">
      <c r="A882" s="111"/>
      <c r="B882" s="363"/>
      <c r="C882" s="363"/>
      <c r="D882" s="363"/>
      <c r="E882" s="363"/>
      <c r="F882" s="363"/>
      <c r="G882" s="363"/>
    </row>
    <row r="883">
      <c r="A883" s="111"/>
      <c r="B883" s="363"/>
      <c r="C883" s="363"/>
      <c r="D883" s="363"/>
      <c r="E883" s="363"/>
      <c r="F883" s="363"/>
      <c r="G883" s="363"/>
    </row>
    <row r="884">
      <c r="A884" s="111"/>
      <c r="B884" s="363"/>
      <c r="C884" s="363"/>
      <c r="D884" s="363"/>
      <c r="E884" s="363"/>
      <c r="F884" s="363"/>
      <c r="G884" s="363"/>
    </row>
    <row r="885">
      <c r="A885" s="111"/>
      <c r="B885" s="363"/>
      <c r="C885" s="363"/>
      <c r="D885" s="363"/>
      <c r="E885" s="363"/>
      <c r="F885" s="363"/>
      <c r="G885" s="363"/>
    </row>
    <row r="886">
      <c r="A886" s="111"/>
      <c r="B886" s="363"/>
      <c r="C886" s="363"/>
      <c r="D886" s="363"/>
      <c r="E886" s="363"/>
      <c r="F886" s="363"/>
      <c r="G886" s="363"/>
    </row>
    <row r="887">
      <c r="A887" s="111"/>
      <c r="B887" s="363"/>
      <c r="C887" s="363"/>
      <c r="D887" s="363"/>
      <c r="E887" s="363"/>
      <c r="F887" s="363"/>
      <c r="G887" s="363"/>
    </row>
    <row r="888">
      <c r="A888" s="111"/>
      <c r="B888" s="363"/>
      <c r="C888" s="363"/>
      <c r="D888" s="363"/>
      <c r="E888" s="363"/>
      <c r="F888" s="363"/>
      <c r="G888" s="363"/>
    </row>
    <row r="889">
      <c r="A889" s="111"/>
      <c r="B889" s="363"/>
      <c r="C889" s="363"/>
      <c r="D889" s="363"/>
      <c r="E889" s="363"/>
      <c r="F889" s="363"/>
      <c r="G889" s="363"/>
    </row>
    <row r="890">
      <c r="A890" s="111"/>
      <c r="B890" s="363"/>
      <c r="C890" s="363"/>
      <c r="D890" s="363"/>
      <c r="E890" s="363"/>
      <c r="F890" s="363"/>
      <c r="G890" s="363"/>
    </row>
    <row r="891">
      <c r="A891" s="111"/>
      <c r="B891" s="363"/>
      <c r="C891" s="363"/>
      <c r="D891" s="363"/>
      <c r="E891" s="363"/>
      <c r="F891" s="363"/>
      <c r="G891" s="363"/>
    </row>
    <row r="892">
      <c r="A892" s="111"/>
      <c r="B892" s="363"/>
      <c r="C892" s="363"/>
      <c r="D892" s="363"/>
      <c r="E892" s="363"/>
      <c r="F892" s="363"/>
      <c r="G892" s="363"/>
    </row>
    <row r="893">
      <c r="A893" s="111"/>
      <c r="B893" s="363"/>
      <c r="C893" s="363"/>
      <c r="D893" s="363"/>
      <c r="E893" s="363"/>
      <c r="F893" s="363"/>
      <c r="G893" s="363"/>
    </row>
    <row r="894">
      <c r="A894" s="111"/>
      <c r="B894" s="363"/>
      <c r="C894" s="363"/>
      <c r="D894" s="363"/>
      <c r="E894" s="363"/>
      <c r="F894" s="363"/>
      <c r="G894" s="363"/>
    </row>
    <row r="895">
      <c r="A895" s="111"/>
      <c r="B895" s="363"/>
      <c r="C895" s="363"/>
      <c r="D895" s="363"/>
      <c r="E895" s="363"/>
      <c r="F895" s="363"/>
      <c r="G895" s="363"/>
    </row>
    <row r="896">
      <c r="A896" s="111"/>
      <c r="B896" s="363"/>
      <c r="C896" s="363"/>
      <c r="D896" s="363"/>
      <c r="E896" s="363"/>
      <c r="F896" s="363"/>
      <c r="G896" s="363"/>
    </row>
    <row r="897">
      <c r="A897" s="111"/>
      <c r="B897" s="363"/>
      <c r="C897" s="363"/>
      <c r="D897" s="363"/>
      <c r="E897" s="363"/>
      <c r="F897" s="363"/>
      <c r="G897" s="363"/>
    </row>
    <row r="898">
      <c r="A898" s="111"/>
      <c r="B898" s="363"/>
      <c r="C898" s="363"/>
      <c r="D898" s="363"/>
      <c r="E898" s="363"/>
      <c r="F898" s="363"/>
      <c r="G898" s="363"/>
    </row>
    <row r="899">
      <c r="A899" s="111"/>
      <c r="B899" s="363"/>
      <c r="C899" s="363"/>
      <c r="D899" s="363"/>
      <c r="E899" s="363"/>
      <c r="F899" s="363"/>
      <c r="G899" s="363"/>
    </row>
    <row r="900">
      <c r="A900" s="111"/>
      <c r="B900" s="363"/>
      <c r="C900" s="363"/>
      <c r="D900" s="363"/>
      <c r="E900" s="363"/>
      <c r="F900" s="363"/>
      <c r="G900" s="363"/>
    </row>
    <row r="901">
      <c r="A901" s="111"/>
      <c r="B901" s="363"/>
      <c r="C901" s="363"/>
      <c r="D901" s="363"/>
      <c r="E901" s="363"/>
      <c r="F901" s="363"/>
      <c r="G901" s="363"/>
    </row>
    <row r="902">
      <c r="A902" s="111"/>
      <c r="B902" s="363"/>
      <c r="C902" s="363"/>
      <c r="D902" s="363"/>
      <c r="E902" s="363"/>
      <c r="F902" s="363"/>
      <c r="G902" s="363"/>
    </row>
    <row r="903">
      <c r="A903" s="111"/>
      <c r="B903" s="363"/>
      <c r="C903" s="363"/>
      <c r="D903" s="363"/>
      <c r="E903" s="363"/>
      <c r="F903" s="363"/>
      <c r="G903" s="363"/>
    </row>
    <row r="904">
      <c r="A904" s="111"/>
      <c r="B904" s="363"/>
      <c r="C904" s="363"/>
      <c r="D904" s="363"/>
      <c r="E904" s="363"/>
      <c r="F904" s="363"/>
      <c r="G904" s="363"/>
    </row>
    <row r="905">
      <c r="A905" s="111"/>
      <c r="B905" s="363"/>
      <c r="C905" s="363"/>
      <c r="D905" s="363"/>
      <c r="E905" s="363"/>
      <c r="F905" s="363"/>
      <c r="G905" s="363"/>
    </row>
    <row r="906">
      <c r="A906" s="111"/>
      <c r="B906" s="363"/>
      <c r="C906" s="363"/>
      <c r="D906" s="363"/>
      <c r="E906" s="363"/>
      <c r="F906" s="363"/>
      <c r="G906" s="363"/>
    </row>
    <row r="907">
      <c r="A907" s="111"/>
      <c r="B907" s="363"/>
      <c r="C907" s="363"/>
      <c r="D907" s="363"/>
      <c r="E907" s="363"/>
      <c r="F907" s="363"/>
      <c r="G907" s="363"/>
    </row>
    <row r="908">
      <c r="A908" s="111"/>
      <c r="B908" s="363"/>
      <c r="C908" s="363"/>
      <c r="D908" s="363"/>
      <c r="E908" s="363"/>
      <c r="F908" s="363"/>
      <c r="G908" s="363"/>
    </row>
    <row r="909">
      <c r="A909" s="111"/>
      <c r="B909" s="363"/>
      <c r="C909" s="363"/>
      <c r="D909" s="363"/>
      <c r="E909" s="363"/>
      <c r="F909" s="363"/>
      <c r="G909" s="363"/>
    </row>
    <row r="910">
      <c r="A910" s="111"/>
      <c r="B910" s="363"/>
      <c r="C910" s="363"/>
      <c r="D910" s="363"/>
      <c r="E910" s="363"/>
      <c r="F910" s="363"/>
      <c r="G910" s="363"/>
    </row>
    <row r="911">
      <c r="A911" s="111"/>
      <c r="B911" s="363"/>
      <c r="C911" s="363"/>
      <c r="D911" s="363"/>
      <c r="E911" s="363"/>
      <c r="F911" s="363"/>
      <c r="G911" s="363"/>
    </row>
    <row r="912">
      <c r="A912" s="111"/>
      <c r="B912" s="363"/>
      <c r="C912" s="363"/>
      <c r="D912" s="363"/>
      <c r="E912" s="363"/>
      <c r="F912" s="363"/>
      <c r="G912" s="363"/>
    </row>
    <row r="913">
      <c r="A913" s="111"/>
      <c r="B913" s="363"/>
      <c r="C913" s="363"/>
      <c r="D913" s="363"/>
      <c r="E913" s="363"/>
      <c r="F913" s="363"/>
      <c r="G913" s="363"/>
    </row>
    <row r="914">
      <c r="A914" s="111"/>
      <c r="B914" s="363"/>
      <c r="C914" s="363"/>
      <c r="D914" s="363"/>
      <c r="E914" s="363"/>
      <c r="F914" s="363"/>
      <c r="G914" s="363"/>
    </row>
    <row r="915">
      <c r="A915" s="111"/>
      <c r="B915" s="363"/>
      <c r="C915" s="363"/>
      <c r="D915" s="363"/>
      <c r="E915" s="363"/>
      <c r="F915" s="363"/>
      <c r="G915" s="363"/>
    </row>
    <row r="916">
      <c r="A916" s="111"/>
      <c r="B916" s="363"/>
      <c r="C916" s="363"/>
      <c r="D916" s="363"/>
      <c r="E916" s="363"/>
      <c r="F916" s="363"/>
      <c r="G916" s="363"/>
    </row>
    <row r="917">
      <c r="A917" s="111"/>
      <c r="B917" s="363"/>
      <c r="C917" s="363"/>
      <c r="D917" s="363"/>
      <c r="E917" s="363"/>
      <c r="F917" s="363"/>
      <c r="G917" s="363"/>
    </row>
    <row r="918">
      <c r="A918" s="111"/>
      <c r="B918" s="363"/>
      <c r="C918" s="363"/>
      <c r="D918" s="363"/>
      <c r="E918" s="363"/>
      <c r="F918" s="363"/>
      <c r="G918" s="363"/>
    </row>
    <row r="919">
      <c r="A919" s="111"/>
      <c r="B919" s="363"/>
      <c r="C919" s="363"/>
      <c r="D919" s="363"/>
      <c r="E919" s="363"/>
      <c r="F919" s="363"/>
      <c r="G919" s="363"/>
    </row>
    <row r="920">
      <c r="A920" s="111"/>
      <c r="B920" s="363"/>
      <c r="C920" s="363"/>
      <c r="D920" s="363"/>
      <c r="E920" s="363"/>
      <c r="F920" s="363"/>
      <c r="G920" s="363"/>
    </row>
    <row r="921">
      <c r="A921" s="111"/>
      <c r="B921" s="363"/>
      <c r="C921" s="363"/>
      <c r="D921" s="363"/>
      <c r="E921" s="363"/>
      <c r="F921" s="363"/>
      <c r="G921" s="363"/>
    </row>
    <row r="922">
      <c r="A922" s="111"/>
      <c r="B922" s="363"/>
      <c r="C922" s="363"/>
      <c r="D922" s="363"/>
      <c r="E922" s="363"/>
      <c r="F922" s="363"/>
      <c r="G922" s="363"/>
    </row>
    <row r="923">
      <c r="A923" s="111"/>
      <c r="B923" s="363"/>
      <c r="C923" s="363"/>
      <c r="D923" s="363"/>
      <c r="E923" s="363"/>
      <c r="F923" s="363"/>
      <c r="G923" s="363"/>
    </row>
    <row r="924">
      <c r="A924" s="111"/>
      <c r="B924" s="363"/>
      <c r="C924" s="363"/>
      <c r="D924" s="363"/>
      <c r="E924" s="363"/>
      <c r="F924" s="363"/>
      <c r="G924" s="363"/>
    </row>
    <row r="925">
      <c r="A925" s="111"/>
      <c r="B925" s="363"/>
      <c r="C925" s="363"/>
      <c r="D925" s="363"/>
      <c r="E925" s="363"/>
      <c r="F925" s="363"/>
      <c r="G925" s="363"/>
    </row>
    <row r="926">
      <c r="A926" s="111"/>
      <c r="B926" s="363"/>
      <c r="C926" s="363"/>
      <c r="D926" s="363"/>
      <c r="E926" s="363"/>
      <c r="F926" s="363"/>
      <c r="G926" s="363"/>
    </row>
    <row r="927">
      <c r="A927" s="111"/>
      <c r="B927" s="363"/>
      <c r="C927" s="363"/>
      <c r="D927" s="363"/>
      <c r="E927" s="363"/>
      <c r="F927" s="363"/>
      <c r="G927" s="363"/>
    </row>
    <row r="928">
      <c r="A928" s="111"/>
      <c r="B928" s="363"/>
      <c r="C928" s="363"/>
      <c r="D928" s="363"/>
      <c r="E928" s="363"/>
      <c r="F928" s="363"/>
      <c r="G928" s="363"/>
    </row>
    <row r="929">
      <c r="A929" s="111"/>
      <c r="B929" s="363"/>
      <c r="C929" s="363"/>
      <c r="D929" s="363"/>
      <c r="E929" s="363"/>
      <c r="F929" s="363"/>
      <c r="G929" s="363"/>
    </row>
    <row r="930">
      <c r="A930" s="111"/>
      <c r="B930" s="363"/>
      <c r="C930" s="363"/>
      <c r="D930" s="363"/>
      <c r="E930" s="363"/>
      <c r="F930" s="363"/>
      <c r="G930" s="363"/>
    </row>
    <row r="931">
      <c r="A931" s="111"/>
      <c r="B931" s="363"/>
      <c r="C931" s="363"/>
      <c r="D931" s="363"/>
      <c r="E931" s="363"/>
      <c r="F931" s="363"/>
      <c r="G931" s="363"/>
    </row>
    <row r="932">
      <c r="A932" s="111"/>
      <c r="B932" s="363"/>
      <c r="C932" s="363"/>
      <c r="D932" s="363"/>
      <c r="E932" s="363"/>
      <c r="F932" s="363"/>
      <c r="G932" s="363"/>
    </row>
    <row r="933">
      <c r="A933" s="111"/>
      <c r="B933" s="363"/>
      <c r="C933" s="363"/>
      <c r="D933" s="363"/>
      <c r="E933" s="363"/>
      <c r="F933" s="363"/>
      <c r="G933" s="363"/>
    </row>
    <row r="934">
      <c r="A934" s="111"/>
      <c r="B934" s="363"/>
      <c r="C934" s="363"/>
      <c r="D934" s="363"/>
      <c r="E934" s="363"/>
      <c r="F934" s="363"/>
      <c r="G934" s="363"/>
    </row>
    <row r="935">
      <c r="A935" s="111"/>
      <c r="B935" s="363"/>
      <c r="C935" s="363"/>
      <c r="D935" s="363"/>
      <c r="E935" s="363"/>
      <c r="F935" s="363"/>
      <c r="G935" s="363"/>
    </row>
    <row r="936">
      <c r="A936" s="111"/>
      <c r="B936" s="363"/>
      <c r="C936" s="363"/>
      <c r="D936" s="363"/>
      <c r="E936" s="363"/>
      <c r="F936" s="363"/>
      <c r="G936" s="363"/>
    </row>
    <row r="937">
      <c r="A937" s="111"/>
      <c r="B937" s="363"/>
      <c r="C937" s="363"/>
      <c r="D937" s="363"/>
      <c r="E937" s="363"/>
      <c r="F937" s="363"/>
      <c r="G937" s="363"/>
    </row>
    <row r="938">
      <c r="A938" s="111"/>
      <c r="B938" s="363"/>
      <c r="C938" s="363"/>
      <c r="D938" s="363"/>
      <c r="E938" s="363"/>
      <c r="F938" s="363"/>
      <c r="G938" s="363"/>
    </row>
    <row r="939">
      <c r="A939" s="111"/>
      <c r="B939" s="363"/>
      <c r="C939" s="363"/>
      <c r="D939" s="363"/>
      <c r="E939" s="363"/>
      <c r="F939" s="363"/>
      <c r="G939" s="363"/>
    </row>
    <row r="940">
      <c r="A940" s="111"/>
      <c r="B940" s="363"/>
      <c r="C940" s="363"/>
      <c r="D940" s="363"/>
      <c r="E940" s="363"/>
      <c r="F940" s="363"/>
      <c r="G940" s="363"/>
    </row>
    <row r="941">
      <c r="A941" s="111"/>
      <c r="B941" s="363"/>
      <c r="C941" s="363"/>
      <c r="D941" s="363"/>
      <c r="E941" s="363"/>
      <c r="F941" s="363"/>
      <c r="G941" s="363"/>
    </row>
    <row r="942">
      <c r="A942" s="111"/>
      <c r="B942" s="363"/>
      <c r="C942" s="363"/>
      <c r="D942" s="363"/>
      <c r="E942" s="363"/>
      <c r="F942" s="363"/>
      <c r="G942" s="363"/>
    </row>
    <row r="943">
      <c r="A943" s="111"/>
      <c r="B943" s="363"/>
      <c r="C943" s="363"/>
      <c r="D943" s="363"/>
      <c r="E943" s="363"/>
      <c r="F943" s="363"/>
      <c r="G943" s="363"/>
    </row>
    <row r="944">
      <c r="A944" s="111"/>
      <c r="B944" s="363"/>
      <c r="C944" s="363"/>
      <c r="D944" s="363"/>
      <c r="E944" s="363"/>
      <c r="F944" s="363"/>
      <c r="G944" s="363"/>
    </row>
    <row r="945">
      <c r="A945" s="111"/>
      <c r="B945" s="363"/>
      <c r="C945" s="363"/>
      <c r="D945" s="363"/>
      <c r="E945" s="363"/>
      <c r="F945" s="363"/>
      <c r="G945" s="363"/>
    </row>
    <row r="946">
      <c r="A946" s="111"/>
      <c r="B946" s="363"/>
      <c r="C946" s="363"/>
      <c r="D946" s="363"/>
      <c r="E946" s="363"/>
      <c r="F946" s="363"/>
      <c r="G946" s="363"/>
    </row>
    <row r="947">
      <c r="A947" s="111"/>
      <c r="B947" s="363"/>
      <c r="C947" s="363"/>
      <c r="D947" s="363"/>
      <c r="E947" s="363"/>
      <c r="F947" s="363"/>
      <c r="G947" s="363"/>
    </row>
    <row r="948">
      <c r="A948" s="111"/>
      <c r="B948" s="363"/>
      <c r="C948" s="363"/>
      <c r="D948" s="363"/>
      <c r="E948" s="363"/>
      <c r="F948" s="363"/>
      <c r="G948" s="363"/>
    </row>
    <row r="949">
      <c r="A949" s="111"/>
      <c r="B949" s="363"/>
      <c r="C949" s="363"/>
      <c r="D949" s="363"/>
      <c r="E949" s="363"/>
      <c r="F949" s="363"/>
      <c r="G949" s="363"/>
    </row>
    <row r="950">
      <c r="A950" s="111"/>
      <c r="B950" s="363"/>
      <c r="C950" s="363"/>
      <c r="D950" s="363"/>
      <c r="E950" s="363"/>
      <c r="F950" s="363"/>
      <c r="G950" s="363"/>
    </row>
    <row r="951">
      <c r="A951" s="111"/>
      <c r="B951" s="363"/>
      <c r="C951" s="363"/>
      <c r="D951" s="363"/>
      <c r="E951" s="363"/>
      <c r="F951" s="363"/>
      <c r="G951" s="363"/>
    </row>
    <row r="952">
      <c r="A952" s="111"/>
      <c r="B952" s="363"/>
      <c r="C952" s="363"/>
      <c r="D952" s="363"/>
      <c r="E952" s="363"/>
      <c r="F952" s="363"/>
      <c r="G952" s="363"/>
    </row>
    <row r="953">
      <c r="A953" s="111"/>
      <c r="B953" s="363"/>
      <c r="C953" s="363"/>
      <c r="D953" s="363"/>
      <c r="E953" s="363"/>
      <c r="F953" s="363"/>
      <c r="G953" s="363"/>
    </row>
    <row r="954">
      <c r="A954" s="111"/>
      <c r="B954" s="363"/>
      <c r="C954" s="363"/>
      <c r="D954" s="363"/>
      <c r="E954" s="363"/>
      <c r="F954" s="363"/>
      <c r="G954" s="363"/>
    </row>
    <row r="955">
      <c r="A955" s="111"/>
      <c r="B955" s="363"/>
      <c r="C955" s="363"/>
      <c r="D955" s="363"/>
      <c r="E955" s="363"/>
      <c r="F955" s="363"/>
      <c r="G955" s="363"/>
    </row>
    <row r="956">
      <c r="A956" s="111"/>
      <c r="B956" s="363"/>
      <c r="C956" s="363"/>
      <c r="D956" s="363"/>
      <c r="E956" s="363"/>
      <c r="F956" s="363"/>
      <c r="G956" s="363"/>
    </row>
    <row r="957">
      <c r="A957" s="111"/>
      <c r="B957" s="363"/>
      <c r="C957" s="363"/>
      <c r="D957" s="363"/>
      <c r="E957" s="363"/>
      <c r="F957" s="363"/>
      <c r="G957" s="363"/>
    </row>
    <row r="958">
      <c r="A958" s="111"/>
      <c r="B958" s="363"/>
      <c r="C958" s="363"/>
      <c r="D958" s="363"/>
      <c r="E958" s="363"/>
      <c r="F958" s="363"/>
      <c r="G958" s="363"/>
    </row>
    <row r="959">
      <c r="A959" s="111"/>
      <c r="B959" s="363"/>
      <c r="C959" s="363"/>
      <c r="D959" s="363"/>
      <c r="E959" s="363"/>
      <c r="F959" s="363"/>
      <c r="G959" s="363"/>
    </row>
    <row r="960">
      <c r="A960" s="111"/>
      <c r="B960" s="363"/>
      <c r="C960" s="363"/>
      <c r="D960" s="363"/>
      <c r="E960" s="363"/>
      <c r="F960" s="363"/>
      <c r="G960" s="363"/>
    </row>
    <row r="961">
      <c r="A961" s="111"/>
      <c r="B961" s="363"/>
      <c r="C961" s="363"/>
      <c r="D961" s="363"/>
      <c r="E961" s="363"/>
      <c r="F961" s="363"/>
      <c r="G961" s="363"/>
    </row>
    <row r="962">
      <c r="A962" s="111"/>
      <c r="B962" s="363"/>
      <c r="C962" s="363"/>
      <c r="D962" s="363"/>
      <c r="E962" s="363"/>
      <c r="F962" s="363"/>
      <c r="G962" s="363"/>
    </row>
    <row r="963">
      <c r="A963" s="111"/>
      <c r="B963" s="363"/>
      <c r="C963" s="363"/>
      <c r="D963" s="363"/>
      <c r="E963" s="363"/>
      <c r="F963" s="363"/>
      <c r="G963" s="363"/>
    </row>
    <row r="964">
      <c r="A964" s="111"/>
      <c r="B964" s="363"/>
      <c r="C964" s="363"/>
      <c r="D964" s="363"/>
      <c r="E964" s="363"/>
      <c r="F964" s="363"/>
      <c r="G964" s="363"/>
    </row>
    <row r="965">
      <c r="A965" s="111"/>
      <c r="B965" s="363"/>
      <c r="C965" s="363"/>
      <c r="D965" s="363"/>
      <c r="E965" s="363"/>
      <c r="F965" s="363"/>
      <c r="G965" s="363"/>
    </row>
    <row r="966">
      <c r="A966" s="111"/>
      <c r="B966" s="363"/>
      <c r="C966" s="363"/>
      <c r="D966" s="363"/>
      <c r="E966" s="363"/>
      <c r="F966" s="363"/>
      <c r="G966" s="363"/>
    </row>
    <row r="967">
      <c r="A967" s="111"/>
      <c r="B967" s="363"/>
      <c r="C967" s="363"/>
      <c r="D967" s="363"/>
      <c r="E967" s="363"/>
      <c r="F967" s="363"/>
      <c r="G967" s="363"/>
    </row>
    <row r="968">
      <c r="A968" s="111"/>
      <c r="B968" s="363"/>
      <c r="C968" s="363"/>
      <c r="D968" s="363"/>
      <c r="E968" s="363"/>
      <c r="F968" s="363"/>
      <c r="G968" s="363"/>
    </row>
    <row r="969">
      <c r="A969" s="111"/>
      <c r="B969" s="363"/>
      <c r="C969" s="363"/>
      <c r="D969" s="363"/>
      <c r="E969" s="363"/>
      <c r="F969" s="363"/>
      <c r="G969" s="363"/>
    </row>
    <row r="970">
      <c r="A970" s="111"/>
      <c r="B970" s="363"/>
      <c r="C970" s="363"/>
      <c r="D970" s="363"/>
      <c r="E970" s="363"/>
      <c r="F970" s="363"/>
      <c r="G970" s="363"/>
    </row>
    <row r="971">
      <c r="A971" s="111"/>
      <c r="B971" s="363"/>
      <c r="C971" s="363"/>
      <c r="D971" s="363"/>
      <c r="E971" s="363"/>
      <c r="F971" s="363"/>
      <c r="G971" s="363"/>
    </row>
    <row r="972">
      <c r="A972" s="111"/>
      <c r="B972" s="363"/>
      <c r="C972" s="363"/>
      <c r="D972" s="363"/>
      <c r="E972" s="363"/>
      <c r="F972" s="363"/>
      <c r="G972" s="363"/>
    </row>
    <row r="973">
      <c r="A973" s="111"/>
      <c r="B973" s="363"/>
      <c r="C973" s="363"/>
      <c r="D973" s="363"/>
      <c r="E973" s="363"/>
      <c r="F973" s="363"/>
      <c r="G973" s="363"/>
    </row>
    <row r="974">
      <c r="A974" s="111"/>
      <c r="B974" s="363"/>
      <c r="C974" s="363"/>
      <c r="D974" s="363"/>
      <c r="E974" s="363"/>
      <c r="F974" s="363"/>
      <c r="G974" s="363"/>
    </row>
    <row r="975">
      <c r="A975" s="111"/>
      <c r="B975" s="363"/>
      <c r="C975" s="363"/>
      <c r="D975" s="363"/>
      <c r="E975" s="363"/>
      <c r="F975" s="363"/>
      <c r="G975" s="363"/>
    </row>
    <row r="976">
      <c r="A976" s="111"/>
      <c r="B976" s="363"/>
      <c r="C976" s="363"/>
      <c r="D976" s="363"/>
      <c r="E976" s="363"/>
      <c r="F976" s="363"/>
      <c r="G976" s="363"/>
    </row>
    <row r="977">
      <c r="A977" s="111"/>
      <c r="B977" s="363"/>
      <c r="C977" s="363"/>
      <c r="D977" s="363"/>
      <c r="E977" s="363"/>
      <c r="F977" s="363"/>
      <c r="G977" s="363"/>
    </row>
    <row r="978">
      <c r="A978" s="111"/>
      <c r="B978" s="363"/>
      <c r="C978" s="363"/>
      <c r="D978" s="363"/>
      <c r="E978" s="363"/>
      <c r="F978" s="363"/>
      <c r="G978" s="363"/>
    </row>
    <row r="979">
      <c r="A979" s="111"/>
      <c r="B979" s="363"/>
      <c r="C979" s="363"/>
      <c r="D979" s="363"/>
      <c r="E979" s="363"/>
      <c r="F979" s="363"/>
      <c r="G979" s="363"/>
    </row>
    <row r="980">
      <c r="A980" s="111"/>
      <c r="B980" s="363"/>
      <c r="C980" s="363"/>
      <c r="D980" s="363"/>
      <c r="E980" s="363"/>
      <c r="F980" s="363"/>
      <c r="G980" s="363"/>
    </row>
    <row r="981">
      <c r="A981" s="111"/>
      <c r="B981" s="363"/>
      <c r="C981" s="363"/>
      <c r="D981" s="363"/>
      <c r="E981" s="363"/>
      <c r="F981" s="363"/>
      <c r="G981" s="363"/>
    </row>
    <row r="982">
      <c r="A982" s="111"/>
      <c r="B982" s="363"/>
      <c r="C982" s="363"/>
      <c r="D982" s="363"/>
      <c r="E982" s="363"/>
      <c r="F982" s="363"/>
      <c r="G982" s="363"/>
    </row>
    <row r="983">
      <c r="A983" s="111"/>
      <c r="B983" s="363"/>
      <c r="C983" s="363"/>
      <c r="D983" s="363"/>
      <c r="E983" s="363"/>
      <c r="F983" s="363"/>
      <c r="G983" s="363"/>
    </row>
    <row r="984">
      <c r="A984" s="111"/>
      <c r="B984" s="363"/>
      <c r="C984" s="363"/>
      <c r="D984" s="363"/>
      <c r="E984" s="363"/>
      <c r="F984" s="363"/>
      <c r="G984" s="363"/>
    </row>
    <row r="985">
      <c r="A985" s="111"/>
      <c r="B985" s="363"/>
      <c r="C985" s="363"/>
      <c r="D985" s="363"/>
      <c r="E985" s="363"/>
      <c r="F985" s="363"/>
      <c r="G985" s="363"/>
    </row>
    <row r="986">
      <c r="A986" s="111"/>
      <c r="B986" s="363"/>
      <c r="C986" s="363"/>
      <c r="D986" s="363"/>
      <c r="E986" s="363"/>
      <c r="F986" s="363"/>
      <c r="G986" s="363"/>
    </row>
    <row r="987">
      <c r="A987" s="111"/>
      <c r="B987" s="363"/>
      <c r="C987" s="363"/>
      <c r="D987" s="363"/>
      <c r="E987" s="363"/>
      <c r="F987" s="363"/>
      <c r="G987" s="363"/>
    </row>
    <row r="988">
      <c r="A988" s="111"/>
      <c r="B988" s="363"/>
      <c r="C988" s="363"/>
      <c r="D988" s="363"/>
      <c r="E988" s="363"/>
      <c r="F988" s="363"/>
      <c r="G988" s="363"/>
    </row>
    <row r="989">
      <c r="A989" s="111"/>
      <c r="B989" s="363"/>
      <c r="C989" s="363"/>
      <c r="D989" s="363"/>
      <c r="E989" s="363"/>
      <c r="F989" s="363"/>
      <c r="G989" s="363"/>
    </row>
    <row r="990">
      <c r="A990" s="111"/>
      <c r="B990" s="363"/>
      <c r="C990" s="363"/>
      <c r="D990" s="363"/>
      <c r="E990" s="363"/>
      <c r="F990" s="363"/>
      <c r="G990" s="363"/>
    </row>
    <row r="991">
      <c r="A991" s="111"/>
      <c r="B991" s="363"/>
      <c r="C991" s="363"/>
      <c r="D991" s="363"/>
      <c r="E991" s="363"/>
      <c r="F991" s="363"/>
      <c r="G991" s="363"/>
    </row>
    <row r="992">
      <c r="A992" s="111"/>
      <c r="B992" s="363"/>
      <c r="C992" s="363"/>
      <c r="D992" s="363"/>
      <c r="E992" s="363"/>
      <c r="F992" s="363"/>
      <c r="G992" s="363"/>
    </row>
    <row r="993">
      <c r="A993" s="111"/>
      <c r="B993" s="363"/>
      <c r="C993" s="363"/>
      <c r="D993" s="363"/>
      <c r="E993" s="363"/>
      <c r="F993" s="363"/>
      <c r="G993" s="363"/>
    </row>
    <row r="994">
      <c r="A994" s="111"/>
      <c r="B994" s="363"/>
      <c r="C994" s="363"/>
      <c r="D994" s="363"/>
      <c r="E994" s="363"/>
      <c r="F994" s="363"/>
      <c r="G994" s="363"/>
    </row>
    <row r="995">
      <c r="A995" s="111"/>
      <c r="B995" s="363"/>
      <c r="C995" s="363"/>
      <c r="D995" s="363"/>
      <c r="E995" s="363"/>
      <c r="F995" s="363"/>
      <c r="G995" s="363"/>
    </row>
    <row r="996">
      <c r="A996" s="111"/>
      <c r="B996" s="363"/>
      <c r="C996" s="363"/>
      <c r="D996" s="363"/>
      <c r="E996" s="363"/>
      <c r="F996" s="363"/>
      <c r="G996" s="363"/>
    </row>
    <row r="997">
      <c r="A997" s="111"/>
      <c r="B997" s="363"/>
      <c r="C997" s="363"/>
      <c r="D997" s="363"/>
      <c r="E997" s="363"/>
      <c r="F997" s="363"/>
      <c r="G997" s="363"/>
    </row>
    <row r="998">
      <c r="A998" s="111"/>
      <c r="B998" s="363"/>
      <c r="C998" s="363"/>
      <c r="D998" s="363"/>
      <c r="E998" s="363"/>
      <c r="F998" s="363"/>
      <c r="G998" s="363"/>
    </row>
    <row r="999">
      <c r="A999" s="111"/>
      <c r="B999" s="363"/>
      <c r="C999" s="363"/>
      <c r="D999" s="363"/>
      <c r="E999" s="363"/>
      <c r="F999" s="363"/>
      <c r="G999" s="363"/>
    </row>
    <row r="1000">
      <c r="A1000" s="111"/>
      <c r="B1000" s="363"/>
      <c r="C1000" s="363"/>
      <c r="D1000" s="363"/>
      <c r="E1000" s="363"/>
      <c r="F1000" s="363"/>
      <c r="G1000" s="363"/>
    </row>
  </sheetData>
  <drawing r:id="rId1"/>
</worksheet>
</file>