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O" sheetId="1" r:id="rId5"/>
    <sheet state="visible" name="Resumo - TERCEIROS" sheetId="2" r:id="rId6"/>
    <sheet state="visible" name="Resumo - PROJETOS" sheetId="3" r:id="rId7"/>
    <sheet state="visible" name="Resumo - TIMESHEETS" sheetId="4" r:id="rId8"/>
    <sheet state="visible" name="Tabela dinâmica 1" sheetId="5" r:id="rId9"/>
    <sheet state="visible" name="RH" sheetId="6" r:id="rId10"/>
    <sheet state="visible" name="IRIS" sheetId="7" r:id="rId11"/>
    <sheet state="visible" name="IRIS  TIMESHEET" sheetId="8" r:id="rId12"/>
    <sheet state="visible" name="IRIS MILESTONES" sheetId="9" r:id="rId13"/>
    <sheet state="visible" name="IRIS TERCEIROS" sheetId="10" r:id="rId14"/>
    <sheet state="visible" name="NOTIFY" sheetId="11" r:id="rId15"/>
    <sheet state="visible" name="NOTIFY TIMESHEET" sheetId="12" r:id="rId16"/>
    <sheet state="visible" name="NOTIFY MILESTONES" sheetId="13" r:id="rId17"/>
    <sheet state="visible" name="NOTIFY TERCEIROS" sheetId="14" r:id="rId18"/>
    <sheet state="visible" name="P&amp;D_1" sheetId="15" r:id="rId19"/>
    <sheet state="visible" name="P&amp;D_1 MILESTONES" sheetId="16" r:id="rId20"/>
    <sheet state="visible" name="P&amp;D_1 TIMESHEET" sheetId="17" r:id="rId21"/>
    <sheet state="visible" name="P&amp;D_1 TERCEIROS" sheetId="18" r:id="rId22"/>
    <sheet state="visible" name="P&amp;D_2" sheetId="19" r:id="rId23"/>
    <sheet state="visible" name="P&amp;D_2 MILESTONES" sheetId="20" r:id="rId24"/>
    <sheet state="visible" name="P&amp;D_2 TIMESHEET" sheetId="21" r:id="rId25"/>
    <sheet state="visible" name="P&amp;D_2 TERCEIROS" sheetId="22" r:id="rId26"/>
    <sheet state="visible" name="P&amp;D_3" sheetId="23" r:id="rId27"/>
    <sheet state="visible" name="P&amp;D_3 MILESTONES" sheetId="24" r:id="rId28"/>
    <sheet state="visible" name="P&amp;D_3 TIMESHEET" sheetId="25" r:id="rId29"/>
    <sheet state="visible" name="P&amp;D_3 TERCEIROS" sheetId="26" r:id="rId30"/>
    <sheet state="visible" name="#" sheetId="27" r:id="rId31"/>
    <sheet state="visible" name="# CPRBINSS" sheetId="28" r:id="rId32"/>
  </sheets>
  <definedNames>
    <definedName hidden="1" localSheetId="1" name="_xlnm._FilterDatabase">'Resumo - TERCEIROS'!$A$11:$N$92</definedName>
    <definedName hidden="1" localSheetId="3" name="_xlnm._FilterDatabase">'Resumo - TIMESHEETS'!$B$11:$P$273</definedName>
    <definedName hidden="1" localSheetId="7" name="_xlnm._FilterDatabase">'IRIS  TIMESHEET'!$B$11:$J$151</definedName>
    <definedName hidden="1" localSheetId="11" name="_xlnm._FilterDatabase">'NOTIFY TIMESHEET'!$B$11:$J$106</definedName>
    <definedName hidden="1" localSheetId="13" name="_xlnm._FilterDatabase">'NOTIFY TERCEIROS'!$B$11:$K$72</definedName>
  </definedNames>
  <calcPr/>
  <pivotCaches>
    <pivotCache cacheId="0" r:id="rId33"/>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2">
      <text>
        <t xml:space="preserve">Investigação científica: mediante trabalhos experimentais ou teóricos desenvolvidos principalmente com a finalidade de adquirir novos conhecimentos sobre fundamentos de fenômenos e fatos observáveis, mesmo que ainda não haja uma aplicação já definida</t>
      </text>
    </comment>
    <comment authorId="0" ref="M13">
      <text>
        <t xml:space="preserve">Pesquisa aplicada: são os procedimentos realizados para determinar as possíveis (novas) utilizações de conhecimentos obtidos por meio de pesquisa básica</t>
      </text>
    </comment>
    <comment authorId="0" ref="M14">
      <text>
        <t xml:space="preserve">Desenvolvimento experimental: consiste na realização de trabalhos sistemáticos fundamentados em conhecimentos pré-existentes, para criar ou aperfeiçoar consideravelmente: materiais, produtos, dispositivos, processos ou serviços</t>
      </text>
    </comment>
    <comment authorId="0" ref="M16">
      <text>
        <t xml:space="preserve">Inovação tecnológica de produto:   caracterizada quando objetiva-se em resultar:
- produto tecnologicamente novo, ou 
- produto tecnologicamente aprimorado</t>
      </text>
    </comment>
    <comment authorId="0" ref="M17">
      <text>
        <t xml:space="preserve">Inovação tecnológica de processo: caracteriza-se pela concepção de uma nova tecnologia de produção, seus equipamentos associados e até softwares com impacto nas atividades de suporte à produção.</t>
      </text>
    </comment>
    <comment authorId="0" ref="M18">
      <text>
        <t xml:space="preserve">Inovação tecnológica de serviços: desenvolvimento de software tecnologicamente novo ou tecnologicamente aprimorado, ou outros serviços que envolvam riscos tecnológicos</t>
      </text>
    </comment>
    <comment authorId="0" ref="M20">
      <text>
        <t xml:space="preserve">Inovador para a empresa: quando a empresa não tem acesso e isso representa um passo tecnológico científico para sua equipe, apesar de não ser algo novo para o mundo.</t>
      </text>
    </comment>
    <comment authorId="0" ref="M21">
      <text>
        <t xml:space="preserve">Inovador para o Brasil: quando o objetivo do projeto já foi alcançado em outro país, mas realizá-lo aqui representa um passo tecnológico científico para o cenário brasileiro</t>
      </text>
    </comment>
    <comment authorId="0" ref="M22">
      <text>
        <t xml:space="preserve">Inovador para o Mundo: quando há o desenvolvimento de algo efetivamente novo</t>
      </text>
    </comment>
    <comment authorId="0" ref="H27">
      <text>
        <t xml:space="preserve">Para que as atividades desenvolvidas por um membro da equipe de PD&amp;I possam ser incentivadas pela Lei do Bem, seu contrato de trabalho deve mencionar a realização desse tipo de atividade, mesmo que parcialmente</t>
      </text>
    </comment>
    <comment authorId="0" ref="M28">
      <text>
        <t xml:space="preserve">Técnico: é todo profissional que tenha as qualificações para as atividades reconhecidas pela empresa, obtidas em cursos livres, curso técnico, cursos internos, ou experiência de trabalho mas, que não possua graduação acadêmica</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2">
      <text>
        <t xml:space="preserve">Investigação científica: mediante trabalhos experimentais ou teóricos desenvolvidos principalmente com a finalidade de adquirir novos conhecimentos sobre fundamentos de fenômenos e fatos observáveis, mesmo que ainda não haja uma aplicação já definida</t>
      </text>
    </comment>
    <comment authorId="0" ref="M13">
      <text>
        <t xml:space="preserve">Pesquisa aplicada: são os procedimentos realizados para determinar as possíveis (novas) utilizações de conhecimentos obtidos por meio de pesquisa básica</t>
      </text>
    </comment>
    <comment authorId="0" ref="M14">
      <text>
        <t xml:space="preserve">Desenvolvimento experimental: consiste na realização de trabalhos sistemáticos fundamentados em conhecimentos pré-existentes, para criar ou aperfeiçoar consideravelmente: materiais, produtos, dispositivos, processos ou serviços</t>
      </text>
    </comment>
    <comment authorId="0" ref="M16">
      <text>
        <t xml:space="preserve">Inovação tecnológica de produto:   caracterizada quando objetiva-se em resultar:
- produto tecnologicamente novo, ou 
- produto tecnologicamente aprimorado</t>
      </text>
    </comment>
    <comment authorId="0" ref="M17">
      <text>
        <t xml:space="preserve">Inovação tecnológica de processo: caracteriza-se pela concepção de uma nova tecnologia de produção, seus equipamentos associados e até softwares com impacto nas atividades de suporte à produção.</t>
      </text>
    </comment>
    <comment authorId="0" ref="M18">
      <text>
        <t xml:space="preserve">Inovação tecnológica de serviços: desenvolvimento de software tecnologicamente novo ou tecnologicamente aprimorado, ou outros serviços que envolvam riscos tecnológicos</t>
      </text>
    </comment>
    <comment authorId="0" ref="M20">
      <text>
        <t xml:space="preserve">Inovador para a empresa: quando a empresa não tem acesso e isso representa um passo tecnológico científico para sua equipe, apesar de não ser algo novo para o mundo.</t>
      </text>
    </comment>
    <comment authorId="0" ref="M21">
      <text>
        <t xml:space="preserve">Inovador para o Brasil: quando o objetivo do projeto já foi alcançado em outro país, mas realizá-lo aqui representa um passo tecnológico científico para o cenário brasileiro</t>
      </text>
    </comment>
    <comment authorId="0" ref="M22">
      <text>
        <t xml:space="preserve">Inovador para o Mundo: quando há o desenvolvimento de algo efetivamente novo</t>
      </text>
    </comment>
    <comment authorId="0" ref="H27">
      <text>
        <t xml:space="preserve">Para que as atividades desenvolvidas por um membro da equipe de PD&amp;I possam ser incentivadas pela Lei do Bem, seu contrato de trabalho deve mencionar a realização desse tipo de atividade, mesmo que parcialmente</t>
      </text>
    </comment>
    <comment authorId="0" ref="M28">
      <text>
        <t xml:space="preserve">Técnico: é todo profissional que tenha as qualificações para as atividades reconhecidas pela empresa, obtidas em cursos livres, curso técnico, cursos internos, ou experiência de trabalho mas, que não possua graduação acadêmica</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2">
      <text>
        <t xml:space="preserve">Investigação científica: mediante trabalhos experimentais ou teóricos desenvolvidos principalmente com a finalidade de adquirir novos conhecimentos sobre fundamentos de fenômenos e fatos observáveis, mesmo que ainda não haja uma aplicação já definida</t>
      </text>
    </comment>
    <comment authorId="0" ref="M13">
      <text>
        <t xml:space="preserve">Pesquisa aplicada: são os procedimentos realizados para determinar as possíveis (novas) utilizações de conhecimentos obtidos por meio de pesquisa básica</t>
      </text>
    </comment>
    <comment authorId="0" ref="M14">
      <text>
        <t xml:space="preserve">Desenvolvimento experimental: consiste na realização de trabalhos sistemáticos fundamentados em conhecimentos pré-existentes, para criar ou aperfeiçoar consideravelmente: materiais, produtos, dispositivos, processos ou serviços</t>
      </text>
    </comment>
    <comment authorId="0" ref="M16">
      <text>
        <t xml:space="preserve">Inovação tecnológica de produto:   caracterizada quando objetiva-se em resultar:
- produto tecnologicamente novo, ou 
- produto tecnologicamente aprimorado</t>
      </text>
    </comment>
    <comment authorId="0" ref="M17">
      <text>
        <t xml:space="preserve">Inovação tecnológica de processo: caracteriza-se pela concepção de uma nova tecnologia de produção, seus equipamentos associados e até softwares com impacto nas atividades de suporte à produção.</t>
      </text>
    </comment>
    <comment authorId="0" ref="M18">
      <text>
        <t xml:space="preserve">Inovação tecnológica de serviços: desenvolvimento de software tecnologicamente novo ou tecnologicamente aprimorado, ou outros serviços que envolvam riscos tecnológicos</t>
      </text>
    </comment>
    <comment authorId="0" ref="M20">
      <text>
        <t xml:space="preserve">Inovador para a empresa: quando a empresa não tem acesso e isso representa um passo tecnológico científico para sua equipe, apesar de não ser algo novo para o mundo.</t>
      </text>
    </comment>
    <comment authorId="0" ref="M21">
      <text>
        <t xml:space="preserve">Inovador para o Brasil: quando o objetivo do projeto já foi alcançado em outro país, mas realizá-lo aqui representa um passo tecnológico científico para o cenário brasileiro</t>
      </text>
    </comment>
    <comment authorId="0" ref="M22">
      <text>
        <t xml:space="preserve">Inovador para o Mundo: quando há o desenvolvimento de algo efetivamente novo</t>
      </text>
    </comment>
    <comment authorId="0" ref="H27">
      <text>
        <t xml:space="preserve">Para que as atividades desenvolvidas por um membro da equipe de PD&amp;I possam ser incentivadas pela Lei do Bem, seu contrato de trabalho deve mencionar a realização desse tipo de atividade, mesmo que parcialmente</t>
      </text>
    </comment>
    <comment authorId="0" ref="M28">
      <text>
        <t xml:space="preserve">Técnico: é todo profissional que tenha as qualificações para as atividades reconhecidas pela empresa, obtidas em cursos livres, curso técnico, cursos internos, ou experiência de trabalho mas, que não possua graduação acadêmica</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2">
      <text>
        <t xml:space="preserve">Investigação científica: mediante trabalhos experimentais ou teóricos desenvolvidos principalmente com a finalidade de adquirir novos conhecimentos sobre fundamentos de fenômenos e fatos observáveis, mesmo que ainda não haja uma aplicação já definida</t>
      </text>
    </comment>
    <comment authorId="0" ref="M13">
      <text>
        <t xml:space="preserve">Pesquisa aplicada: são os procedimentos realizados para determinar as possíveis (novas) utilizações de conhecimentos obtidos por meio de pesquisa básica</t>
      </text>
    </comment>
    <comment authorId="0" ref="M14">
      <text>
        <t xml:space="preserve">Desenvolvimento experimental: consiste na realização de trabalhos sistemáticos fundamentados em conhecimentos pré-existentes, para criar ou aperfeiçoar consideravelmente: materiais, produtos, dispositivos, processos ou serviços</t>
      </text>
    </comment>
    <comment authorId="0" ref="M16">
      <text>
        <t xml:space="preserve">Inovação tecnológica de produto:   caracterizada quando objetiva-se em resultar:
- produto tecnologicamente novo, ou 
- produto tecnologicamente aprimorado</t>
      </text>
    </comment>
    <comment authorId="0" ref="M17">
      <text>
        <t xml:space="preserve">Inovação tecnológica de processo: caracteriza-se pela concepção de uma nova tecnologia de produção, seus equipamentos associados e até softwares com impacto nas atividades de suporte à produção.</t>
      </text>
    </comment>
    <comment authorId="0" ref="M18">
      <text>
        <t xml:space="preserve">Inovação tecnológica de serviços: desenvolvimento de software tecnologicamente novo ou tecnologicamente aprimorado, ou outros serviços que envolvam riscos tecnológicos</t>
      </text>
    </comment>
    <comment authorId="0" ref="M20">
      <text>
        <t xml:space="preserve">Inovador para a empresa: quando a empresa não tem acesso e isso representa um passo tecnológico científico para sua equipe, apesar de não ser algo novo para o mundo.</t>
      </text>
    </comment>
    <comment authorId="0" ref="M21">
      <text>
        <t xml:space="preserve">Inovador para o Brasil: quando o objetivo do projeto já foi alcançado em outro país, mas realizá-lo aqui representa um passo tecnológico científico para o cenário brasileiro</t>
      </text>
    </comment>
    <comment authorId="0" ref="M22">
      <text>
        <t xml:space="preserve">Inovador para o Mundo: quando há o desenvolvimento de algo efetivamente novo</t>
      </text>
    </comment>
    <comment authorId="0" ref="H27">
      <text>
        <t xml:space="preserve">Para que as atividades desenvolvidas por um membro da equipe de PD&amp;I possam ser incentivadas pela Lei do Bem, seu contrato de trabalho deve mencionar a realização desse tipo de atividade, mesmo que parcialmente</t>
      </text>
    </comment>
    <comment authorId="0" ref="M28">
      <text>
        <t xml:space="preserve">Técnico: é todo profissional que tenha as qualificações para as atividades reconhecidas pela empresa, obtidas em cursos livres, curso técnico, cursos internos, ou experiência de trabalho mas, que não possua graduação acadêmica</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2">
      <text>
        <t xml:space="preserve">Investigação científica: mediante trabalhos experimentais ou teóricos desenvolvidos principalmente com a finalidade de adquirir novos conhecimentos sobre fundamentos de fenômenos e fatos observáveis, mesmo que ainda não haja uma aplicação já definida</t>
      </text>
    </comment>
    <comment authorId="0" ref="M13">
      <text>
        <t xml:space="preserve">Pesquisa aplicada: são os procedimentos realizados para determinar as possíveis (novas) utilizações de conhecimentos obtidos por meio de pesquisa básica</t>
      </text>
    </comment>
    <comment authorId="0" ref="M14">
      <text>
        <t xml:space="preserve">Desenvolvimento experimental: consiste na realização de trabalhos sistemáticos fundamentados em conhecimentos pré-existentes, para criar ou aperfeiçoar consideravelmente: materiais, produtos, dispositivos, processos ou serviços</t>
      </text>
    </comment>
    <comment authorId="0" ref="M16">
      <text>
        <t xml:space="preserve">Inovação tecnológica de produto:   caracterizada quando objetiva-se em resultar:
- produto tecnologicamente novo, ou 
- produto tecnologicamente aprimorado</t>
      </text>
    </comment>
    <comment authorId="0" ref="M17">
      <text>
        <t xml:space="preserve">Inovação tecnológica de processo: caracteriza-se pela concepção de uma nova tecnologia de produção, seus equipamentos associados e até softwares com impacto nas atividades de suporte à produção.</t>
      </text>
    </comment>
    <comment authorId="0" ref="M18">
      <text>
        <t xml:space="preserve">Inovação tecnológica de serviços: desenvolvimento de software tecnologicamente novo ou tecnologicamente aprimorado, ou outros serviços que envolvam riscos tecnológicos</t>
      </text>
    </comment>
    <comment authorId="0" ref="M20">
      <text>
        <t xml:space="preserve">Inovador para a empresa: quando a empresa não tem acesso e isso representa um passo tecnológico científico para sua equipe, apesar de não ser algo novo para o mundo.</t>
      </text>
    </comment>
    <comment authorId="0" ref="M21">
      <text>
        <t xml:space="preserve">Inovador para o Brasil: quando o objetivo do projeto já foi alcançado em outro país, mas realizá-lo aqui representa um passo tecnológico científico para o cenário brasileiro</t>
      </text>
    </comment>
    <comment authorId="0" ref="M22">
      <text>
        <t xml:space="preserve">Inovador para o Mundo: quando há o desenvolvimento de algo efetivamente novo</t>
      </text>
    </comment>
    <comment authorId="0" ref="H27">
      <text>
        <t xml:space="preserve">Para que as atividades desenvolvidas por um membro da equipe de PD&amp;I possam ser incentivadas pela Lei do Bem, seu contrato de trabalho deve mencionar a realização desse tipo de atividade, mesmo que parcialmente</t>
      </text>
    </comment>
    <comment authorId="0" ref="M28">
      <text>
        <t xml:space="preserve">Técnico: é todo profissional que tenha as qualificações para as atividades reconhecidas pela empresa, obtidas em cursos livres, curso técnico, cursos internos, ou experiência de trabalho mas, que não possua graduação acadêmica</t>
      </text>
    </comment>
  </commentList>
</comments>
</file>

<file path=xl/sharedStrings.xml><?xml version="1.0" encoding="utf-8"?>
<sst xmlns="http://schemas.openxmlformats.org/spreadsheetml/2006/main" count="6155" uniqueCount="562">
  <si>
    <t>Resumo dos investimentos</t>
  </si>
  <si>
    <t>BENEFÍCIO FISCAL DE PD&amp;I 2023</t>
  </si>
  <si>
    <t>2023-026 - NETZSCH MOAGEM</t>
  </si>
  <si>
    <t>NETZSCH INDUSTRIA E COMERCIO DE EQUIPAMENTOS DE MOAGEM LTDA</t>
  </si>
  <si>
    <t>CNPJ 07.389.050/0001-51</t>
  </si>
  <si>
    <t>Rua Emilio Marquardt, 300, Ribeirão Souto - SC - SUL - POMERODE - CEP 89.107-000</t>
  </si>
  <si>
    <t>Natureza</t>
  </si>
  <si>
    <t>1º Trimestre</t>
  </si>
  <si>
    <t>2º Trimestre</t>
  </si>
  <si>
    <t>3º Trimestre</t>
  </si>
  <si>
    <t>4º Trimestre</t>
  </si>
  <si>
    <t>TOTAL</t>
  </si>
  <si>
    <t>Material</t>
  </si>
  <si>
    <t>-</t>
  </si>
  <si>
    <t>Terceiros</t>
  </si>
  <si>
    <r>
      <rPr>
        <rFont val="Cairo"/>
        <color rgb="FF000000"/>
        <sz val="10.0"/>
      </rPr>
      <t>RH (</t>
    </r>
    <r>
      <rPr>
        <rFont val="Cairo"/>
        <i/>
        <color rgb="FF000000"/>
        <sz val="10.0"/>
      </rPr>
      <t>Parcial inovação</t>
    </r>
    <r>
      <rPr>
        <rFont val="Cairo"/>
        <color rgb="FF000000"/>
        <sz val="10.0"/>
      </rPr>
      <t>)</t>
    </r>
  </si>
  <si>
    <r>
      <rPr>
        <rFont val="Cairo"/>
        <color rgb="FF000000"/>
        <sz val="10.0"/>
      </rPr>
      <t>RH (</t>
    </r>
    <r>
      <rPr>
        <rFont val="Cairo"/>
        <i/>
        <color rgb="FF000000"/>
        <sz val="10.0"/>
      </rPr>
      <t>Exclusivo inovação</t>
    </r>
    <r>
      <rPr>
        <rFont val="Cairo"/>
        <color rgb="FF000000"/>
        <sz val="10.0"/>
      </rPr>
      <t>)</t>
    </r>
  </si>
  <si>
    <t>Total 1</t>
  </si>
  <si>
    <t>Percentual Exclusão</t>
  </si>
  <si>
    <t>Exclusão da Base de cálculo do IRPJ e CSLL</t>
  </si>
  <si>
    <r>
      <rPr>
        <rFont val="Cairo"/>
        <b/>
        <color rgb="FFFFFFFF"/>
        <sz val="10.0"/>
      </rPr>
      <t>Economia Estimada [</t>
    </r>
    <r>
      <rPr>
        <rFont val="Cairo"/>
        <b/>
        <color rgb="FFFFFFFF"/>
        <sz val="10.0"/>
      </rPr>
      <t>34%</t>
    </r>
    <r>
      <rPr>
        <rFont val="Cairo"/>
        <b/>
        <color rgb="FFFFFFFF"/>
        <sz val="10.0"/>
      </rPr>
      <t>]</t>
    </r>
  </si>
  <si>
    <t>Comissão McBenner</t>
  </si>
  <si>
    <t>Observações:</t>
  </si>
  <si>
    <t>1. Os dispêndios devem ser registrados na contabilidade em conta específica</t>
  </si>
  <si>
    <t>2. O benefício deve ser aproveitado na ECF do respectivo ano/competência</t>
  </si>
  <si>
    <r>
      <rPr>
        <rFont val="Cairo"/>
        <color rgb="FF000000"/>
        <sz val="10.0"/>
      </rPr>
      <t>3. O formulário do MCTIC (governo) será enviado até fim de Julho</t>
    </r>
    <r>
      <rPr>
        <rFont val="Cairo"/>
        <b/>
        <color rgb="FF000000"/>
        <sz val="10.0"/>
      </rPr>
      <t>/2024</t>
    </r>
  </si>
  <si>
    <t>4. Os projetos estão descritos em arquivo a parte a ser anexado no FORM PD&amp;I</t>
  </si>
  <si>
    <t>5. Alguns benefícios previstos na Lei do Bem não foram utilizados:</t>
  </si>
  <si>
    <t>- 5.1. Depreciação acelerada</t>
  </si>
  <si>
    <t>- 5.2. Redução de IPI na aquisição de equipamento para PD&amp;I</t>
  </si>
  <si>
    <r>
      <rPr>
        <rFont val="Cairo"/>
        <i/>
        <color rgb="FF000000"/>
        <sz val="10.0"/>
      </rPr>
      <t xml:space="preserve">- 5.3. </t>
    </r>
    <r>
      <rPr>
        <rFont val="Cairo"/>
        <b/>
        <i/>
        <color rgb="FF000000"/>
        <sz val="10.0"/>
      </rPr>
      <t xml:space="preserve">Acréscimo de até 20% </t>
    </r>
    <r>
      <rPr>
        <rFont val="Cairo"/>
        <i/>
        <color rgb="FF000000"/>
        <sz val="10.0"/>
      </rPr>
      <t xml:space="preserve">na exclusão por incrementar o número de pesquisadores contratados
</t>
    </r>
    <r>
      <rPr>
        <rFont val="Cairo"/>
        <b/>
        <i/>
        <color rgb="FF000000"/>
        <sz val="10.0"/>
        <u/>
      </rPr>
      <t>(exclusivos)</t>
    </r>
    <r>
      <rPr>
        <rFont val="Cairo"/>
        <i/>
        <color rgb="FF000000"/>
        <sz val="10.0"/>
      </rPr>
      <t xml:space="preserve"> em percentual acima de 5% ou até 5% em comparação ao ano-calendário anterior</t>
    </r>
  </si>
  <si>
    <t xml:space="preserve">--- 5.3. Até 70% de exclusão por incrementar o numero de pesquisadores contratados em percentual até 5% </t>
  </si>
  <si>
    <t>Equipe de PD&amp;I</t>
  </si>
  <si>
    <t>Quadro de resumo</t>
  </si>
  <si>
    <t>Dedicação Parcial</t>
  </si>
  <si>
    <t>Dedicação Exclusiva</t>
  </si>
  <si>
    <t>Qtd</t>
  </si>
  <si>
    <t>Valor gasto</t>
  </si>
  <si>
    <t>Horas</t>
  </si>
  <si>
    <t>Técnico</t>
  </si>
  <si>
    <t>Tecnologo</t>
  </si>
  <si>
    <t>Superior Completo</t>
  </si>
  <si>
    <t>Pós graduado</t>
  </si>
  <si>
    <t>Mestrado</t>
  </si>
  <si>
    <t>Doutorado</t>
  </si>
  <si>
    <t>Valores por projeto de PD&amp;I</t>
  </si>
  <si>
    <t>Projetos</t>
  </si>
  <si>
    <t>Vlr materiais</t>
  </si>
  <si>
    <t>Vlr terceiros</t>
  </si>
  <si>
    <t>Vlr Rh parcial</t>
  </si>
  <si>
    <t>Vlr exclusivos</t>
  </si>
  <si>
    <t>NOTIFY</t>
  </si>
  <si>
    <t>P&amp;D_1</t>
  </si>
  <si>
    <t>P&amp;D_2</t>
  </si>
  <si>
    <t>P&amp;D_3</t>
  </si>
  <si>
    <t xml:space="preserve">Subtotais </t>
  </si>
  <si>
    <t>NETZSCH</t>
  </si>
  <si>
    <t>Pesquisa, Desenvolvimento &amp; Inovação</t>
  </si>
  <si>
    <r>
      <rPr>
        <rFont val="Source Sans Pro"/>
        <color rgb="FF666666"/>
        <sz val="10.0"/>
      </rPr>
      <t xml:space="preserve">Formulário de PD&amp;I - </t>
    </r>
    <r>
      <rPr>
        <rFont val="Source Sans Pro"/>
        <b/>
        <color rgb="FF666666"/>
        <sz val="10.0"/>
      </rPr>
      <t>Ano 2023</t>
    </r>
  </si>
  <si>
    <t>- preencher somente os campos sombreados (cinza)</t>
  </si>
  <si>
    <t>Dossiê do projeto</t>
  </si>
  <si>
    <t>Investimentos com terceiros</t>
  </si>
  <si>
    <t>Projeto</t>
  </si>
  <si>
    <t>Etapa</t>
  </si>
  <si>
    <t>Fornecedor</t>
  </si>
  <si>
    <t>CNPJ</t>
  </si>
  <si>
    <t>Nota fiscal</t>
  </si>
  <si>
    <t>Valor</t>
  </si>
  <si>
    <t>Data</t>
  </si>
  <si>
    <t>Descrição da Atividade</t>
  </si>
  <si>
    <t>Objetivo do gasto e eventual info de rateio</t>
  </si>
  <si>
    <t>Projeto incentiv.</t>
  </si>
  <si>
    <t>IRISV3 - Desenvolvimento de bilbioteca  de objetos</t>
  </si>
  <si>
    <t>KMCC Equipamentos Elétricos Ltda</t>
  </si>
  <si>
    <t>05.974.479/0001-80</t>
  </si>
  <si>
    <t>NFS-e2128</t>
  </si>
  <si>
    <t>Desenvolvimento IHM</t>
  </si>
  <si>
    <t>Total nota fiscal: R$ 8931. Rateio: 6,4 %</t>
  </si>
  <si>
    <t>IRIS</t>
  </si>
  <si>
    <t>Todas as etapas</t>
  </si>
  <si>
    <t>JAV AUTOMACAO INDUSTRIAL LTDA</t>
  </si>
  <si>
    <t>82.731.779/0002-60</t>
  </si>
  <si>
    <t>NFS-e1363</t>
  </si>
  <si>
    <t>Serviço de manutenção de acesso remoto TALK2M</t>
  </si>
  <si>
    <t>Total nota fiscal: R$ 9963,35. Rateio: 100 %</t>
  </si>
  <si>
    <t>NFS-e1373</t>
  </si>
  <si>
    <t>Licenças de desenvolvimento ROCKWELL</t>
  </si>
  <si>
    <t>Total nota fiscal: R$ 28380,48. Rateio: 100 %</t>
  </si>
  <si>
    <t>SIEMENS INFRAESTRUTURA E INDÚSTRIA LTDA.</t>
  </si>
  <si>
    <t>34.776.007/0003-83</t>
  </si>
  <si>
    <t>NFS-e7876</t>
  </si>
  <si>
    <t>Licenças de desenvolvimento SIEMENS</t>
  </si>
  <si>
    <t>Total nota fiscal: R$ 19768,3. Rateio: 100 %</t>
  </si>
  <si>
    <t>NFS-e2193</t>
  </si>
  <si>
    <t>Total nota fiscal: R$ 17375. Rateio: 87,04 %</t>
  </si>
  <si>
    <t>NFS-e2218</t>
  </si>
  <si>
    <t>Total nota fiscal: R$ 20052,5. Rateio: 75,03 %</t>
  </si>
  <si>
    <t>NFS-e2228</t>
  </si>
  <si>
    <t>Total nota fiscal: R$ 17962,5. Rateio: 93,64 %</t>
  </si>
  <si>
    <t>Notify</t>
  </si>
  <si>
    <t>Criação de ordens de serviço</t>
  </si>
  <si>
    <t>Materialize Serviços Digitais Ltda</t>
  </si>
  <si>
    <t>34.269.716/0001-00</t>
  </si>
  <si>
    <t>Agênciamento de serviços de desenvovimento de software</t>
  </si>
  <si>
    <t>Total nota fiscal: R$ 69700. Rateio: 50 %</t>
  </si>
  <si>
    <t>Planejamento de manutenções preventivas</t>
  </si>
  <si>
    <t>Amazon AWS Serviços Brasil Ltda</t>
  </si>
  <si>
    <t>23.412.247/0001-10</t>
  </si>
  <si>
    <t>1684279_TRARB7GL</t>
  </si>
  <si>
    <t>Custo da infraestrutura em nuvem</t>
  </si>
  <si>
    <t>Total nota fiscal: R$ 8118,14. Rateio: 50 %</t>
  </si>
  <si>
    <t>Teste de penetração (cybersegurança)</t>
  </si>
  <si>
    <t>XLABS ON SECURITY SEGURANCA DA INFORMACAO LTDA</t>
  </si>
  <si>
    <t>30.162.109/0001-96</t>
  </si>
  <si>
    <t>Serviços prestados em segurança da informação</t>
  </si>
  <si>
    <t>Total nota fiscal: R$ 4850. Rateio: 100 %</t>
  </si>
  <si>
    <t>1834979_ZLH5AEKP</t>
  </si>
  <si>
    <t>Total nota fiscal: R$ 7631,54. Rateio: 25 %</t>
  </si>
  <si>
    <t>Gerencimeno de licenças</t>
  </si>
  <si>
    <t>Duplicar máquinas existentes</t>
  </si>
  <si>
    <t>Total nota fiscal: R$ 69700. Rateio: 25 %</t>
  </si>
  <si>
    <t>1851758_THE47Z4R</t>
  </si>
  <si>
    <t>Total nota fiscal: R$ 8405,9. Rateio: 25 %</t>
  </si>
  <si>
    <t xml:space="preserve">	1974603_J4XEGDTG</t>
  </si>
  <si>
    <t>Total nota fiscal: R$ 7835,98. Rateio: 50 %</t>
  </si>
  <si>
    <t>Total nota fiscal: R$ 68000. Rateio: 50 %</t>
  </si>
  <si>
    <t>Total nota fiscal: R$ 69700. Rateio: 33,33 %</t>
  </si>
  <si>
    <t>Cadastro de tarefas de manutenção preventiva</t>
  </si>
  <si>
    <t>2073356_N3RQWJJ4</t>
  </si>
  <si>
    <t>Total nota fiscal: R$ 8007,7. Rateio: 33,33 %</t>
  </si>
  <si>
    <t>2135752_9VMHLMTL</t>
  </si>
  <si>
    <t>Total nota fiscal: R$ 8323,82. Rateio: 100 %</t>
  </si>
  <si>
    <t>Total nota fiscal: R$ 69700. Rateio: 100 %</t>
  </si>
  <si>
    <t>NETZSCH G&amp;D Digital Products Home</t>
  </si>
  <si>
    <t>2227234_KD4PPGBK</t>
  </si>
  <si>
    <t>Total nota fiscal: R$ 10629,3. Rateio: 100 %</t>
  </si>
  <si>
    <t>Adequação do Gateway para o IRIS V3</t>
  </si>
  <si>
    <t>MOUT S SOLUCOES EM TECNOLOGIA DA INFORMATICA LTDA</t>
  </si>
  <si>
    <t>25.056.849/0001-08</t>
  </si>
  <si>
    <t>ALOCAÇÃO PROFISSIONAL: Análise e desenvolvimento de sistemas</t>
  </si>
  <si>
    <t>Total nota fiscal: R$ 27000. Rateio: 100 %</t>
  </si>
  <si>
    <t>Relatório de lotes</t>
  </si>
  <si>
    <t>2385112_EMIUSLCC</t>
  </si>
  <si>
    <t>Total nota fiscal: R$ 10873,01. Rateio: 50 %</t>
  </si>
  <si>
    <t>2430376_4MVGWINA</t>
  </si>
  <si>
    <t>Total nota fiscal: R$ 10755,78. Rateio: 33,33 %</t>
  </si>
  <si>
    <t>Exportar dados para o Excel</t>
  </si>
  <si>
    <t>Total nota fiscal: R$ 13920. Rateio: 100 %</t>
  </si>
  <si>
    <t>2548011_J7IJ9ZIE</t>
  </si>
  <si>
    <t>Total nota fiscal: R$ 11368,28. Rateio: 50 %</t>
  </si>
  <si>
    <t>Templates de gráficos</t>
  </si>
  <si>
    <t>Total nota fiscal: R$ 23400. Rateio: 100 %</t>
  </si>
  <si>
    <t>2610688_YNZZNXN6</t>
  </si>
  <si>
    <t>Total nota fiscal: R$ 10611,42. Rateio: 50 %</t>
  </si>
  <si>
    <t>Total nota fiscal: R$ 41040. Rateio: 100 %</t>
  </si>
  <si>
    <t>2709240_ECNZ6XB8</t>
  </si>
  <si>
    <t>Total nota fiscal: R$ 10825,52. Rateio: 50 %</t>
  </si>
  <si>
    <t>Outros tamanhos e geometrias de dentes das ferramentas, outros materiais / Rotor liso para redução da viscosidade após a moagem</t>
  </si>
  <si>
    <t>STR FERRAMENTARIA EIRELI - ME</t>
  </si>
  <si>
    <t>NF 9873-1</t>
  </si>
  <si>
    <t xml:space="preserve">Compra das ferramentas de 5mm, facas de pré-corte e ferramentas lisas </t>
  </si>
  <si>
    <t>Testes</t>
  </si>
  <si>
    <t>Outros tamanhos e geometrias de dentes das ferramentas, outros materiais</t>
  </si>
  <si>
    <t>RIJEZA INDUSTRIA METALURGICA LTDA / STR FERRAMENTARIA EIRELI - ME</t>
  </si>
  <si>
    <t>5034416000144 / 12715548000105</t>
  </si>
  <si>
    <t>NF 19147 / NF 9135-1</t>
  </si>
  <si>
    <t>Compra de ferramentas com revestimento resistente ao desgaste</t>
  </si>
  <si>
    <t>Melhorias do MasterCream MINI</t>
  </si>
  <si>
    <t>NF 10094-1</t>
  </si>
  <si>
    <t>Compra das novas ferramentas de moagem</t>
  </si>
  <si>
    <t>WEG EQUIPAMENTOS ELÉTRICOS S/A</t>
  </si>
  <si>
    <t>NF 3411393-1</t>
  </si>
  <si>
    <t>Compra de acionamento mais potente</t>
  </si>
  <si>
    <t>MasterRefiner 30 Hygienic design</t>
  </si>
  <si>
    <t>Netzsch Moagem</t>
  </si>
  <si>
    <t>Fabricação interna do eixo agitador para o moinho MasterRefiner 30</t>
  </si>
  <si>
    <t>Moinho com design higienico para limpeza CIP</t>
  </si>
  <si>
    <t>Wachholz LTDA. EPP</t>
  </si>
  <si>
    <t>NF 7419-2</t>
  </si>
  <si>
    <t>Fabricação do recipiente de moagem do moinho MasterRefiner 30</t>
  </si>
  <si>
    <t>JGW MECANICA INDUSTRIAL LTDA. EPP</t>
  </si>
  <si>
    <t>NF 8904-2</t>
  </si>
  <si>
    <t>Fabricação de peineira separadora de esferas para MasterRefiner 30</t>
  </si>
  <si>
    <t>Fabricação de selo mecanico para moinho MasterRefiner 30</t>
  </si>
  <si>
    <t>Sistema de limpeza com água</t>
  </si>
  <si>
    <t>TREFFER INDUSTRY</t>
  </si>
  <si>
    <t>NF 152-1</t>
  </si>
  <si>
    <t>Compra de cabeçotes de limpeza Hydroclaw</t>
  </si>
  <si>
    <t>Teste de limpeza com cabeçotes estaticos</t>
  </si>
  <si>
    <t>NETZSCH FEINMAHLTECHNIK GmbH</t>
  </si>
  <si>
    <t>NF 12689</t>
  </si>
  <si>
    <t>Utilização dos cabeçotes que estavam em estoque</t>
  </si>
  <si>
    <t>Realização de teste de limpeza preliminar</t>
  </si>
  <si>
    <t>Montagem do sistema de limpeza/áquecimento</t>
  </si>
  <si>
    <t>Realização de testes de limpeza com água quente</t>
  </si>
  <si>
    <t>FRANKLIN ELECTRIC IND. MOTOBOMBAS</t>
  </si>
  <si>
    <t>NF 480102-2</t>
  </si>
  <si>
    <t>Montagem de bombas para sistema de limpeza</t>
  </si>
  <si>
    <t>Montagem de bombas com maior vazão/pressão para aumentar a capacidade de limpeza</t>
  </si>
  <si>
    <r>
      <rPr>
        <rFont val="Source Sans Pro"/>
        <color rgb="FF666666"/>
        <sz val="10.0"/>
      </rPr>
      <t xml:space="preserve">Formulário de PD&amp;I - </t>
    </r>
    <r>
      <rPr>
        <rFont val="Source Sans Pro"/>
        <b/>
        <color rgb="FF666666"/>
        <sz val="10.0"/>
      </rPr>
      <t>Ano 2023</t>
    </r>
  </si>
  <si>
    <t>Incentivado pela Lei do Bem</t>
  </si>
  <si>
    <t>Objetiva tornar-se um Ativo</t>
  </si>
  <si>
    <t>Objetiva gerar patente/registro</t>
  </si>
  <si>
    <r>
      <rPr>
        <rFont val="Source Sans Pro"/>
        <color rgb="FF666666"/>
        <sz val="10.0"/>
      </rPr>
      <t xml:space="preserve">Formulário de PD&amp;I - </t>
    </r>
    <r>
      <rPr>
        <rFont val="Source Sans Pro"/>
        <b/>
        <color rgb="FF666666"/>
        <sz val="10.0"/>
      </rPr>
      <t>Ano 2023</t>
    </r>
  </si>
  <si>
    <t>Treinamento</t>
  </si>
  <si>
    <t>Pesquisa</t>
  </si>
  <si>
    <t>Desenvolvimento</t>
  </si>
  <si>
    <t>Atividades de Pesquisa, Desenvolvimento e Inovação</t>
  </si>
  <si>
    <t>Gestão e outros</t>
  </si>
  <si>
    <t>RowID</t>
  </si>
  <si>
    <t>Colaborador</t>
  </si>
  <si>
    <t>CPF</t>
  </si>
  <si>
    <t>Tempo (h)</t>
  </si>
  <si>
    <t xml:space="preserve"> </t>
  </si>
  <si>
    <t>Classificação</t>
  </si>
  <si>
    <t>Descrição da atividade e observações</t>
  </si>
  <si>
    <t>Custo</t>
  </si>
  <si>
    <t>Atividade incentiv.</t>
  </si>
  <si>
    <t>Dedic.</t>
  </si>
  <si>
    <t>Revisão protocolos de comissionamento</t>
  </si>
  <si>
    <t>Alexandre Baseggio</t>
  </si>
  <si>
    <t>Desenvolvimento PLC</t>
  </si>
  <si>
    <t>Eduardo Flohr</t>
  </si>
  <si>
    <t>064.303.159-67</t>
  </si>
  <si>
    <t>Gestão</t>
  </si>
  <si>
    <t>Parcial</t>
  </si>
  <si>
    <t>Gabriel Alves Ferraz</t>
  </si>
  <si>
    <t>132.105.086-07</t>
  </si>
  <si>
    <t>Filipe Harbs</t>
  </si>
  <si>
    <t>Ivo Ersching</t>
  </si>
  <si>
    <t>Aprimorar dados de processo</t>
  </si>
  <si>
    <t>Configuração de dispositivo de acesso remoto</t>
  </si>
  <si>
    <t>Lucca Sardá Tonim Matos</t>
  </si>
  <si>
    <t>123.342.589-70</t>
  </si>
  <si>
    <t>Documentação</t>
  </si>
  <si>
    <t>IRISV3 - Projetar novo sistema de automação</t>
  </si>
  <si>
    <t>Johann Ribeiro</t>
  </si>
  <si>
    <t>100.110.019-09</t>
  </si>
  <si>
    <t>Paulo Fernando Odwazny</t>
  </si>
  <si>
    <t>035.705.119-01</t>
  </si>
  <si>
    <t>Especificação da funcionalidade</t>
  </si>
  <si>
    <t>Criação de processo de liberação de versão</t>
  </si>
  <si>
    <t>Tradução da Interface para o idioma Estoniano</t>
  </si>
  <si>
    <t xml:space="preserve">Alteração de UPS </t>
  </si>
  <si>
    <t>Marcos Tribess</t>
  </si>
  <si>
    <t>Guilherme Jacques</t>
  </si>
  <si>
    <t>Ricardo Bordin</t>
  </si>
  <si>
    <t>Gabriel Oliveira</t>
  </si>
  <si>
    <t>085.943.039-12</t>
  </si>
  <si>
    <t>Desgin UX/UI</t>
  </si>
  <si>
    <t>Tradução da Interface para o idioma Italiano</t>
  </si>
  <si>
    <t>Rafael Augusto Barbieri Lobato</t>
  </si>
  <si>
    <t>Unificação de software p/ Rockwell</t>
  </si>
  <si>
    <t>IRIS V3 - Controle de receita avançado</t>
  </si>
  <si>
    <t>Refatoração dos scripts p/ C#</t>
  </si>
  <si>
    <t>IRIS V3 - Operação por lotes com controle de receita avançado</t>
  </si>
  <si>
    <t>Italo Ebel</t>
  </si>
  <si>
    <t>534.546.398-08</t>
  </si>
  <si>
    <t>IRIS V3 - Gerenciamento de falhas</t>
  </si>
  <si>
    <t>IRIS V3 - Análise de gráficos avançada</t>
  </si>
  <si>
    <t>IRIS V3 - Testes de estresse do software</t>
  </si>
  <si>
    <t>Bruno katzjarowksi</t>
  </si>
  <si>
    <t>080.850.859-84</t>
  </si>
  <si>
    <t>Desenvolvimento Backend</t>
  </si>
  <si>
    <t>Exclusivo</t>
  </si>
  <si>
    <t>Gabriel Possamai</t>
  </si>
  <si>
    <t>085.815.809-47</t>
  </si>
  <si>
    <t>Desenvolvimento Frontend</t>
  </si>
  <si>
    <t>Arthur Muniz</t>
  </si>
  <si>
    <t>037.196.611-64</t>
  </si>
  <si>
    <t>Cleiton Capristano</t>
  </si>
  <si>
    <t>068.504.079-88</t>
  </si>
  <si>
    <t>Alberto Reuters</t>
  </si>
  <si>
    <t>041.176.229-00</t>
  </si>
  <si>
    <t>Especificação dos principais testes</t>
  </si>
  <si>
    <t>Análise de testes</t>
  </si>
  <si>
    <t>Desenvolvimento dos designs (UI/UX)</t>
  </si>
  <si>
    <t>Definição parametros e metricas</t>
  </si>
  <si>
    <t>Theron Wolfgang Harbs</t>
  </si>
  <si>
    <t>Especificação da viscosidade e ponto de fluidez esperado com base no cliente da NFT, definição da receita do chocolate ao leite</t>
  </si>
  <si>
    <t>Definição dos equipamentos e metodos de medição</t>
  </si>
  <si>
    <t>Jivago Rusch</t>
  </si>
  <si>
    <t>Preparação do laboratorio de food para realizar as etapas de processamento de chocolate, medição de granulometria, reologia e umidade</t>
  </si>
  <si>
    <t>Realização de testes</t>
  </si>
  <si>
    <t>Realizar a fabricação do chocolate ao leite no laboratorio de food da NEM, Coletar dados do processo, verificar os resultados e ajustar os parametros</t>
  </si>
  <si>
    <t>Divulgação dos resultados para NFT</t>
  </si>
  <si>
    <t>Definir entre testes 1 a 12 qual a NFT deve repetir na Alemanha</t>
  </si>
  <si>
    <t>Modelamento, detalhamento e lista de peças das ferramentas de moagem com dentes de 5mm</t>
  </si>
  <si>
    <t>Testes com ferramentas de 5mm com alho e amendoas</t>
  </si>
  <si>
    <t>Desenvolvimento de fornecedor, modelamento, detalhamento e lista de peças para ferramentas de moagem em AISI304 revestidas com CR3CR2</t>
  </si>
  <si>
    <t>Teste com ferramentas revestidas com CR3CR2 em cliente com moagem de nibs de cacau</t>
  </si>
  <si>
    <t xml:space="preserve"> Facas de pré-corte
Ativar</t>
  </si>
  <si>
    <t>Modelamento, detalhamento, lista de peças e testes de facas de pré corte com amendoas com alto teor de umidade</t>
  </si>
  <si>
    <t>Criar banco de dados de processo com informações de vazão, potencia, rotação e tamanho de particula para MasterCream</t>
  </si>
  <si>
    <t>Coleta de dados do MCIL40 em cliente durante Startup, criação de planiilha de calculo com dados tecnicos para comparação do dos tamanhos diferentes de maquinas para scale up, manual de boas praticas de operação, alteração do projeto das ferramentas do MCIL40 para area de moagem 30% menor</t>
  </si>
  <si>
    <t>Desenvolvimento de novo rotor de moagem, acionamento com mais potencia, dispositivo para diferentes tamanhos de entrada de produto, tubo de imersão, valvula para limitação da area de descarga, realização de testes com amendoim</t>
  </si>
  <si>
    <t>Rotor liso para redução da viscosidade após a moagem</t>
  </si>
  <si>
    <t>Desenvolvimento de ferramentas lisas com diferentes fendas, realização de testes com chocolate ao leite após a moagem, verificação da redução da viscosidade</t>
  </si>
  <si>
    <t>Modelamento, detalhamento e lista de peças</t>
  </si>
  <si>
    <t>Desenvolvimento do fluxograma de limpeza</t>
  </si>
  <si>
    <t>Projeto para o sistema de limpeza preliminar</t>
  </si>
  <si>
    <t>Teste preliminar de limpeza na Concha</t>
  </si>
  <si>
    <t>Teste 1 de limpeza da concha com água quente</t>
  </si>
  <si>
    <t>Fernando Leal</t>
  </si>
  <si>
    <t>Teste 2 limpeza  da concha com água quente. utilizado um cabeçote de cada vez para aumentar a pressão</t>
  </si>
  <si>
    <t>Caracterização de nivel de residuos remanescentes</t>
  </si>
  <si>
    <t>Pesquisar normas/legislação brasileira, europeia e americana. Desenvolver metodo de analise de residuos</t>
  </si>
  <si>
    <t>SUM de Tempo (h)</t>
  </si>
  <si>
    <t>SUM de Custo</t>
  </si>
  <si>
    <t>Pesquisa ,Desenvolvimento &amp; Inovação</t>
  </si>
  <si>
    <r>
      <rPr>
        <rFont val="Source Sans Pro"/>
        <color rgb="FF666666"/>
        <sz val="10.0"/>
      </rPr>
      <t xml:space="preserve">Formulário de PD&amp;I - </t>
    </r>
    <r>
      <rPr>
        <rFont val="Source Sans Pro"/>
        <b/>
        <color rgb="FF666666"/>
        <sz val="10.0"/>
      </rPr>
      <t>Ano 2022</t>
    </r>
  </si>
  <si>
    <t>-preencher somente os campos sombreados (cinza)</t>
  </si>
  <si>
    <t>Cálculo de custo - Pessoal</t>
  </si>
  <si>
    <t>Salário bruto</t>
  </si>
  <si>
    <t>Nome Completo</t>
  </si>
  <si>
    <t>notas</t>
  </si>
  <si>
    <t>Cargo/função</t>
  </si>
  <si>
    <t>Formação</t>
  </si>
  <si>
    <t>Attachments</t>
  </si>
  <si>
    <t>Salário 01</t>
  </si>
  <si>
    <t>Salário 02</t>
  </si>
  <si>
    <t>Salário 03</t>
  </si>
  <si>
    <t>Salário 04</t>
  </si>
  <si>
    <t>Salário 05</t>
  </si>
  <si>
    <t>Salário 06</t>
  </si>
  <si>
    <t>Salário 07</t>
  </si>
  <si>
    <t>Salário 08</t>
  </si>
  <si>
    <t>Salário 09</t>
  </si>
  <si>
    <t>Salário 10</t>
  </si>
  <si>
    <t>Salário 11</t>
  </si>
  <si>
    <t>Salário 12</t>
  </si>
  <si>
    <t>PD&amp;I time</t>
  </si>
  <si>
    <t>PD&amp;I (%)</t>
  </si>
  <si>
    <t>Pesquisador</t>
  </si>
  <si>
    <t>Gerente Desenv. Soft/Automação</t>
  </si>
  <si>
    <t>020.066.430-10</t>
  </si>
  <si>
    <t>Analista de Automação</t>
  </si>
  <si>
    <t>Desenvolvedor de Software</t>
  </si>
  <si>
    <t>Supervisor Automação</t>
  </si>
  <si>
    <t>Bolsista</t>
  </si>
  <si>
    <t>087.609.209-12</t>
  </si>
  <si>
    <t>UX/UI Designer</t>
  </si>
  <si>
    <t>085.705.039-70</t>
  </si>
  <si>
    <t>Estagiário</t>
  </si>
  <si>
    <t>052.208.059-67</t>
  </si>
  <si>
    <t>091.530.489-97</t>
  </si>
  <si>
    <t>Projetista Industrial</t>
  </si>
  <si>
    <t>057.903.319-80</t>
  </si>
  <si>
    <t>Supervisor Desenv. Software</t>
  </si>
  <si>
    <t>374.320.848-23</t>
  </si>
  <si>
    <t>029.623.950-07</t>
  </si>
  <si>
    <t>PJ</t>
  </si>
  <si>
    <t>Consultor</t>
  </si>
  <si>
    <t>Cálculo do custo/hora</t>
  </si>
  <si>
    <t>Patronal</t>
  </si>
  <si>
    <t>// Informações recebidas por e-mail do RH</t>
  </si>
  <si>
    <t>RAT</t>
  </si>
  <si>
    <t>INSS</t>
  </si>
  <si>
    <t>FGTS</t>
  </si>
  <si>
    <t>Férias</t>
  </si>
  <si>
    <t>13º</t>
  </si>
  <si>
    <t>PD&amp;I R$</t>
  </si>
  <si>
    <t>Aprovado R$</t>
  </si>
  <si>
    <t>Feriados</t>
  </si>
  <si>
    <t>Ano Novo</t>
  </si>
  <si>
    <t>Paixão de Cristo</t>
  </si>
  <si>
    <t>Páscoa</t>
  </si>
  <si>
    <t>Aniversário Município</t>
  </si>
  <si>
    <t>Tiradentes</t>
  </si>
  <si>
    <t>Dia do Trabalhador</t>
  </si>
  <si>
    <t>Corpus Christi</t>
  </si>
  <si>
    <t>independência</t>
  </si>
  <si>
    <t>Nossa Senhora Aparecida</t>
  </si>
  <si>
    <t>Dia de Reforma</t>
  </si>
  <si>
    <t>Finados</t>
  </si>
  <si>
    <t>Proclamação da República</t>
  </si>
  <si>
    <t>Natal</t>
  </si>
  <si>
    <r>
      <rPr>
        <rFont val="Source Sans Pro"/>
        <color rgb="FF666666"/>
        <sz val="10.0"/>
      </rPr>
      <t xml:space="preserve">Formulário de PD&amp;I - </t>
    </r>
    <r>
      <rPr>
        <rFont val="Source Sans Pro"/>
        <b/>
        <color rgb="FF666666"/>
        <sz val="10.0"/>
      </rPr>
      <t>Ano 2023</t>
    </r>
  </si>
  <si>
    <r>
      <rPr>
        <rFont val="Source Sans Pro"/>
        <color rgb="FF666666"/>
        <sz val="8.0"/>
      </rPr>
      <t xml:space="preserve">- preencher somente os campos sombreados (cinza) e 
- adicionar </t>
    </r>
    <r>
      <rPr>
        <rFont val="Source Sans Pro"/>
        <b/>
        <color rgb="FF666666"/>
        <sz val="8.0"/>
      </rPr>
      <t xml:space="preserve">cronograma </t>
    </r>
    <r>
      <rPr>
        <rFont val="Source Sans Pro"/>
        <color rgb="FF666666"/>
        <sz val="8.0"/>
      </rPr>
      <t>no formato de imagem ao fim do formulário
- preencher um deste para cada projeto de PD&amp;I</t>
    </r>
  </si>
  <si>
    <t>Dados gerais para identificação e validação do projeto de PD&amp;I</t>
  </si>
  <si>
    <t>Nome do projeto</t>
  </si>
  <si>
    <t>IRIS -&gt; IRIS V3</t>
  </si>
  <si>
    <t>Pesquisa básica</t>
  </si>
  <si>
    <t>📑</t>
  </si>
  <si>
    <t>Classificação do projeto</t>
  </si>
  <si>
    <t>Pesquisa aplicada</t>
  </si>
  <si>
    <t>Desenvolvimento experimental</t>
  </si>
  <si>
    <t>Objetivos do projeto</t>
  </si>
  <si>
    <t>O projeto visa reformular o software de automação para equipamentos de moagem a úmido, introduzindo novas funcionalidades e melhorias. O objetivo é revisar e aprimorar os protocolos de comissionamento, configurar dispositivos de acesso remoto, e desenvolver o IRIS V3, um novo sistema de automação. Além disso, o projeto abrange a tradução da interface para o idioma Estoniano e Italiano, a unificação do software para a plataforma Rockwell, e a implementação de funcionalidades avançadas como controle de receita, gerenciamento de falhas, análise de gráficos avançada, e testes de estresse do software.</t>
  </si>
  <si>
    <t>Inovação tecnológica de produto</t>
  </si>
  <si>
    <t>Tipo de inovação</t>
  </si>
  <si>
    <t>Inovação tecnológica de processo</t>
  </si>
  <si>
    <t>Inovação tecnológica de serviços</t>
  </si>
  <si>
    <t>Elemento inovador</t>
  </si>
  <si>
    <t>O elemento inovador deste projeto é a criação do IRIS V3, um sistema de automação avançado que traz o desenvolvimento de uma biblioteca de objetos, a refatoração de scripts para C#, e a implementação de operações por lotes com controle de receita avançado. A unificação do software para a plataforma Rockwell e a tradução da interface para diferentes idiomas representam um esforço para padronizar e globalizar o software, tornando-o mais acessível e eficiente para um público mais amplo.</t>
  </si>
  <si>
    <t xml:space="preserve">- Não podem ser consideradas as inovações organizacionais, comerciais e de marketing
</t>
  </si>
  <si>
    <t>Empresa ou segmento regional</t>
  </si>
  <si>
    <t>Nível de inovação</t>
  </si>
  <si>
    <t>Inovador para o Brasil</t>
  </si>
  <si>
    <t>Inovador para o Mundo</t>
  </si>
  <si>
    <t>Risco tecnológico</t>
  </si>
  <si>
    <t>Os riscos tecnológicos incluem desafios na integração de novas funcionalidades com o sistema existente, garantindo a compatibilidade e a estabilidade operacional. A refatoração de scripts para C# e a unificação para a plataforma Rockwell podem apresentar desafios técnicos e riscos de compatibilidade. Além disso, o desenvolvimento de um sistema de automação avançado como o IRIS V3 exige um elevado nível de precisão e confiabilidade, implicando riscos em termos de gerenciamento de falhas e análise de gráficos. A tradução precisa para idiomas estrangeiros também é um desafio, dada a necessidade de manter a clareza técnica e a usabilidade.</t>
  </si>
  <si>
    <t>Metodologias</t>
  </si>
  <si>
    <t>A metodologia do projeto segue um processo estruturado e iterativo:
Classificação de Feedbacks: Coleta e classificação de sugestões e requisitos dos clientes para entender as necessidades e expectativas.
Criação e Validação de Protótipos: Desenvolvimento de protótipos com base nos feedbacks coletados e validação destes com usuários para garantir que as novas funcionalidades atendam às expectativas e requisitos.
Desenvolvimento da Funcionalidade: Construção das funcionalidades conforme especificado, com foco na integração eficaz com o sistema existente e na aderência aos padrões de qualidade.
Validação em Ambiente de Teste: Testes rigorosos em um ambiente controlado para garantir a estabilidade, segurança e desempenho do software antes da implantação.
Liberação para Todos os Usuários: Após a validação bem-sucedida, o software atualizado é disponibilizado para todos os usuários, garantindo uma transição suave e eficaz para a nova versão.</t>
  </si>
  <si>
    <t>Equipe</t>
  </si>
  <si>
    <t>Cargo/Função</t>
  </si>
  <si>
    <t>Qualificação</t>
  </si>
  <si>
    <t>!</t>
  </si>
  <si>
    <t>Desenvolvedor</t>
  </si>
  <si>
    <t>Pós-graduação</t>
  </si>
  <si>
    <t>Supervisor de Automação</t>
  </si>
  <si>
    <t>Graduação</t>
  </si>
  <si>
    <t>Supervisor de Desenvolvimento</t>
  </si>
  <si>
    <t>Designer</t>
  </si>
  <si>
    <t>Cronograma</t>
  </si>
  <si>
    <t>[anexar imagem - preferencialmente Gantt]</t>
  </si>
  <si>
    <r>
      <rPr>
        <rFont val="Source Sans Pro"/>
        <color rgb="FF666666"/>
        <sz val="10.0"/>
      </rPr>
      <t xml:space="preserve">Formulário de PD&amp;I - </t>
    </r>
    <r>
      <rPr>
        <rFont val="Source Sans Pro"/>
        <b/>
        <color rgb="FF666666"/>
        <sz val="10.0"/>
      </rPr>
      <t>Ano 2023</t>
    </r>
  </si>
  <si>
    <r>
      <rPr>
        <rFont val="Source Sans Pro"/>
        <color rgb="FF666666"/>
        <sz val="10.0"/>
      </rPr>
      <t xml:space="preserve">Formulário de PD&amp;I - </t>
    </r>
    <r>
      <rPr>
        <rFont val="Source Sans Pro"/>
        <b/>
        <color rgb="FF666666"/>
        <sz val="10.0"/>
      </rPr>
      <t>Ano 2023</t>
    </r>
  </si>
  <si>
    <t>Um objetivo a ser concluído durante esta etapa. Podemos ter vários em cada etapa.</t>
  </si>
  <si>
    <t>Uma data estimada que atualizará após etapa concluída</t>
  </si>
  <si>
    <t>Etapas e Milestones</t>
  </si>
  <si>
    <t>Principais atividades</t>
  </si>
  <si>
    <t>Milestones</t>
  </si>
  <si>
    <t>Data inicial</t>
  </si>
  <si>
    <t>Data conclusão</t>
  </si>
  <si>
    <t>Observações do gestor</t>
  </si>
  <si>
    <t>Criação de documento de protocolo de configuração para registro de qualidade do equipamento finalizado</t>
  </si>
  <si>
    <t>Finalização da documentação revisada</t>
  </si>
  <si>
    <t>Desenvolvimento da vsualização da viscodidade, densidade e potência líquida do equipamento para análise de processo na interface de operação</t>
  </si>
  <si>
    <t>Conclusão e  validação com o cliente</t>
  </si>
  <si>
    <t>Desenvolvimento de acesso direto da configuração doi sipositivo de VPM pela interface de operação</t>
  </si>
  <si>
    <t>Finalização da etapa</t>
  </si>
  <si>
    <t>Pesquisa, documentação, requisitos e Mockups da nova versão</t>
  </si>
  <si>
    <t>Documentação do protocolo  de liberação de versão com checklist de QA</t>
  </si>
  <si>
    <t>Exportação dos textos, tradução , importação e revisão da interface para o idioma Estoniano</t>
  </si>
  <si>
    <t>Alteração de UPS com bateria para capacitor</t>
  </si>
  <si>
    <t>IRIS V3 - Desenvolvimento de bilbioteca  de objetos</t>
  </si>
  <si>
    <t>Criação de  biblioteca de objetos para agilziar o processo de desenvolvimento. Blocos para o PLC e SmarObjects para o SCADA</t>
  </si>
  <si>
    <t>Exportação dos textos, tradução , importação e revisão da interface para o idioma Italiano</t>
  </si>
  <si>
    <t>Criação de um úncio código fonte para p/ controladores Rockwell.</t>
  </si>
  <si>
    <t>Implementaçaõ de processo de moagem por passadas com cálculo de energia específica.</t>
  </si>
  <si>
    <t xml:space="preserve">Reafatoração de todas as lógicas dos scrips para a linguagem C# com intuito de melhora de performance ecompatibildiade futura. </t>
  </si>
  <si>
    <t>Utilização de controle de receita avançado na operação por lotes. Configuração, operação e  registro do histórico.</t>
  </si>
  <si>
    <t>Categorização, identificação, detalhamento e reconhecimento de falhas.</t>
  </si>
  <si>
    <t>Análise de gráficos avançada, com personalização dos pontos de  medição</t>
  </si>
  <si>
    <t>Criação de um úncio código fonte para p/ controladores Siemens</t>
  </si>
  <si>
    <t>Procedimento de testes de estresse no software em equipamentos internos e no cliente</t>
  </si>
  <si>
    <r>
      <rPr>
        <rFont val="Source Sans Pro"/>
        <color rgb="FF666666"/>
        <sz val="10.0"/>
      </rPr>
      <t xml:space="preserve">Formulário de PD&amp;I - </t>
    </r>
    <r>
      <rPr>
        <rFont val="Source Sans Pro"/>
        <b/>
        <color rgb="FF666666"/>
        <sz val="10.0"/>
      </rPr>
      <t>Ano 2023</t>
    </r>
  </si>
  <si>
    <r>
      <rPr>
        <rFont val="Source Sans Pro"/>
        <color rgb="FF666666"/>
        <sz val="10.0"/>
      </rPr>
      <t xml:space="preserve">Formulário de PD&amp;I - </t>
    </r>
    <r>
      <rPr>
        <rFont val="Source Sans Pro"/>
        <b/>
        <color rgb="FF666666"/>
        <sz val="10.0"/>
      </rPr>
      <t>Ano 2023</t>
    </r>
  </si>
  <si>
    <r>
      <rPr>
        <rFont val="Source Sans Pro"/>
        <color rgb="FF666666"/>
        <sz val="8.0"/>
      </rPr>
      <t xml:space="preserve">- preencher somente os campos sombreados (cinza) e 
- adicionar </t>
    </r>
    <r>
      <rPr>
        <rFont val="Source Sans Pro"/>
        <b/>
        <color rgb="FF666666"/>
        <sz val="8.0"/>
      </rPr>
      <t xml:space="preserve">cronograma </t>
    </r>
    <r>
      <rPr>
        <rFont val="Source Sans Pro"/>
        <color rgb="FF666666"/>
        <sz val="8.0"/>
      </rPr>
      <t>no formato de imagem ao fim do formulário
- preencher um deste para cada projeto de PD&amp;I</t>
    </r>
  </si>
  <si>
    <t>Notify - Novas funcionalidades</t>
  </si>
  <si>
    <t>O objetivo deste projeto é desenvolver novas funcionalidades para aprimorar a análise de dados em máquinas e enriquecer a experiência do usuário. As funcionalidades propostas incluem a criação de ordens de serviço, o planejamento de manutenções preventivas, a realização de testes de penetração para reforçar a cibersegurança, o gerenciamento de licenças, a duplicação de configurações de máquinas existentes, o cadastro de tarefas de manutenção preventiva, e a implementação de novas capacidades digitais na plataforma NETZSCH G&amp;D Digital Products Home. Além disso, o projeto engloba a criação de relatórios de lotes, a exportação de dados para o Excel, a adequação do Gateway para o IRIS V3 e o desenvolvimento de templates de gráficos.</t>
  </si>
  <si>
    <t>As inovações do projeto residem na integração de funcionalidades avançadas que não só aprimoram a gestão e manutenção de máquinas, mas também elevam a segurança e a eficiência dos processos. A inclusão de testes de penetração (cybersegurança) é particularmente inovadora, pois aborda a crescente preocupação com a segurança digital em sistemas automatizados. A adequação do Gateway para o IRIS V3 representa uma inovação tecnológica que alinha o software às necessidades atuais de automação e controle de processos.</t>
  </si>
  <si>
    <t>Os riscos tecnológicos incluem a integração eficaz de novas funcionalidades no sistema existente, garantindo que todas as adições funcionem harmoniosamente sem causar interrupções ou falhas. Os testes de penetração exigem um alto grau de especialização e precisão para identificar e mitigar vulnerabilidades de segurança sem comprometer a funcionalidade do sistema. A implementação de funcionalidades para exportação de dados e a criação de relatórios precisam garantir a precisão e a integridade dos dados. Além disso, a adaptação do software existente para se integrar ao IRIS V3 pode apresentar desafios de compatibilidade e estabilidade.</t>
  </si>
  <si>
    <t>Metodologia
A metodologia do projeto consiste em várias etapas estruturadas:
Classificação de Feedbacks: Inicialmente, haverá uma coleta e análise de sugestões e requisitos dos clientes para entender as necessidades do usuário e do mercado.
Criação e Validação de Protótipos: Desenvolvimento de protótipos baseados nos feedbacks coletados, seguido pela validação destes com usuários finais, garantindo que as funcionalidades propostas sejam práticas e atendam às expectativas dos usuários.
Desenvolvimento da Funcionalidade: Construção e integração das novas funcionalidades ao sistema, focando na eficiência, usabilidade e segurança.
Validação em Ambiente de Teste: Antes da implementação final, as funcionalidades serão rigorosamente testadas em um ambiente controlado para garantir que operem conforme o esperado.
Liberação para Todos os Usuários: Após a validação e refinamento bem-sucedidos, as funcionalidades serão liberadas para todos os usuários, com suporte contínuo para garantir uma transição suave e eficaz.</t>
  </si>
  <si>
    <t>Gerente de Desenvolvimento e Automação</t>
  </si>
  <si>
    <r>
      <rPr>
        <rFont val="Source Sans Pro"/>
        <color rgb="FF666666"/>
        <sz val="10.0"/>
      </rPr>
      <t xml:space="preserve">Formulário de PD&amp;I - </t>
    </r>
    <r>
      <rPr>
        <rFont val="Source Sans Pro"/>
        <b/>
        <color rgb="FF666666"/>
        <sz val="10.0"/>
      </rPr>
      <t>Ano 2023</t>
    </r>
  </si>
  <si>
    <r>
      <rPr>
        <rFont val="Source Sans Pro"/>
        <color rgb="FF666666"/>
        <sz val="10.0"/>
      </rPr>
      <t xml:space="preserve">Formulário de PD&amp;I - </t>
    </r>
    <r>
      <rPr>
        <rFont val="Source Sans Pro"/>
        <b/>
        <color rgb="FF666666"/>
        <sz val="10.0"/>
      </rPr>
      <t>Ano 2023</t>
    </r>
  </si>
  <si>
    <t>Criação de cadastro e visualização de ordens de serviço das manutenções preventivas</t>
  </si>
  <si>
    <t>Lançamento da funcionalidade</t>
  </si>
  <si>
    <t>Planejamento a acompanhamento da realização das manutenções preventivas</t>
  </si>
  <si>
    <t>Realização de testes de penetração de cybersegurança e correção de eventuais vulnerabilidades</t>
  </si>
  <si>
    <t>Teste de penetração realizado e vulnerabilidades corrigidas</t>
  </si>
  <si>
    <t>Gerenciar as licenças compradas pelos cliente</t>
  </si>
  <si>
    <t>Duplicar a configuração de máquinas existentes</t>
  </si>
  <si>
    <t>Cadastro das tarefas de manutenção preventiva</t>
  </si>
  <si>
    <t>Portal para acesso de todos os produtos digitais da NETZSCH G&amp;D</t>
  </si>
  <si>
    <t>Relatório dos lotes produzidos pelas máquinas NETZSCH</t>
  </si>
  <si>
    <t>Documentação para apresentação ao Board</t>
  </si>
  <si>
    <t>Exportar dados do Notify para aquivo de format Microsoft Excel</t>
  </si>
  <si>
    <t>Gateway para envio dos dados de máquina para os servidores do Notify</t>
  </si>
  <si>
    <t>Modelo de gráfico para comparação de sensores</t>
  </si>
  <si>
    <r>
      <rPr>
        <rFont val="Source Sans Pro"/>
        <color rgb="FF666666"/>
        <sz val="10.0"/>
      </rPr>
      <t xml:space="preserve">Formulário de PD&amp;I - </t>
    </r>
    <r>
      <rPr>
        <rFont val="Source Sans Pro"/>
        <b/>
        <color rgb="FF666666"/>
        <sz val="10.0"/>
      </rPr>
      <t>Ano 2023</t>
    </r>
  </si>
  <si>
    <r>
      <rPr>
        <rFont val="Source Sans Pro"/>
        <color rgb="FF666666"/>
        <sz val="10.0"/>
      </rPr>
      <t xml:space="preserve">Formulário de PD&amp;I - </t>
    </r>
    <r>
      <rPr>
        <rFont val="Source Sans Pro"/>
        <b/>
        <color rgb="FF666666"/>
        <sz val="10.0"/>
      </rPr>
      <t>Ano 2023</t>
    </r>
  </si>
  <si>
    <r>
      <rPr>
        <rFont val="Source Sans Pro"/>
        <color rgb="FF666666"/>
        <sz val="8.0"/>
      </rPr>
      <t xml:space="preserve">- preencher somente os campos sombreados (cinza) e 
- adicionar </t>
    </r>
    <r>
      <rPr>
        <rFont val="Source Sans Pro"/>
        <b/>
        <color rgb="FF666666"/>
        <sz val="8.0"/>
      </rPr>
      <t xml:space="preserve">cronograma </t>
    </r>
    <r>
      <rPr>
        <rFont val="Source Sans Pro"/>
        <color rgb="FF666666"/>
        <sz val="8.0"/>
      </rPr>
      <t>no formato de imagem ao fim do formulário
- preencher um deste para cada projeto de PD&amp;I</t>
    </r>
  </si>
  <si>
    <t>ChocoFlow</t>
  </si>
  <si>
    <t>Projeto 1 - Otimização da viscosidade do chocolate ao leite</t>
  </si>
  <si>
    <t>O objetivo deste projeto é otimizar o processo de fabricação de chocolate ao leite europeu, desenvolvido pela Netzsch, com foco na redução da viscosidade e do ponto de fluidez do chocolate, sem a necessidade de adicionar PGPR (um emulsificante comum na indústria de chocolates). O projeto visa atingir especificações técnicas precisas: uma viscosidade máxima de 2,3 Pas, um ponto de fluidez entre 10 a 20 Pa e uma granulometria de 18 a 22 µm. Isso será alcançado através da implementação de um processo inovador de cristalização da lactose antes da etapa de conchagem a seco, o que permite a liberação da gordura do leite e a redução da quantidade de manteiga de cacau utilizada, um ingrediente de alto custo.</t>
  </si>
  <si>
    <t>O elemento inovador deste projeto é a aplicação de um processo único de cristalização da lactose antes da conchagem a seco. Este processo libera a gordura do leite, permitindo a redução do uso de manteiga de cacau sem comprometer a qualidade do produto. Adicionalmente, a inclusão da máquina Netzsch MasterCream Inline com ferramentas lisas após a moagem é uma abordagem inovadora para diminuir a viscosidade do chocolate, mantendo um ponto de fluidez adequado. A retenção e adição subsequente de manteiga do processo após a moagem é outra inovação técnica que visa melhorar a reologia do chocolate ao leite.</t>
  </si>
  <si>
    <t>Os riscos tecnológicos envolvem a incerteza na obtenção dos resultados desejados de viscosidade, ponto de fluidez e granulometria, dadas as variáveis controladas no processo de fabricação. A cristalização da lactose, um processo delicado, deve ser otimizada para garantir a liberação eficaz da gordura do leite sem afetar negativamente o sabor característico do chocolate europeu. Além disso, a eficácia da máquina Netzsch MasterCream Inline em reduzir a viscosidade sem aumentar significativamente o ponto de fluidez representa um desafio técnico. Há também o risco de variações na retenção e adição de manteiga impactarem adversamente a textura e a qualidade final do chocolate.</t>
  </si>
  <si>
    <t>Inicialmente, serão realizados testes de fabricação de massa de chocolate ao leite para coletar dados de reologia, umidade, granulometria e capacidade do processo. Com base nesses dados, parâmetros como potência, tamanho e quantidade de esferas, emulsificantes, tamanho do dente da ferramenta de pré-moagem, temperatura, tempo de conchagem/cristalização da lactose, quantidade de água e quantidade de manteiga retida serão ajustados. Após cada teste, os parâmetros serão refinados para o teste subsequente, e os dados coletados novamente. Uma vez obtido um resultado efetivo, o teste será repetido para garantir a consistência, e os parâmetros finais serão transferidos para a NFT (Netzsch Feinmahltechnik) na Alemanha para implementação em escala maior.</t>
  </si>
  <si>
    <t xml:space="preserve">Consultor </t>
  </si>
  <si>
    <t>[anexar imagem - preferencialmente Gantt em pdf]</t>
  </si>
  <si>
    <t>Formulário de PD&amp;I - Ano 2023</t>
  </si>
  <si>
    <t>Viscosidade de 2 a 3,5Pas e ponto de fluidez de 10 a 20 Pa esperado</t>
  </si>
  <si>
    <t>Realizar cristalização da lactose antes da conchagem a seco</t>
  </si>
  <si>
    <t>Realizar a fabricação do chocolate ao leite no laboratorio de food da NEM</t>
  </si>
  <si>
    <t>Coletar dados do processo, verificar os resultados e ajustar os parametros para teste seguinte</t>
  </si>
  <si>
    <t>Teste 9 selecionado</t>
  </si>
  <si>
    <t>Adaptação para produto do mercado da NEM</t>
  </si>
  <si>
    <t>Replicar teste 9, receita similar mas sem lactose, utilizar PGPR, granulometria mais alta</t>
  </si>
  <si>
    <t>Produzir um produto que atenda o mercado do Brasil e America latina</t>
  </si>
  <si>
    <r>
      <rPr>
        <rFont val="Source Sans Pro"/>
        <color rgb="FF666666"/>
        <sz val="10.0"/>
      </rPr>
      <t xml:space="preserve">Formulário de PD&amp;I - </t>
    </r>
    <r>
      <rPr>
        <rFont val="Source Sans Pro"/>
        <b/>
        <color rgb="FF666666"/>
        <sz val="10.0"/>
      </rPr>
      <t>Ano 2023</t>
    </r>
  </si>
  <si>
    <t>Theron Wolfgang Harbs / Jivago Rusch</t>
  </si>
  <si>
    <r>
      <rPr>
        <rFont val="Source Sans Pro"/>
        <color rgb="FF666666"/>
        <sz val="10.0"/>
      </rPr>
      <t xml:space="preserve">Formulário de PD&amp;I - </t>
    </r>
    <r>
      <rPr>
        <rFont val="Source Sans Pro"/>
        <b/>
        <color rgb="FF666666"/>
        <sz val="10.0"/>
      </rPr>
      <t>Ano 2023</t>
    </r>
  </si>
  <si>
    <r>
      <rPr>
        <rFont val="Source Sans Pro"/>
        <color rgb="FF666666"/>
        <sz val="8.0"/>
      </rPr>
      <t xml:space="preserve">- preencher somente os campos sombreados (cinza) e 
- adicionar </t>
    </r>
    <r>
      <rPr>
        <rFont val="Source Sans Pro"/>
        <b/>
        <color rgb="FF666666"/>
        <sz val="8.0"/>
      </rPr>
      <t xml:space="preserve">cronograma </t>
    </r>
    <r>
      <rPr>
        <rFont val="Source Sans Pro"/>
        <color rgb="FF666666"/>
        <sz val="8.0"/>
      </rPr>
      <t>no formato de imagem ao fim do formulário
- preencher um deste para cada projeto de PD&amp;I</t>
    </r>
  </si>
  <si>
    <t>MasterCream Maximizer</t>
  </si>
  <si>
    <t>Projeto 2 - Expansão das Aplicações do Equipamento MasterCream</t>
  </si>
  <si>
    <t>O projeto visa desenvolver novos tamanhos e geometrias de dentes/estator para moagem eficaz de suspensões e granulados, com foco em produtos finais de diversas consistências. As melhorias incluem a otimização do funil/tubo de alimentação e do eixo helicoidal, inspiradas no modelo Mini MasterCream para produtos de difícil alimentação. O desenvolvimento de facas de pré-corte, como aplicado na Lübecker para o MasterCream 20, é projetado especificamente para produtos como amêndoas com umidade de até 4%. Além disso, o projeto contempla o desenvolvimento de um estator cônico de altura ajustável para produtos em pedaços grandes e a melhoria da construção do equipamento para facilitar a limpeza e a higienização, possivelmente com um sistema CIP integrado. Em conjunto, será desenvolvida uma ferramenta com rotor/estator liso para reduzir a viscosidade após a moagem. Este projeto também inclui a limpeza do sistema de moagem e seus periféricos, visando alcançar um grau de limpeza que permita a troca de produtos entre lotes, como a mudança de chocolate meio amargo para branco ou de produtos não veganos para veganos.</t>
  </si>
  <si>
    <t>A inovação do projeto reside na combinação de várias melhorias técnicas que visam aumentar a eficiência e a versatilidade do processo de moagem. A introdução de dentes maiores e a possibilidade de ajustar a distância entre o rotor cônico e o estator, sem alterar a posição relativa dos anéis estáticos, são avanços significativos que permitem o processamento de uma gama mais ampla de produtos. O desenvolvimento de um design higiênico com materiais resistentes à corrosão e vedações melhora a limpeza e a manutenção do equipamento. A inclusão de uma ferramenta de pré-corte para produtos mais duros e a implementação de um rotor/estator liso para melhorar a viscosidade pós-moagem são outras inovações que otimizam o processo.</t>
  </si>
  <si>
    <t>Integração de Componentes Mecânicos: A introdução de novos tamanhos e geometrias de dentes/estatores e a adaptação de um estator cônico ajustável apresentam desafios mecânicos significativos. Há o risco de incompatibilidade estrutural com os sistemas existentes, o que pode levar a problemas de alinhamento, desgaste irregular, e ineficiência na moagem. A precisão na fabricação destes componentes é crucial para assegurar a integridade estrutural e o funcionamento adequado do equipamento.
Eficiência do Pré-corte e Moagem: O desenvolvimento de facas de pré-corte para produtos duros como amêndoas com umidade de até 4% requer um design que maximize a eficácia do corte sem causar obstruções ou danificar o material. O desafio reside na criação de um mecanismo de corte que possa lidar eficientemente com a variação na dureza e tamanho dos grãos, mantendo uma operação consistente e minimizando o desgaste excessivo.
Manutenção da Higiene e Limpeza: A melhoria do design para facilitar a limpeza e permitir a implementação de um sistema CIP (Clean-In-Place) implica riscos relacionados à manutenção da higiene. É necessário garantir que todas as superfícies sejam acessíveis e fáceis de limpar, evitando áreas onde resíduos de produtos possam se acumular. O material usado no equipamento deve resistir a procedimentos de limpeza frequentes e rigorosos sem corroer ou deteriorar.
Desenvolvimento do Rotor/Estator Liso: A inovação de um rotor/estator liso para reduzir a viscosidade após a moagem exige um design que equilibre eficácia na redução da viscosidade com o mínimo impacto no tamanho e na forma das partículas. O desafio técnico aqui é criar um sistema que possa processar uma variedade de produtos mantendo a qualidade e a consistência desejadas.
Adaptação para Diversos Produtos e Lotes: O sistema precisa ser versátil o suficiente para se adaptar a diferentes tipos de produtos e permitir mudanças rápidas entre lotes, como na transição de chocolate meio amargo para chocolate branco. Isso exige um design que possa acomodar variações na textura, viscosidade e outros atributos físicos dos produtos sem comprometer a eficiência da moagem ou a qualidade do produto final.
Validação de Materiais e Revestimentos Resistentes ao Desgaste: A escolha de materiais e revestimentos que sejam duráveis e resistentes ao desgaste é crucial, especialmente considerando a diversidade dos produtos processados e as condições operacionais. A seleção inadequada pode resultar em falhas prematuras do equipamento, aumentando os custos de manutenção e tempo de inatividade.</t>
  </si>
  <si>
    <t>A metodologia do projeto é estruturada em várias etapas:
Desenvolvimento de Novos Componentes: Desenho e fabricação de novos tamanhos de dentes e estatores, assim como a implementação de facas de pré-corte e ajustes no estator cônico.
Testes e Avaliações: Realização de testes para avaliar a eficácia do esvaziamento do produto moído, a melhoria na alimentação do funil e a eficiência do novo design resistente ao desgaste.
Análise de Resultados: Coleta e análise dos dados de desempenho, incluindo vazão, potência, rotação e tamanho de partícula, para otimizar os componentes e o processo.
Desenvolvimento de um Banco de Dados: Criação de um banco de dados MasterCream com informações detalhadas sobre os diferentes aspectos do processo de moagem.
Aprimoramento do Design Higiênico: Verificação e melhoria do design higiênico do equipamento, incluindo materiais e vedações, para facilitar a limpeza e manutenção.
Implementação e Teste de Rotor/Estator Liso: Desenvolvimento e teste de um rotor/estator liso para verificar a melhoria na viscosidade após o moinho.
Validação em Ambiente Real: Aplicação e teste das melhorias em um ambiente de produção real para garantir a eficácia e a aplicabilidade prática das inovações.</t>
  </si>
  <si>
    <t>Desenvolver ferramentas com dentes de 5mm para pastas com granulados; desenvolver ferramentas com materiais resistentes ao desgaste;  redução da area de moagem do MCIL40, redução da capacidade de bombeamento do MCIL40</t>
  </si>
  <si>
    <t xml:space="preserve">Produzir pastas com granulados de amendoim, alho, pimenta etc. Testar ferramentas de WC ZrO2 com açai e mostarda </t>
  </si>
  <si>
    <t>Desenvolver novo rotor de moagem, acionamento com mais potencia, dispositivo para diferentes tamanhos de entrada de produto, tubo de imersão, valvula para limitação da area de descarga</t>
  </si>
  <si>
    <t>Possibilitar a operação continua com o funil afogado</t>
  </si>
  <si>
    <t>Facas de pré-corte</t>
  </si>
  <si>
    <t>Desenvolver facas de pré-corte na entrada do MasterCream</t>
  </si>
  <si>
    <t>Cortar o produto com alto teor de umidade e possibilitar que o rotor superior faça a pré quebra</t>
  </si>
  <si>
    <t>Altura ajustavel do estator conico</t>
  </si>
  <si>
    <t>Desenvolver dispositivo para ajuste da altura do estator conico</t>
  </si>
  <si>
    <t>Testar dispositivo com produtos dificies de moer</t>
  </si>
  <si>
    <t>Eixo helicoidal para alimentação</t>
  </si>
  <si>
    <t>Desenvolver eixo helicoidal similar ao do MC-MINI para  MC10, 20, 40</t>
  </si>
  <si>
    <t>Otimizar alimentação vertical</t>
  </si>
  <si>
    <t>Adequação conforme design higienico</t>
  </si>
  <si>
    <t>Desenvolver carcaça, conexão de entrada, conexão de  saída, funil, vedações e ferramentas conforme design higienico</t>
  </si>
  <si>
    <t>Diminuir a quantidade de acumolo residual</t>
  </si>
  <si>
    <t>Desenvolver planilha de scale up para os diferentes tamanhos de maquina para comparar os dados de processo</t>
  </si>
  <si>
    <t>Coletar os dados de processo do MCIL40 que está operando em cliene</t>
  </si>
  <si>
    <t>Desenvolver ferramentas para MasterCream lisas</t>
  </si>
  <si>
    <t>Montar após o moinho e testar para verificar possivel redução da viscosidade</t>
  </si>
  <si>
    <r>
      <rPr>
        <rFont val="Source Sans Pro"/>
        <color rgb="FF666666"/>
        <sz val="10.0"/>
      </rPr>
      <t xml:space="preserve">Formulário de PD&amp;I - </t>
    </r>
    <r>
      <rPr>
        <rFont val="Source Sans Pro"/>
        <b/>
        <color rgb="FF666666"/>
        <sz val="10.0"/>
      </rPr>
      <t>Ano 2023</t>
    </r>
  </si>
  <si>
    <r>
      <rPr>
        <rFont val="Architects Daughter"/>
        <i/>
        <color rgb="FF666666"/>
        <sz val="7.0"/>
      </rPr>
      <t xml:space="preserve">Valores lançados no FORMS como </t>
    </r>
    <r>
      <rPr>
        <rFont val="Architects Daughter"/>
        <i/>
        <color rgb="FF666666"/>
        <sz val="7.0"/>
        <u/>
      </rPr>
      <t>Material de Uso e consumo</t>
    </r>
  </si>
  <si>
    <r>
      <rPr>
        <rFont val="Source Sans Pro"/>
        <color rgb="FF666666"/>
        <sz val="10.0"/>
      </rPr>
      <t xml:space="preserve">Formulário de PD&amp;I - </t>
    </r>
    <r>
      <rPr>
        <rFont val="Source Sans Pro"/>
        <b/>
        <color rgb="FF666666"/>
        <sz val="10.0"/>
      </rPr>
      <t>Ano 2023</t>
    </r>
  </si>
  <si>
    <r>
      <rPr>
        <rFont val="Source Sans Pro"/>
        <color rgb="FF666666"/>
        <sz val="8.0"/>
      </rPr>
      <t xml:space="preserve">- preencher somente os campos sombreados (cinza) e 
- adicionar </t>
    </r>
    <r>
      <rPr>
        <rFont val="Source Sans Pro"/>
        <b/>
        <color rgb="FF666666"/>
        <sz val="8.0"/>
      </rPr>
      <t xml:space="preserve">cronograma </t>
    </r>
    <r>
      <rPr>
        <rFont val="Source Sans Pro"/>
        <color rgb="FF666666"/>
        <sz val="8.0"/>
      </rPr>
      <t>no formato de imagem ao fim do formulário
- preencher um deste para cada projeto de PD&amp;I</t>
    </r>
  </si>
  <si>
    <t>CleanTech</t>
  </si>
  <si>
    <t>Projeto 3 - Desenvolvimento de Processo de Limpeza CIP e SIP para linhas Food</t>
  </si>
  <si>
    <t>O projeto tem como objetivo aprimorar a limpeza e a higiene nos sistemas de moagem e conchagem da NETZSCH, utilizados na produção de confeitaria, incluindo Conch, Mixer e Bead Mill. O foco está em desenvolver um sistema de limpeza CIP (Clean-In-Place) à base de óleo, eficiente e rápido, que minimize o consumo de meios de limpeza e atenda às diretrizes de projeto higiênico (HD). O projeto visa também validar e implementar o conceito de HD em toda a linha de produção, otimizando componentes como cabeçotes de limpeza e garantindo a conformidade com as diretrizes da EHEDG, HACCP e GMP. O objetivo é alcançar um grau de limpeza que permita a troca de produtos entre lotes, facilitando a transição entre diferentes tipos de chocolates ou entre produtos veganos e não veganos.</t>
  </si>
  <si>
    <t>A inovação deste projeto reside na aplicação e otimização de um sistema CIP à base de óleo em máquinas de produção de confeitaria. O desafio inovador é integrar um design higiênico que permita uma limpeza eficiente e rápida, reduzindo o tempo de inatividade e o consumo de recursos. A otimização dos cabeçotes de limpeza para evitar a acumulação de resíduos e a validação do conceito de HD para equipamentos como o Bead Mill MasterRefiner representam avanços significativos na manutenção da higiene e na eficiência operacional.</t>
  </si>
  <si>
    <t>Desenvolvimento do Sistema CIP: A integração de um sistema CIP eficiente em máquinas existentes, apresenta desafios de engenharia, exigindo ajustes precisos para garantir uma limpeza eficaz sem danificar os componentes da máquina.
Otimização de Cabeçotes de Limpeza: O redesign dos cabeçotes de limpeza para evitar a acumulação de resíduos e garantir uma limpeza completa é complexo, pois requer um equilíbrio entre eficácia de limpeza, facilidade de manutenção e impacto mínimo no processo de produção.
Validação do Conceito de HD: A adaptação e validação do conceito de HD em diferentes equipamentos, respeitando as diretrizes da EHEDG, HACCP e GMP, envolve riscos associados à compatibilidade de materiais, eficácia de limpeza e conformidade com as normas.
Análises Microbiológicas: Realizar análises microbiológicas para determinar o grau de limpeza alcançado implica em desafios técnicos para assegurar que os métodos de teste sejam confiáveis e representativos das condições reais de operação.
Desenvolvimento de Especificações de Limpeza: Definir especificações precisas de limpeza para diferentes aplicações e produtos, como a troca de chocolate ao leite por chocolate branco ou de produtos não veganos para veganos, requer um entendimento profundo dos requisitos de limpeza para cada tipo de produto.</t>
  </si>
  <si>
    <t>Especificação do Sistema CIP: Definição preliminar das etapas do sistema CIP, incluindo a configuração de um sistema CIP preliminar no MAC300 para testes.
Testes e Coleta de Dados: Realização de testes nos cabeçotes de limpeza e coleta de dados como vazão, temperatura, pressão e tempo para avaliar a eficiência e identificar áreas críticas de resíduos na concha.
Melhoria do Design de Equipamentos: Revisão e aprimoramento da construção de equipamentos, tubulações, válvulas e conexões, seguindo as diretrizes de projeto higiênico.
Análises Microbiológicas: Trabalho conjunto com engenheiros de alimentos para realizar análises microbiológicas e determinar o grau de limpeza alcançado.
Especificação do Grau de Limpeza: Definição de critérios de limpeza aceitáveis conforme normas para cada tipo de aplicação.
Desenvolvimento do Sistema Definitivo: Criação do projeto final do sistema CIP, descrevendo as etapas para cada aplicação e o projeto de automação associado.</t>
  </si>
  <si>
    <t>Desenvolver peças para adequar o MR30 do laboratorio conforme design higienico</t>
  </si>
  <si>
    <t>Realizar teste de limpeza</t>
  </si>
  <si>
    <t>Desenvolver fluxo de limpeza para Rumba/Salsa 300</t>
  </si>
  <si>
    <t>Testar cabeçotes Hydroclaw</t>
  </si>
  <si>
    <t>Sistema de esvaziamento com ar comprimido</t>
  </si>
  <si>
    <t>Desenvolver sistema de pressurização para Moinho, tubulação e sistema de pre moagem</t>
  </si>
  <si>
    <t>Testar esvaziamento no moinho</t>
  </si>
  <si>
    <t>Sistema de secagem com ar quente</t>
  </si>
  <si>
    <t>Adequar sistema de ar quente existente na concha para secagem do sistema completo</t>
  </si>
  <si>
    <t>Testar secagem do sistema</t>
  </si>
  <si>
    <t>Sistema de secagem com vácuo</t>
  </si>
  <si>
    <t>Adequar sistema de vacuo existente no lab para secagem do sistema completo</t>
  </si>
  <si>
    <t>Testar secagem com vacuo no sistema</t>
  </si>
  <si>
    <t>Adequação do laboratorio Rumba 300 para CIP/Design higienico</t>
  </si>
  <si>
    <t>Projetar tanques de processo, tubulação, bombas e valvulas conforme design higienico</t>
  </si>
  <si>
    <t>Realizar teste de CIP completo</t>
  </si>
  <si>
    <t>Classificar grau de limpeza requerido para troca de produto</t>
  </si>
  <si>
    <r>
      <rPr>
        <rFont val="Source Sans Pro"/>
        <color rgb="FF666666"/>
        <sz val="10.0"/>
      </rPr>
      <t xml:space="preserve">Formulário de PD&amp;I - </t>
    </r>
    <r>
      <rPr>
        <rFont val="Source Sans Pro"/>
        <b/>
        <color rgb="FF666666"/>
        <sz val="10.0"/>
      </rPr>
      <t>Ano 2023</t>
    </r>
  </si>
  <si>
    <t>Jivago Rusch / Theron Wolfgang Harbs</t>
  </si>
  <si>
    <t>Jivago Rusch / Theron Wolfgang Harbs / Fernando Leal</t>
  </si>
  <si>
    <t>Gabriel Alvez Ferraz</t>
  </si>
  <si>
    <t>Gabriel Ferraz</t>
  </si>
  <si>
    <t>Paulo Odwazny</t>
  </si>
  <si>
    <t>Lucca Sardá Tonin Matos</t>
  </si>
  <si>
    <t>Empregados</t>
  </si>
  <si>
    <t>Cont. Inviduais</t>
  </si>
  <si>
    <t>INSS empresa</t>
  </si>
  <si>
    <t>% Patronal</t>
  </si>
  <si>
    <t>% Patronal efetivo</t>
  </si>
  <si>
    <t>Faturamento 2,5%</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</si>
</sst>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d&quot;, &quot;mmmm&quot; de &quot;yyyy"/>
    <numFmt numFmtId="165" formatCode="#,##0.00;(#,##0.00)"/>
    <numFmt numFmtId="166" formatCode="_-* #,##0.00_-;\-* #,##0.00_-;_-* &quot;-&quot;??_-;_-@"/>
    <numFmt numFmtId="167" formatCode="dd/MM/yyyy"/>
    <numFmt numFmtId="168" formatCode="0.0000%"/>
    <numFmt numFmtId="169" formatCode="dd/mm/yyyy"/>
    <numFmt numFmtId="170" formatCode="d/m/yyyy"/>
  </numFmts>
  <fonts count="53">
    <font>
      <sz val="10.0"/>
      <color rgb="FF000000"/>
      <name val="Arial"/>
      <scheme val="minor"/>
    </font>
    <font>
      <b/>
      <sz val="10.0"/>
      <color rgb="FF000000"/>
      <name val="Cairo"/>
    </font>
    <font>
      <sz val="10.0"/>
      <color rgb="FF000000"/>
      <name val="Cairo"/>
    </font>
    <font>
      <sz val="20.0"/>
      <color rgb="FF000000"/>
      <name val="Cairo"/>
    </font>
    <font>
      <sz val="11.0"/>
      <color rgb="FF000000"/>
      <name val="Cairo"/>
    </font>
    <font>
      <b/>
      <sz val="11.0"/>
      <color rgb="FF000000"/>
      <name val="Cairo"/>
    </font>
    <font>
      <sz val="8.0"/>
      <color rgb="FF000000"/>
      <name val="Cairo"/>
    </font>
    <font>
      <i/>
      <sz val="10.0"/>
      <color rgb="FF000000"/>
      <name val="Cairo"/>
    </font>
    <font>
      <b/>
      <sz val="10.0"/>
      <color rgb="FFFFFFFF"/>
      <name val="Cairo"/>
    </font>
    <font>
      <color theme="1"/>
      <name val="Arial"/>
    </font>
    <font>
      <b/>
      <color rgb="FF000000"/>
      <name val="&quot;Source Sans Pro&quot;"/>
    </font>
    <font>
      <color rgb="FF000000"/>
      <name val="&quot;Source Sans Pro&quot;"/>
    </font>
    <font>
      <i/>
      <color rgb="FF000000"/>
      <name val="&quot;Source Sans Pro&quot;"/>
    </font>
    <font>
      <color theme="1"/>
      <name val="Cairo"/>
    </font>
    <font>
      <b/>
      <sz val="12.0"/>
      <color rgb="FF000000"/>
      <name val="Cairo"/>
    </font>
    <font>
      <color rgb="FF666666"/>
      <name val="Source Sans Pro"/>
    </font>
    <font>
      <sz val="8.0"/>
      <color rgb="FF666666"/>
      <name val="Source Sans Pro"/>
    </font>
    <font>
      <b/>
      <sz val="12.0"/>
      <color rgb="FF666666"/>
      <name val="Source Sans Pro"/>
    </font>
    <font>
      <sz val="10.0"/>
      <color rgb="FF666666"/>
      <name val="Source Sans Pro"/>
    </font>
    <font>
      <b/>
      <sz val="10.0"/>
      <color rgb="FF999999"/>
      <name val="Source Sans Pro"/>
    </font>
    <font>
      <b/>
      <sz val="10.0"/>
      <color rgb="FF666666"/>
      <name val="Source Sans Pro"/>
    </font>
    <font>
      <b/>
      <sz val="8.0"/>
      <color rgb="FF666666"/>
      <name val="Source Sans Pro"/>
    </font>
    <font>
      <i/>
      <sz val="8.0"/>
      <color theme="1"/>
      <name val="Source Sans Pro"/>
    </font>
    <font>
      <i/>
      <color rgb="FF666666"/>
      <name val="Source Sans Pro"/>
    </font>
    <font>
      <sz val="8.0"/>
      <color theme="1"/>
      <name val="Source Sans Pro"/>
    </font>
    <font>
      <color theme="1"/>
      <name val="Arial"/>
      <scheme val="minor"/>
    </font>
    <font>
      <color theme="1"/>
      <name val="Source Sans Pro"/>
    </font>
    <font>
      <b/>
      <i/>
      <sz val="8.0"/>
      <color rgb="FF000000"/>
      <name val="Source Sans Pro"/>
    </font>
    <font>
      <b/>
      <i/>
      <color rgb="FF000000"/>
      <name val="Source Sans Pro"/>
    </font>
    <font>
      <b/>
      <color theme="1"/>
      <name val="Source Sans Pro"/>
    </font>
    <font>
      <i/>
      <sz val="8.0"/>
      <color rgb="FF666666"/>
      <name val="Source Sans Pro"/>
    </font>
    <font>
      <b/>
      <i/>
      <sz val="8.0"/>
      <color theme="1"/>
      <name val="Source Sans Pro"/>
    </font>
    <font>
      <sz val="9.0"/>
      <color rgb="FF666666"/>
      <name val="Source Sans Pro"/>
    </font>
    <font>
      <b/>
      <color rgb="FF666666"/>
      <name val="Source Sans Pro"/>
    </font>
    <font>
      <b/>
      <color rgb="FFFF0000"/>
      <name val="Source Sans Pro"/>
    </font>
    <font>
      <b/>
      <sz val="9.0"/>
      <color rgb="FF666666"/>
      <name val="Source Sans Pro"/>
    </font>
    <font>
      <i/>
      <sz val="10.0"/>
      <color rgb="FF666666"/>
      <name val="Source Sans Pro"/>
    </font>
    <font>
      <sz val="8.0"/>
      <color rgb="FF666666"/>
      <name val="&quot;Segoe UI Emoji&quot;"/>
    </font>
    <font>
      <i/>
      <color rgb="FF666666"/>
      <name val="&quot;Source Sans Pro&quot;"/>
    </font>
    <font>
      <color rgb="FF666666"/>
      <name val="Arial"/>
      <scheme val="minor"/>
    </font>
    <font>
      <sz val="8.0"/>
      <color rgb="FF666666"/>
      <name val="Arial"/>
      <scheme val="minor"/>
    </font>
    <font>
      <sz val="7.0"/>
      <color rgb="FF666666"/>
      <name val="Source Sans Pro"/>
    </font>
    <font/>
    <font>
      <sz val="8.0"/>
      <color rgb="FF666666"/>
      <name val="&quot;Source Sans Pro&quot;"/>
    </font>
    <font>
      <b/>
      <i/>
      <color rgb="FF666666"/>
      <name val="Source Sans Pro"/>
    </font>
    <font>
      <sz val="10.0"/>
      <color rgb="FF666666"/>
      <name val="&quot;Source Sans Pro&quot;"/>
    </font>
    <font>
      <sz val="8.0"/>
      <color rgb="FF666666"/>
      <name val="&quot;docs-Source Sans Pro&quot;"/>
    </font>
    <font>
      <b/>
      <i/>
      <sz val="8.0"/>
      <color rgb="FF666666"/>
      <name val="Source Sans Pro"/>
    </font>
    <font>
      <sz val="7.0"/>
      <color rgb="FF666666"/>
      <name val="Architects Daughter"/>
    </font>
    <font>
      <b/>
      <i/>
      <sz val="9.0"/>
      <color rgb="FF666666"/>
      <name val="Source Sans Pro"/>
    </font>
    <font>
      <b/>
      <color theme="1"/>
      <name val="Arial"/>
      <scheme val="minor"/>
    </font>
    <font>
      <color theme="1"/>
      <name val="&quot;Fira Sans&quot;"/>
    </font>
    <font>
      <i/>
      <sz val="11.0"/>
      <color rgb="FF3C4043"/>
      <name val="Roboto"/>
    </font>
  </fonts>
  <fills count="10">
    <fill>
      <patternFill patternType="none"/>
    </fill>
    <fill>
      <patternFill patternType="lightGray"/>
    </fill>
    <fill>
      <patternFill patternType="solid">
        <fgColor rgb="FF496C60"/>
        <bgColor rgb="FF496C60"/>
      </patternFill>
    </fill>
    <fill>
      <patternFill patternType="solid">
        <fgColor rgb="FF8B8D8E"/>
        <bgColor rgb="FF8B8D8E"/>
      </patternFill>
    </fill>
    <fill>
      <patternFill patternType="solid">
        <fgColor rgb="FFEFEFEF"/>
        <bgColor rgb="FFEFEFEF"/>
      </patternFill>
    </fill>
    <fill>
      <patternFill patternType="solid">
        <fgColor rgb="FFF3F3F3"/>
        <bgColor rgb="FFF3F3F3"/>
      </patternFill>
    </fill>
    <fill>
      <patternFill patternType="solid">
        <fgColor rgb="FFCCCCCC"/>
        <bgColor rgb="FFCCCCCC"/>
      </patternFill>
    </fill>
    <fill>
      <patternFill patternType="solid">
        <fgColor rgb="FFFCE5CD"/>
        <bgColor rgb="FFFCE5CD"/>
      </patternFill>
    </fill>
    <fill>
      <patternFill patternType="solid">
        <fgColor rgb="FFFFFFFF"/>
        <bgColor rgb="FFFFFFFF"/>
      </patternFill>
    </fill>
    <fill>
      <patternFill patternType="solid">
        <fgColor rgb="FFFFF2CC"/>
        <bgColor rgb="FFFFF2CC"/>
      </patternFill>
    </fill>
  </fills>
  <borders count="21">
    <border/>
    <border>
      <top style="dotted">
        <color rgb="FF8B8D8E"/>
      </top>
    </border>
    <border>
      <bottom style="dotted">
        <color rgb="FF8B8D8E"/>
      </bottom>
    </border>
    <border>
      <bottom style="thin">
        <color rgb="FF434343"/>
      </bottom>
    </border>
    <border>
      <left/>
      <right/>
      <top style="thin">
        <color rgb="FF000000"/>
      </top>
      <bottom style="thin">
        <color rgb="FF000000"/>
      </bottom>
    </border>
    <border>
      <top style="thin">
        <color rgb="FF666666"/>
      </top>
      <bottom style="thin">
        <color rgb="FF666666"/>
      </bottom>
    </border>
    <border>
      <left style="thin">
        <color rgb="FF666666"/>
      </left>
    </border>
    <border>
      <left style="hair">
        <color rgb="FF000000"/>
      </left>
    </border>
    <border>
      <bottom style="hair">
        <color rgb="FF999999"/>
      </bottom>
    </border>
    <border>
      <bottom style="double">
        <color rgb="FF999999"/>
      </bottom>
    </border>
    <border>
      <left style="thin">
        <color rgb="FF999999"/>
      </left>
    </border>
    <border>
      <left style="dotted">
        <color rgb="FF000000"/>
      </left>
      <top style="dotted">
        <color rgb="FF000000"/>
      </top>
      <bottom style="dotted">
        <color rgb="FF000000"/>
      </bottom>
    </border>
    <border>
      <left style="dotted">
        <color rgb="FF000000"/>
      </left>
      <right style="dotted">
        <color rgb="FF000000"/>
      </right>
      <top style="dotted">
        <color rgb="FF000000"/>
      </top>
      <bottom style="dotted">
        <color rgb="FF000000"/>
      </bottom>
    </border>
    <border>
      <right style="dotted">
        <color rgb="FF000000"/>
      </right>
      <top style="dotted">
        <color rgb="FF000000"/>
      </top>
      <bottom style="dotted">
        <color rgb="FF000000"/>
      </bottom>
    </border>
    <border>
      <right style="dotted">
        <color rgb="FF000000"/>
      </right>
      <top style="dotted">
        <color rgb="FF000000"/>
      </top>
    </border>
    <border>
      <left style="dotted">
        <color rgb="FF000000"/>
      </left>
      <right style="dotted">
        <color rgb="FF000000"/>
      </right>
      <top style="dotted">
        <color rgb="FF000000"/>
      </top>
    </border>
    <border>
      <right style="dotted">
        <color rgb="FF000000"/>
      </right>
    </border>
    <border>
      <left style="dotted">
        <color rgb="FF000000"/>
      </left>
      <right style="dotted">
        <color rgb="FF000000"/>
      </right>
    </border>
    <border>
      <top style="thin">
        <color rgb="FF666666"/>
      </top>
    </border>
    <border>
      <right style="dotted">
        <color rgb="FF000000"/>
      </right>
      <top style="thin">
        <color rgb="FF666666"/>
      </top>
    </border>
    <border>
      <bottom style="thin">
        <color rgb="FF000000"/>
      </bottom>
    </border>
  </borders>
  <cellStyleXfs count="1">
    <xf borderId="0" fillId="0" fontId="0" numFmtId="0" applyAlignment="1" applyFont="1"/>
  </cellStyleXfs>
  <cellXfs count="339">
    <xf borderId="0" fillId="0" fontId="0" numFmtId="0" xfId="0" applyAlignment="1" applyFont="1">
      <alignment readingOrder="0" shrinkToFit="0" vertical="bottom" wrapText="0"/>
    </xf>
    <xf borderId="0" fillId="2" fontId="1" numFmtId="0" xfId="0" applyAlignment="1" applyFill="1" applyFont="1">
      <alignment vertical="center"/>
    </xf>
    <xf borderId="0" fillId="2" fontId="2" numFmtId="0" xfId="0" applyAlignment="1" applyFont="1">
      <alignment vertical="center"/>
    </xf>
    <xf borderId="0" fillId="0" fontId="3" numFmtId="0" xfId="0" applyAlignment="1" applyFont="1">
      <alignment readingOrder="0" vertical="center"/>
    </xf>
    <xf borderId="0" fillId="0" fontId="4" numFmtId="0" xfId="0" applyAlignment="1" applyFont="1">
      <alignment vertical="center"/>
    </xf>
    <xf borderId="0" fillId="0" fontId="5" numFmtId="0" xfId="0" applyAlignment="1" applyFont="1">
      <alignment readingOrder="0" vertical="center"/>
    </xf>
    <xf borderId="0" fillId="0" fontId="4" numFmtId="0" xfId="0" applyAlignment="1" applyFont="1">
      <alignment readingOrder="0" vertical="center"/>
    </xf>
    <xf borderId="0" fillId="0" fontId="2" numFmtId="0" xfId="0" applyAlignment="1" applyFont="1">
      <alignment vertical="center"/>
    </xf>
    <xf borderId="0" fillId="0" fontId="6" numFmtId="0" xfId="0" applyAlignment="1" applyFont="1">
      <alignment horizontal="right" readingOrder="0" vertical="center"/>
    </xf>
    <xf borderId="1" fillId="0" fontId="2" numFmtId="0" xfId="0" applyAlignment="1" applyBorder="1" applyFont="1">
      <alignment readingOrder="0" vertical="bottom"/>
    </xf>
    <xf borderId="1" fillId="0" fontId="2" numFmtId="0" xfId="0" applyAlignment="1" applyBorder="1" applyFont="1">
      <alignment vertical="bottom"/>
    </xf>
    <xf borderId="1" fillId="0" fontId="2" numFmtId="0" xfId="0" applyAlignment="1" applyBorder="1" applyFont="1">
      <alignment horizontal="right" readingOrder="0" vertical="bottom"/>
    </xf>
    <xf borderId="0" fillId="0" fontId="6" numFmtId="164" xfId="0" applyAlignment="1" applyFont="1" applyNumberFormat="1">
      <alignment horizontal="right" readingOrder="0" vertical="top"/>
    </xf>
    <xf borderId="2" fillId="0" fontId="7" numFmtId="0" xfId="0" applyAlignment="1" applyBorder="1" applyFont="1">
      <alignment readingOrder="0" vertical="top"/>
    </xf>
    <xf borderId="2" fillId="0" fontId="2" numFmtId="0" xfId="0" applyAlignment="1" applyBorder="1" applyFont="1">
      <alignment vertical="top"/>
    </xf>
    <xf borderId="0" fillId="3" fontId="8" numFmtId="0" xfId="0" applyAlignment="1" applyFill="1" applyFont="1">
      <alignment vertical="center"/>
    </xf>
    <xf borderId="0" fillId="3" fontId="8" numFmtId="0" xfId="0" applyAlignment="1" applyFont="1">
      <alignment horizontal="right" readingOrder="0" vertical="center"/>
    </xf>
    <xf borderId="3" fillId="0" fontId="9" numFmtId="0" xfId="0" applyAlignment="1" applyBorder="1" applyFont="1">
      <alignment vertical="bottom"/>
    </xf>
    <xf borderId="3" fillId="4" fontId="10" numFmtId="0" xfId="0" applyAlignment="1" applyBorder="1" applyFill="1" applyFont="1">
      <alignment horizontal="right"/>
    </xf>
    <xf borderId="0" fillId="0" fontId="2" numFmtId="165" xfId="0" applyAlignment="1" applyFont="1" applyNumberFormat="1">
      <alignment horizontal="right" vertical="center"/>
    </xf>
    <xf borderId="0" fillId="0" fontId="2" numFmtId="165" xfId="0" applyAlignment="1" applyFont="1" applyNumberFormat="1">
      <alignment horizontal="right" readingOrder="0" vertical="center"/>
    </xf>
    <xf borderId="0" fillId="0" fontId="9" numFmtId="165" xfId="0" applyAlignment="1" applyFont="1" applyNumberFormat="1">
      <alignment vertical="bottom"/>
    </xf>
    <xf borderId="0" fillId="4" fontId="11" numFmtId="165" xfId="0" applyAlignment="1" applyFont="1" applyNumberFormat="1">
      <alignment horizontal="right"/>
    </xf>
    <xf borderId="4" fillId="2" fontId="8" numFmtId="0" xfId="0" applyAlignment="1" applyBorder="1" applyFont="1">
      <alignment readingOrder="0" vertical="center"/>
    </xf>
    <xf borderId="4" fillId="2" fontId="8" numFmtId="165" xfId="0" applyAlignment="1" applyBorder="1" applyFont="1" applyNumberFormat="1">
      <alignment horizontal="right" vertical="center"/>
    </xf>
    <xf borderId="3" fillId="0" fontId="9" numFmtId="165" xfId="0" applyAlignment="1" applyBorder="1" applyFont="1" applyNumberFormat="1">
      <alignment vertical="bottom"/>
    </xf>
    <xf borderId="3" fillId="4" fontId="10" numFmtId="165" xfId="0" applyAlignment="1" applyBorder="1" applyFont="1" applyNumberFormat="1">
      <alignment horizontal="right"/>
    </xf>
    <xf borderId="0" fillId="5" fontId="7" numFmtId="0" xfId="0" applyAlignment="1" applyFill="1" applyFont="1">
      <alignment vertical="center"/>
    </xf>
    <xf borderId="0" fillId="5" fontId="7" numFmtId="9" xfId="0" applyAlignment="1" applyFont="1" applyNumberFormat="1">
      <alignment horizontal="right" readingOrder="0" vertical="center"/>
    </xf>
    <xf borderId="0" fillId="0" fontId="9" numFmtId="0" xfId="0" applyAlignment="1" applyFont="1">
      <alignment vertical="bottom"/>
    </xf>
    <xf borderId="0" fillId="4" fontId="12" numFmtId="9" xfId="0" applyAlignment="1" applyFont="1" applyNumberFormat="1">
      <alignment horizontal="right" readingOrder="0"/>
    </xf>
    <xf borderId="4" fillId="2" fontId="8" numFmtId="0" xfId="0" applyAlignment="1" applyBorder="1" applyFont="1">
      <alignment vertical="center"/>
    </xf>
    <xf borderId="0" fillId="0" fontId="6" numFmtId="0" xfId="0" applyAlignment="1" applyFont="1">
      <alignment readingOrder="0" vertical="center"/>
    </xf>
    <xf borderId="0" fillId="0" fontId="6" numFmtId="165" xfId="0" applyAlignment="1" applyFont="1" applyNumberFormat="1">
      <alignment vertical="center"/>
    </xf>
    <xf borderId="0" fillId="0" fontId="13" numFmtId="0" xfId="0" applyFont="1"/>
    <xf borderId="0" fillId="3" fontId="8" numFmtId="0" xfId="0" applyAlignment="1" applyFont="1">
      <alignment readingOrder="0" vertical="center"/>
    </xf>
    <xf borderId="2" fillId="0" fontId="2" numFmtId="0" xfId="0" applyAlignment="1" applyBorder="1" applyFont="1">
      <alignment vertical="center"/>
    </xf>
    <xf borderId="0" fillId="0" fontId="2" numFmtId="0" xfId="0" applyAlignment="1" applyFont="1">
      <alignment readingOrder="0" vertical="center"/>
    </xf>
    <xf borderId="0" fillId="0" fontId="2" numFmtId="0" xfId="0" applyAlignment="1" applyFont="1">
      <alignment horizontal="right" vertical="center"/>
    </xf>
    <xf quotePrefix="1" borderId="0" fillId="0" fontId="7" numFmtId="0" xfId="0" applyAlignment="1" applyFont="1">
      <alignment readingOrder="0" vertical="center"/>
    </xf>
    <xf borderId="0" fillId="0" fontId="7" numFmtId="0" xfId="0" applyAlignment="1" applyFont="1">
      <alignment readingOrder="0" vertical="center"/>
    </xf>
    <xf borderId="0" fillId="0" fontId="14" numFmtId="0" xfId="0" applyAlignment="1" applyFont="1">
      <alignment readingOrder="0" vertical="center"/>
    </xf>
    <xf borderId="0" fillId="0" fontId="2" numFmtId="0" xfId="0" applyFont="1"/>
    <xf borderId="0" fillId="4" fontId="1" numFmtId="0" xfId="0" applyAlignment="1" applyFont="1">
      <alignment horizontal="center" readingOrder="0" vertical="center"/>
    </xf>
    <xf borderId="0" fillId="6" fontId="1" numFmtId="0" xfId="0" applyAlignment="1" applyFill="1" applyFont="1">
      <alignment horizontal="center" readingOrder="0" vertical="center"/>
    </xf>
    <xf borderId="0" fillId="3" fontId="8" numFmtId="0" xfId="0" applyAlignment="1" applyFont="1">
      <alignment horizontal="center" readingOrder="0" vertical="center"/>
    </xf>
    <xf borderId="0" fillId="0" fontId="2" numFmtId="49" xfId="0" applyAlignment="1" applyFont="1" applyNumberFormat="1">
      <alignment horizontal="left" vertical="center"/>
    </xf>
    <xf borderId="0" fillId="0" fontId="2" numFmtId="0" xfId="0" applyAlignment="1" applyFont="1">
      <alignment horizontal="center" readingOrder="0" vertical="center"/>
    </xf>
    <xf borderId="0" fillId="0" fontId="2" numFmtId="165" xfId="0" applyAlignment="1" applyFont="1" applyNumberFormat="1">
      <alignment vertical="center"/>
    </xf>
    <xf borderId="0" fillId="0" fontId="2" numFmtId="49" xfId="0" applyAlignment="1" applyFont="1" applyNumberFormat="1">
      <alignment horizontal="left" readingOrder="0" vertical="center"/>
    </xf>
    <xf borderId="0" fillId="0" fontId="2" numFmtId="49" xfId="0" applyAlignment="1" applyFont="1" applyNumberFormat="1">
      <alignment readingOrder="0" vertical="center"/>
    </xf>
    <xf borderId="4" fillId="2" fontId="8" numFmtId="166" xfId="0" applyAlignment="1" applyBorder="1" applyFont="1" applyNumberFormat="1">
      <alignment readingOrder="0" vertical="center"/>
    </xf>
    <xf borderId="4" fillId="2" fontId="8" numFmtId="0" xfId="0" applyAlignment="1" applyBorder="1" applyFont="1">
      <alignment horizontal="center" vertical="center"/>
    </xf>
    <xf borderId="4" fillId="2" fontId="8" numFmtId="165" xfId="0" applyAlignment="1" applyBorder="1" applyFont="1" applyNumberFormat="1">
      <alignment vertical="center"/>
    </xf>
    <xf borderId="0" fillId="3" fontId="8" numFmtId="165" xfId="0" applyAlignment="1" applyFont="1" applyNumberFormat="1">
      <alignment horizontal="right" readingOrder="0" vertical="center"/>
    </xf>
    <xf borderId="0" fillId="3" fontId="8" numFmtId="165" xfId="0" applyAlignment="1" applyFont="1" applyNumberFormat="1">
      <alignment readingOrder="0" vertical="center"/>
    </xf>
    <xf borderId="0" fillId="0" fontId="1" numFmtId="165" xfId="0" applyAlignment="1" applyFont="1" applyNumberFormat="1">
      <alignment horizontal="right" vertical="center"/>
    </xf>
    <xf borderId="0" fillId="0" fontId="4" numFmtId="165" xfId="0" applyAlignment="1" applyFont="1" applyNumberFormat="1">
      <alignment vertical="center"/>
    </xf>
    <xf borderId="0" fillId="7" fontId="2" numFmtId="165" xfId="0" applyAlignment="1" applyFill="1" applyFont="1" applyNumberFormat="1">
      <alignment horizontal="right" vertical="center"/>
    </xf>
    <xf borderId="0" fillId="5" fontId="2" numFmtId="0" xfId="0" applyAlignment="1" applyFont="1">
      <alignment vertical="center"/>
    </xf>
    <xf borderId="0" fillId="5" fontId="1" numFmtId="165" xfId="0" applyAlignment="1" applyFont="1" applyNumberFormat="1">
      <alignment horizontal="right" vertical="center"/>
    </xf>
    <xf borderId="0" fillId="5" fontId="4" numFmtId="165" xfId="0" applyAlignment="1" applyFont="1" applyNumberFormat="1">
      <alignment vertical="center"/>
    </xf>
    <xf borderId="0" fillId="5" fontId="2" numFmtId="165" xfId="0" applyAlignment="1" applyFont="1" applyNumberFormat="1">
      <alignment horizontal="right" readingOrder="0" vertical="center"/>
    </xf>
    <xf borderId="0" fillId="5" fontId="2" numFmtId="165" xfId="0" applyAlignment="1" applyFont="1" applyNumberFormat="1">
      <alignment horizontal="right" vertical="center"/>
    </xf>
    <xf borderId="0" fillId="2" fontId="8" numFmtId="0" xfId="0" applyAlignment="1" applyFont="1">
      <alignment readingOrder="0" vertical="center"/>
    </xf>
    <xf borderId="0" fillId="2" fontId="8" numFmtId="165" xfId="0" applyAlignment="1" applyFont="1" applyNumberFormat="1">
      <alignment vertical="center"/>
    </xf>
    <xf borderId="0" fillId="2" fontId="8" numFmtId="165" xfId="0" applyAlignment="1" applyFont="1" applyNumberFormat="1">
      <alignment readingOrder="0" vertical="center"/>
    </xf>
    <xf borderId="0" fillId="0" fontId="15" numFmtId="0" xfId="0" applyAlignment="1" applyFont="1">
      <alignment vertical="center"/>
    </xf>
    <xf borderId="0" fillId="0" fontId="15" numFmtId="167" xfId="0" applyAlignment="1" applyFont="1" applyNumberFormat="1">
      <alignment horizontal="center" vertical="center"/>
    </xf>
    <xf borderId="0" fillId="0" fontId="16" numFmtId="0" xfId="0" applyAlignment="1" applyFont="1">
      <alignment vertical="center"/>
    </xf>
    <xf borderId="0" fillId="0" fontId="17" numFmtId="0" xfId="0" applyAlignment="1" applyFont="1">
      <alignment readingOrder="0" vertical="center"/>
    </xf>
    <xf borderId="0" fillId="0" fontId="18" numFmtId="0" xfId="0" applyAlignment="1" applyFont="1">
      <alignment vertical="center"/>
    </xf>
    <xf borderId="0" fillId="0" fontId="18" numFmtId="167" xfId="0" applyAlignment="1" applyFont="1" applyNumberFormat="1">
      <alignment horizontal="center" vertical="center"/>
    </xf>
    <xf borderId="0" fillId="0" fontId="19" numFmtId="0" xfId="0" applyAlignment="1" applyFont="1">
      <alignment readingOrder="0" shrinkToFit="0" vertical="center" wrapText="0"/>
    </xf>
    <xf borderId="0" fillId="0" fontId="18" numFmtId="0" xfId="0" applyAlignment="1" applyFont="1">
      <alignment readingOrder="0" shrinkToFit="0" vertical="center" wrapText="0"/>
    </xf>
    <xf borderId="0" fillId="0" fontId="16" numFmtId="0" xfId="0" applyAlignment="1" applyFont="1">
      <alignment readingOrder="0" shrinkToFit="0" vertical="top" wrapText="0"/>
    </xf>
    <xf borderId="0" fillId="0" fontId="16" numFmtId="0" xfId="0" applyAlignment="1" applyFont="1">
      <alignment readingOrder="0" shrinkToFit="0" vertical="top" wrapText="1"/>
    </xf>
    <xf borderId="0" fillId="0" fontId="16" numFmtId="167" xfId="0" applyAlignment="1" applyFont="1" applyNumberFormat="1">
      <alignment horizontal="center" readingOrder="0" shrinkToFit="0" vertical="top" wrapText="1"/>
    </xf>
    <xf borderId="0" fillId="0" fontId="15" numFmtId="4" xfId="0" applyAlignment="1" applyFont="1" applyNumberFormat="1">
      <alignment horizontal="center" vertical="center"/>
    </xf>
    <xf borderId="0" fillId="0" fontId="19" numFmtId="0" xfId="0" applyAlignment="1" applyFont="1">
      <alignment readingOrder="0" vertical="center"/>
    </xf>
    <xf borderId="5" fillId="0" fontId="20" numFmtId="0" xfId="0" applyAlignment="1" applyBorder="1" applyFont="1">
      <alignment readingOrder="0" vertical="center"/>
    </xf>
    <xf borderId="5" fillId="0" fontId="20" numFmtId="0" xfId="0" applyAlignment="1" applyBorder="1" applyFont="1">
      <alignment horizontal="center" readingOrder="0" vertical="center"/>
    </xf>
    <xf borderId="5" fillId="0" fontId="20" numFmtId="167" xfId="0" applyAlignment="1" applyBorder="1" applyFont="1" applyNumberFormat="1">
      <alignment horizontal="center" readingOrder="0" vertical="center"/>
    </xf>
    <xf borderId="5" fillId="0" fontId="21" numFmtId="0" xfId="0" applyAlignment="1" applyBorder="1" applyFont="1">
      <alignment horizontal="center" readingOrder="0" vertical="center"/>
    </xf>
    <xf borderId="0" fillId="5" fontId="16" numFmtId="0" xfId="0" applyAlignment="1" applyFont="1">
      <alignment vertical="center"/>
    </xf>
    <xf borderId="0" fillId="5" fontId="16" numFmtId="0" xfId="0" applyAlignment="1" applyFont="1">
      <alignment horizontal="center" vertical="center"/>
    </xf>
    <xf borderId="0" fillId="5" fontId="16" numFmtId="165" xfId="0" applyAlignment="1" applyFont="1" applyNumberFormat="1">
      <alignment vertical="center"/>
    </xf>
    <xf borderId="0" fillId="5" fontId="16" numFmtId="167" xfId="0" applyAlignment="1" applyFont="1" applyNumberFormat="1">
      <alignment horizontal="center" vertical="center"/>
    </xf>
    <xf borderId="0" fillId="0" fontId="15" numFmtId="0" xfId="0" applyAlignment="1" applyFont="1">
      <alignment horizontal="left" readingOrder="0" shrinkToFit="0" vertical="center" wrapText="0"/>
    </xf>
    <xf borderId="0" fillId="0" fontId="16" numFmtId="0" xfId="0" applyAlignment="1" applyFont="1">
      <alignment horizontal="left" readingOrder="0" shrinkToFit="0" vertical="center" wrapText="0"/>
    </xf>
    <xf borderId="0" fillId="8" fontId="16" numFmtId="0" xfId="0" applyAlignment="1" applyFill="1" applyFont="1">
      <alignment vertical="center"/>
    </xf>
    <xf borderId="0" fillId="8" fontId="15" numFmtId="0" xfId="0" applyAlignment="1" applyFont="1">
      <alignment vertical="center"/>
    </xf>
    <xf borderId="0" fillId="5" fontId="22" numFmtId="165" xfId="0" applyAlignment="1" applyFont="1" applyNumberFormat="1">
      <alignment readingOrder="0" vertical="center"/>
    </xf>
    <xf borderId="0" fillId="0" fontId="23" numFmtId="0" xfId="0" applyAlignment="1" applyFont="1">
      <alignment horizontal="left" readingOrder="0" shrinkToFit="0" vertical="center" wrapText="0"/>
    </xf>
    <xf borderId="0" fillId="5" fontId="24" numFmtId="165" xfId="0" applyAlignment="1" applyFont="1" applyNumberFormat="1">
      <alignment readingOrder="0" vertical="center"/>
    </xf>
    <xf borderId="0" fillId="0" fontId="23" numFmtId="0" xfId="0" applyAlignment="1" applyFont="1">
      <alignment readingOrder="0" vertical="center"/>
    </xf>
    <xf borderId="0" fillId="0" fontId="18" numFmtId="0" xfId="0" applyAlignment="1" applyFont="1">
      <alignment readingOrder="0" vertical="center"/>
    </xf>
    <xf borderId="5" fillId="0" fontId="20" numFmtId="0" xfId="0" applyAlignment="1" applyBorder="1" applyFont="1">
      <alignment readingOrder="0" shrinkToFit="0" vertical="center" wrapText="1"/>
    </xf>
    <xf borderId="5" fillId="0" fontId="15" numFmtId="0" xfId="0" applyAlignment="1" applyBorder="1" applyFont="1">
      <alignment vertical="center"/>
    </xf>
    <xf borderId="0" fillId="5" fontId="16" numFmtId="0" xfId="0" applyAlignment="1" applyFont="1">
      <alignment readingOrder="0" vertical="center"/>
    </xf>
    <xf borderId="0" fillId="0" fontId="15" numFmtId="0" xfId="0" applyAlignment="1" applyFont="1">
      <alignment horizontal="right" vertical="center"/>
    </xf>
    <xf borderId="0" fillId="0" fontId="15" numFmtId="0" xfId="0" applyAlignment="1" applyFont="1">
      <alignment horizontal="center" vertical="center"/>
    </xf>
    <xf borderId="6" fillId="0" fontId="16" numFmtId="0" xfId="0" applyAlignment="1" applyBorder="1" applyFont="1">
      <alignment readingOrder="0" vertical="center"/>
    </xf>
    <xf borderId="6" fillId="0" fontId="15" numFmtId="0" xfId="0" applyAlignment="1" applyBorder="1" applyFont="1">
      <alignment vertical="center"/>
    </xf>
    <xf borderId="0" fillId="0" fontId="21" numFmtId="165" xfId="0" applyAlignment="1" applyFont="1" applyNumberFormat="1">
      <alignment horizontal="right" vertical="center"/>
    </xf>
    <xf borderId="0" fillId="5" fontId="16" numFmtId="4" xfId="0" applyAlignment="1" applyFont="1" applyNumberFormat="1">
      <alignment horizontal="center" readingOrder="0" vertical="center"/>
    </xf>
    <xf borderId="0" fillId="5" fontId="16" numFmtId="46" xfId="0" applyAlignment="1" applyFont="1" applyNumberFormat="1">
      <alignment horizontal="center" readingOrder="0" vertical="center"/>
    </xf>
    <xf borderId="0" fillId="5" fontId="16" numFmtId="0" xfId="0" applyAlignment="1" applyFont="1">
      <alignment shrinkToFit="0" vertical="center" wrapText="1"/>
    </xf>
    <xf borderId="0" fillId="0" fontId="16" numFmtId="165" xfId="0" applyAlignment="1" applyFont="1" applyNumberFormat="1">
      <alignment horizontal="right" vertical="center"/>
    </xf>
    <xf borderId="0" fillId="0" fontId="16" numFmtId="0" xfId="0" applyAlignment="1" applyFont="1">
      <alignment horizontal="center" vertical="center"/>
    </xf>
    <xf borderId="0" fillId="5" fontId="16" numFmtId="4" xfId="0" applyAlignment="1" applyFont="1" applyNumberFormat="1">
      <alignment horizontal="center" vertical="center"/>
    </xf>
    <xf borderId="0" fillId="9" fontId="16" numFmtId="0" xfId="0" applyAlignment="1" applyFill="1" applyFont="1">
      <alignment readingOrder="0" vertical="center"/>
    </xf>
    <xf borderId="0" fillId="9" fontId="16" numFmtId="0" xfId="0" applyAlignment="1" applyFont="1">
      <alignment vertical="center"/>
    </xf>
    <xf borderId="0" fillId="9" fontId="16" numFmtId="167" xfId="0" applyAlignment="1" applyFont="1" applyNumberFormat="1">
      <alignment horizontal="center" vertical="center"/>
    </xf>
    <xf borderId="0" fillId="9" fontId="16" numFmtId="4" xfId="0" applyAlignment="1" applyFont="1" applyNumberFormat="1">
      <alignment horizontal="center" vertical="center"/>
    </xf>
    <xf borderId="0" fillId="9" fontId="16" numFmtId="46" xfId="0" applyAlignment="1" applyFont="1" applyNumberFormat="1">
      <alignment horizontal="center" readingOrder="0" vertical="center"/>
    </xf>
    <xf borderId="0" fillId="9" fontId="16" numFmtId="0" xfId="0" applyAlignment="1" applyFont="1">
      <alignment shrinkToFit="0" vertical="center" wrapText="1"/>
    </xf>
    <xf borderId="0" fillId="9" fontId="16" numFmtId="0" xfId="0" applyAlignment="1" applyFont="1">
      <alignment horizontal="center" vertical="center"/>
    </xf>
    <xf borderId="0" fillId="9" fontId="16" numFmtId="4" xfId="0" applyAlignment="1" applyFont="1" applyNumberFormat="1">
      <alignment horizontal="center" readingOrder="0" vertical="center"/>
    </xf>
    <xf borderId="0" fillId="5" fontId="16" numFmtId="0" xfId="0" applyAlignment="1" applyFont="1">
      <alignment horizontal="center" readingOrder="0" vertical="center"/>
    </xf>
    <xf borderId="0" fillId="0" fontId="25" numFmtId="0" xfId="0" applyFont="1"/>
    <xf borderId="0" fillId="0" fontId="25" numFmtId="167" xfId="0" applyFont="1" applyNumberFormat="1"/>
    <xf borderId="0" fillId="0" fontId="25" numFmtId="4" xfId="0" applyFont="1" applyNumberFormat="1"/>
    <xf borderId="0" fillId="0" fontId="25" numFmtId="165" xfId="0" applyFont="1" applyNumberFormat="1"/>
    <xf borderId="0" fillId="0" fontId="15" numFmtId="0" xfId="0" applyAlignment="1" applyFont="1">
      <alignment horizontal="left" vertical="center"/>
    </xf>
    <xf borderId="0" fillId="0" fontId="18" numFmtId="0" xfId="0" applyAlignment="1" applyFont="1">
      <alignment horizontal="left" vertical="center"/>
    </xf>
    <xf borderId="0" fillId="0" fontId="18" numFmtId="0" xfId="0" applyAlignment="1" applyFont="1">
      <alignment horizontal="left" readingOrder="0" vertical="center"/>
    </xf>
    <xf borderId="0" fillId="0" fontId="16" numFmtId="0" xfId="0" applyAlignment="1" applyFont="1">
      <alignment readingOrder="0" shrinkToFit="0" vertical="center" wrapText="1"/>
    </xf>
    <xf borderId="0" fillId="0" fontId="16" numFmtId="0" xfId="0" applyAlignment="1" applyFont="1">
      <alignment horizontal="left" readingOrder="0" shrinkToFit="0" vertical="center" wrapText="1"/>
    </xf>
    <xf borderId="0" fillId="0" fontId="16" numFmtId="4" xfId="0" applyAlignment="1" applyFont="1" applyNumberFormat="1">
      <alignment horizontal="right" vertical="center"/>
    </xf>
    <xf borderId="0" fillId="0" fontId="16" numFmtId="46" xfId="0" applyAlignment="1" applyFont="1" applyNumberFormat="1">
      <alignment horizontal="right" vertical="center"/>
    </xf>
    <xf borderId="0" fillId="0" fontId="15" numFmtId="0" xfId="0" applyAlignment="1" applyFont="1">
      <alignment readingOrder="0" vertical="center"/>
    </xf>
    <xf borderId="5" fillId="0" fontId="20" numFmtId="0" xfId="0" applyAlignment="1" applyBorder="1" applyFont="1">
      <alignment horizontal="left" readingOrder="0" vertical="center"/>
    </xf>
    <xf borderId="5" fillId="0" fontId="20" numFmtId="165" xfId="0" applyAlignment="1" applyBorder="1" applyFont="1" applyNumberFormat="1">
      <alignment horizontal="right" readingOrder="0" vertical="center"/>
    </xf>
    <xf borderId="0" fillId="0" fontId="20" numFmtId="165" xfId="0" applyAlignment="1" applyFont="1" applyNumberFormat="1">
      <alignment horizontal="right" readingOrder="0" vertical="center"/>
    </xf>
    <xf borderId="0" fillId="5" fontId="16" numFmtId="0" xfId="0" applyAlignment="1" applyFont="1">
      <alignment readingOrder="0" shrinkToFit="0" vertical="center" wrapText="1"/>
    </xf>
    <xf borderId="0" fillId="5" fontId="16" numFmtId="0" xfId="0" applyAlignment="1" applyFont="1">
      <alignment horizontal="left" readingOrder="0" vertical="center"/>
    </xf>
    <xf borderId="0" fillId="5" fontId="16" numFmtId="0" xfId="0" applyAlignment="1" applyFont="1">
      <alignment horizontal="left" readingOrder="0" shrinkToFit="0" vertical="center" wrapText="1"/>
    </xf>
    <xf borderId="0" fillId="5" fontId="16" numFmtId="165" xfId="0" applyAlignment="1" applyFont="1" applyNumberFormat="1">
      <alignment horizontal="right" readingOrder="0" vertical="center"/>
    </xf>
    <xf borderId="0" fillId="0" fontId="16" numFmtId="10" xfId="0" applyAlignment="1" applyFont="1" applyNumberFormat="1">
      <alignment horizontal="right" vertical="center"/>
    </xf>
    <xf borderId="0" fillId="0" fontId="26" numFmtId="165" xfId="0" applyAlignment="1" applyFont="1" applyNumberFormat="1">
      <alignment vertical="center"/>
    </xf>
    <xf borderId="0" fillId="0" fontId="26" numFmtId="165" xfId="0" applyAlignment="1" applyFont="1" applyNumberFormat="1">
      <alignment readingOrder="0" vertical="center"/>
    </xf>
    <xf borderId="0" fillId="0" fontId="27" numFmtId="0" xfId="0" applyAlignment="1" applyFont="1">
      <alignment vertical="center"/>
    </xf>
    <xf borderId="0" fillId="9" fontId="27" numFmtId="0" xfId="0" applyAlignment="1" applyFont="1">
      <alignment readingOrder="0" vertical="center"/>
    </xf>
    <xf borderId="0" fillId="9" fontId="27" numFmtId="0" xfId="0" applyAlignment="1" applyFont="1">
      <alignment readingOrder="0" shrinkToFit="0" vertical="center" wrapText="1"/>
    </xf>
    <xf borderId="0" fillId="9" fontId="27" numFmtId="0" xfId="0" applyAlignment="1" applyFont="1">
      <alignment horizontal="left" readingOrder="0" vertical="center"/>
    </xf>
    <xf borderId="0" fillId="9" fontId="27" numFmtId="0" xfId="0" applyAlignment="1" applyFont="1">
      <alignment horizontal="left" readingOrder="0" shrinkToFit="0" vertical="center" wrapText="1"/>
    </xf>
    <xf borderId="0" fillId="9" fontId="27" numFmtId="165" xfId="0" applyAlignment="1" applyFont="1" applyNumberFormat="1">
      <alignment horizontal="right" readingOrder="0" vertical="center"/>
    </xf>
    <xf borderId="0" fillId="9" fontId="27" numFmtId="46" xfId="0" applyAlignment="1" applyFont="1" applyNumberFormat="1">
      <alignment horizontal="right" vertical="center"/>
    </xf>
    <xf borderId="0" fillId="9" fontId="27" numFmtId="10" xfId="0" applyAlignment="1" applyFont="1" applyNumberFormat="1">
      <alignment horizontal="right" vertical="center"/>
    </xf>
    <xf borderId="0" fillId="9" fontId="27" numFmtId="165" xfId="0" applyAlignment="1" applyFont="1" applyNumberFormat="1">
      <alignment horizontal="right" vertical="center"/>
    </xf>
    <xf borderId="0" fillId="9" fontId="28" numFmtId="165" xfId="0" applyAlignment="1" applyFont="1" applyNumberFormat="1">
      <alignment readingOrder="0" vertical="center"/>
    </xf>
    <xf borderId="0" fillId="9" fontId="28" numFmtId="165" xfId="0" applyAlignment="1" applyFont="1" applyNumberFormat="1">
      <alignment vertical="center"/>
    </xf>
    <xf borderId="0" fillId="0" fontId="28" numFmtId="165" xfId="0" applyAlignment="1" applyFont="1" applyNumberFormat="1">
      <alignment readingOrder="0" vertical="center"/>
    </xf>
    <xf borderId="0" fillId="0" fontId="28" numFmtId="165" xfId="0" applyAlignment="1" applyFont="1" applyNumberFormat="1">
      <alignment vertical="center"/>
    </xf>
    <xf borderId="0" fillId="0" fontId="16" numFmtId="0" xfId="0" applyFont="1"/>
    <xf borderId="0" fillId="0" fontId="26" numFmtId="167" xfId="0" applyFont="1" applyNumberFormat="1"/>
    <xf borderId="0" fillId="0" fontId="26" numFmtId="0" xfId="0" applyFont="1"/>
    <xf borderId="0" fillId="0" fontId="16" numFmtId="0" xfId="0" applyAlignment="1" applyFont="1">
      <alignment vertical="center"/>
    </xf>
    <xf borderId="0" fillId="0" fontId="16" numFmtId="0" xfId="0" applyAlignment="1" applyFont="1">
      <alignment readingOrder="0" vertical="center"/>
    </xf>
    <xf borderId="0" fillId="0" fontId="21" numFmtId="165" xfId="0" applyAlignment="1" applyFont="1" applyNumberFormat="1">
      <alignment horizontal="center" vertical="center"/>
    </xf>
    <xf borderId="0" fillId="0" fontId="21" numFmtId="165" xfId="0" applyAlignment="1" applyFont="1" applyNumberFormat="1">
      <alignment vertical="center"/>
    </xf>
    <xf borderId="0" fillId="0" fontId="16" numFmtId="0" xfId="0" applyAlignment="1" applyFont="1">
      <alignment horizontal="right" readingOrder="0" vertical="center"/>
    </xf>
    <xf borderId="0" fillId="0" fontId="29" numFmtId="168" xfId="0" applyAlignment="1" applyFont="1" applyNumberFormat="1">
      <alignment horizontal="right" vertical="center"/>
    </xf>
    <xf borderId="0" fillId="0" fontId="16" numFmtId="165" xfId="0" applyAlignment="1" applyFont="1" applyNumberFormat="1">
      <alignment horizontal="right" readingOrder="0" vertical="center"/>
    </xf>
    <xf borderId="0" fillId="0" fontId="16" numFmtId="10" xfId="0" applyAlignment="1" applyFont="1" applyNumberFormat="1">
      <alignment horizontal="right" readingOrder="0" vertical="center"/>
    </xf>
    <xf borderId="0" fillId="0" fontId="21" numFmtId="0" xfId="0" applyAlignment="1" applyFont="1">
      <alignment shrinkToFit="0" vertical="center" wrapText="0"/>
    </xf>
    <xf borderId="0" fillId="0" fontId="30" numFmtId="0" xfId="0" applyAlignment="1" applyFont="1">
      <alignment vertical="bottom"/>
    </xf>
    <xf borderId="0" fillId="0" fontId="16" numFmtId="10" xfId="0" applyAlignment="1" applyFont="1" applyNumberFormat="1">
      <alignment horizontal="right"/>
    </xf>
    <xf borderId="7" fillId="0" fontId="31" numFmtId="0" xfId="0" applyAlignment="1" applyBorder="1" applyFont="1">
      <alignment horizontal="left" readingOrder="0" vertical="bottom"/>
    </xf>
    <xf borderId="0" fillId="0" fontId="16" numFmtId="168" xfId="0" applyAlignment="1" applyFont="1" applyNumberFormat="1">
      <alignment horizontal="right" readingOrder="0" vertical="bottom"/>
    </xf>
    <xf borderId="7" fillId="0" fontId="26" numFmtId="0" xfId="0" applyBorder="1" applyFont="1"/>
    <xf borderId="8" fillId="0" fontId="30" numFmtId="0" xfId="0" applyAlignment="1" applyBorder="1" applyFont="1">
      <alignment vertical="bottom"/>
    </xf>
    <xf borderId="8" fillId="0" fontId="16" numFmtId="168" xfId="0" applyAlignment="1" applyBorder="1" applyFont="1" applyNumberFormat="1">
      <alignment horizontal="right" readingOrder="0" vertical="bottom"/>
    </xf>
    <xf borderId="0" fillId="0" fontId="32" numFmtId="0" xfId="0" applyAlignment="1" applyFont="1">
      <alignment vertical="bottom"/>
    </xf>
    <xf borderId="0" fillId="0" fontId="32" numFmtId="168" xfId="0" applyAlignment="1" applyFont="1" applyNumberFormat="1">
      <alignment horizontal="right" vertical="bottom"/>
    </xf>
    <xf borderId="9" fillId="0" fontId="32" numFmtId="0" xfId="0" applyAlignment="1" applyBorder="1" applyFont="1">
      <alignment vertical="bottom"/>
    </xf>
    <xf borderId="9" fillId="0" fontId="32" numFmtId="168" xfId="0" applyAlignment="1" applyBorder="1" applyFont="1" applyNumberFormat="1">
      <alignment horizontal="right" vertical="bottom"/>
    </xf>
    <xf borderId="0" fillId="0" fontId="26" numFmtId="168" xfId="0" applyAlignment="1" applyFont="1" applyNumberFormat="1">
      <alignment horizontal="right" vertical="center"/>
    </xf>
    <xf borderId="0" fillId="0" fontId="26" numFmtId="168" xfId="0" applyAlignment="1" applyFont="1" applyNumberFormat="1">
      <alignment horizontal="right" readingOrder="0" vertical="center"/>
    </xf>
    <xf borderId="0" fillId="0" fontId="33" numFmtId="0" xfId="0" applyAlignment="1" applyFont="1">
      <alignment readingOrder="0" vertical="bottom"/>
    </xf>
    <xf borderId="0" fillId="0" fontId="33" numFmtId="168" xfId="0" applyAlignment="1" applyFont="1" applyNumberFormat="1">
      <alignment horizontal="right" vertical="bottom"/>
    </xf>
    <xf borderId="0" fillId="0" fontId="26" numFmtId="0" xfId="0" applyAlignment="1" applyFont="1">
      <alignment vertical="center"/>
    </xf>
    <xf borderId="0" fillId="0" fontId="34" numFmtId="165" xfId="0" applyAlignment="1" applyFont="1" applyNumberFormat="1">
      <alignment horizontal="center" vertical="center"/>
    </xf>
    <xf borderId="0" fillId="0" fontId="29" numFmtId="165" xfId="0" applyAlignment="1" applyFont="1" applyNumberFormat="1">
      <alignment vertical="center"/>
    </xf>
    <xf borderId="0" fillId="0" fontId="26" numFmtId="10" xfId="0" applyAlignment="1" applyFont="1" applyNumberFormat="1">
      <alignment horizontal="right" vertical="center"/>
    </xf>
    <xf borderId="5" fillId="0" fontId="20" numFmtId="169" xfId="0" applyAlignment="1" applyBorder="1" applyFont="1" applyNumberFormat="1">
      <alignment horizontal="right" readingOrder="0" vertical="center"/>
    </xf>
    <xf borderId="5" fillId="0" fontId="20" numFmtId="170" xfId="0" applyAlignment="1" applyBorder="1" applyFont="1" applyNumberFormat="1">
      <alignment horizontal="right" readingOrder="0" vertical="center"/>
    </xf>
    <xf borderId="0" fillId="0" fontId="16" numFmtId="165" xfId="0" applyAlignment="1" applyFont="1" applyNumberFormat="1">
      <alignment readingOrder="0" vertical="center"/>
    </xf>
    <xf borderId="0" fillId="8" fontId="32" numFmtId="165" xfId="0" applyAlignment="1" applyFont="1" applyNumberFormat="1">
      <alignment horizontal="right"/>
    </xf>
    <xf borderId="0" fillId="0" fontId="16" numFmtId="165" xfId="0" applyAlignment="1" applyFont="1" applyNumberFormat="1">
      <alignment horizontal="left" readingOrder="0" vertical="center"/>
    </xf>
    <xf borderId="0" fillId="9" fontId="21" numFmtId="0" xfId="0" applyAlignment="1" applyFont="1">
      <alignment vertical="center"/>
    </xf>
    <xf borderId="0" fillId="9" fontId="21" numFmtId="0" xfId="0" applyAlignment="1" applyFont="1">
      <alignment readingOrder="0" vertical="center"/>
    </xf>
    <xf borderId="0" fillId="9" fontId="21" numFmtId="0" xfId="0" applyAlignment="1" applyFont="1">
      <alignment readingOrder="0" shrinkToFit="0" vertical="center" wrapText="1"/>
    </xf>
    <xf borderId="0" fillId="9" fontId="21" numFmtId="165" xfId="0" applyAlignment="1" applyFont="1" applyNumberFormat="1">
      <alignment horizontal="left" readingOrder="0" vertical="center"/>
    </xf>
    <xf borderId="0" fillId="9" fontId="21" numFmtId="0" xfId="0" applyAlignment="1" applyFont="1">
      <alignment horizontal="left" readingOrder="0" shrinkToFit="0" vertical="center" wrapText="1"/>
    </xf>
    <xf borderId="0" fillId="9" fontId="29" numFmtId="0" xfId="0" applyFont="1"/>
    <xf borderId="0" fillId="9" fontId="35" numFmtId="165" xfId="0" applyAlignment="1" applyFont="1" applyNumberFormat="1">
      <alignment horizontal="right"/>
    </xf>
    <xf borderId="0" fillId="9" fontId="21" numFmtId="165" xfId="0" applyAlignment="1" applyFont="1" applyNumberFormat="1">
      <alignment horizontal="right" vertical="center"/>
    </xf>
    <xf borderId="0" fillId="9" fontId="29" numFmtId="165" xfId="0" applyAlignment="1" applyFont="1" applyNumberFormat="1">
      <alignment readingOrder="0" vertical="center"/>
    </xf>
    <xf borderId="0" fillId="9" fontId="29" numFmtId="165" xfId="0" applyAlignment="1" applyFont="1" applyNumberFormat="1">
      <alignment vertical="center"/>
    </xf>
    <xf borderId="0" fillId="0" fontId="29" numFmtId="0" xfId="0" applyAlignment="1" applyFont="1">
      <alignment vertical="center"/>
    </xf>
    <xf borderId="0" fillId="0" fontId="16" numFmtId="9" xfId="0" applyAlignment="1" applyFont="1" applyNumberFormat="1">
      <alignment horizontal="right" readingOrder="0" vertical="center"/>
    </xf>
    <xf borderId="0" fillId="0" fontId="16" numFmtId="167" xfId="0" applyAlignment="1" applyFont="1" applyNumberFormat="1">
      <alignment horizontal="left" readingOrder="0" vertical="center"/>
    </xf>
    <xf borderId="0" fillId="0" fontId="16" numFmtId="169" xfId="0" applyAlignment="1" applyFont="1" applyNumberFormat="1">
      <alignment horizontal="left" readingOrder="0" vertical="center"/>
    </xf>
    <xf borderId="0" fillId="0" fontId="16" numFmtId="170" xfId="0" applyAlignment="1" applyFont="1" applyNumberFormat="1">
      <alignment horizontal="left" readingOrder="0" vertical="center"/>
    </xf>
    <xf borderId="10" fillId="0" fontId="18" numFmtId="0" xfId="0" applyAlignment="1" applyBorder="1" applyFont="1">
      <alignment vertical="center"/>
    </xf>
    <xf borderId="0" fillId="5" fontId="18" numFmtId="0" xfId="0" applyAlignment="1" applyFont="1">
      <alignment readingOrder="0" vertical="center"/>
    </xf>
    <xf borderId="0" fillId="0" fontId="20" numFmtId="0" xfId="0" applyAlignment="1" applyFont="1">
      <alignment readingOrder="0" vertical="center"/>
    </xf>
    <xf borderId="0" fillId="5" fontId="36" numFmtId="0" xfId="0" applyAlignment="1" applyFont="1">
      <alignment readingOrder="0" shrinkToFit="0" vertical="center" wrapText="1"/>
    </xf>
    <xf borderId="0" fillId="0" fontId="37" numFmtId="0" xfId="0" applyAlignment="1" applyFont="1">
      <alignment readingOrder="0" vertical="center"/>
    </xf>
    <xf borderId="0" fillId="5" fontId="36" numFmtId="0" xfId="0" applyAlignment="1" applyFont="1">
      <alignment readingOrder="0" vertical="center"/>
    </xf>
    <xf borderId="0" fillId="0" fontId="36" numFmtId="0" xfId="0" applyAlignment="1" applyFont="1">
      <alignment readingOrder="0" vertical="center"/>
    </xf>
    <xf borderId="0" fillId="5" fontId="38" numFmtId="0" xfId="0" applyAlignment="1" applyFont="1">
      <alignment readingOrder="0" shrinkToFit="0" wrapText="1"/>
    </xf>
    <xf borderId="0" fillId="0" fontId="39" numFmtId="0" xfId="0" applyAlignment="1" applyFont="1">
      <alignment vertical="center"/>
    </xf>
    <xf borderId="0" fillId="0" fontId="40" numFmtId="0" xfId="0" applyAlignment="1" applyFont="1">
      <alignment vertical="center"/>
    </xf>
    <xf borderId="0" fillId="0" fontId="39" numFmtId="0" xfId="0" applyFont="1"/>
    <xf borderId="0" fillId="0" fontId="30" numFmtId="0" xfId="0" applyAlignment="1" applyFont="1">
      <alignment readingOrder="0" shrinkToFit="0" vertical="center" wrapText="0"/>
    </xf>
    <xf borderId="0" fillId="0" fontId="16" numFmtId="0" xfId="0" applyAlignment="1" applyFont="1">
      <alignment readingOrder="0" vertical="top"/>
    </xf>
    <xf borderId="0" fillId="0" fontId="16" numFmtId="0" xfId="0" applyAlignment="1" applyFont="1">
      <alignment vertical="top"/>
    </xf>
    <xf borderId="0" fillId="0" fontId="37" numFmtId="0" xfId="0" applyAlignment="1" applyFont="1">
      <alignment readingOrder="0" vertical="top"/>
    </xf>
    <xf borderId="0" fillId="0" fontId="41" numFmtId="0" xfId="0" applyAlignment="1" applyFont="1">
      <alignment readingOrder="0" shrinkToFit="0" vertical="center" wrapText="1"/>
    </xf>
    <xf borderId="11" fillId="0" fontId="18" numFmtId="0" xfId="0" applyAlignment="1" applyBorder="1" applyFont="1">
      <alignment readingOrder="0" vertical="center"/>
    </xf>
    <xf borderId="12" fillId="0" fontId="18" numFmtId="0" xfId="0" applyAlignment="1" applyBorder="1" applyFont="1">
      <alignment readingOrder="0" vertical="center"/>
    </xf>
    <xf borderId="11" fillId="0" fontId="18" numFmtId="0" xfId="0" applyAlignment="1" applyBorder="1" applyFont="1">
      <alignment horizontal="center" readingOrder="0" vertical="center"/>
    </xf>
    <xf borderId="13" fillId="0" fontId="42" numFmtId="0" xfId="0" applyBorder="1" applyFont="1"/>
    <xf borderId="0" fillId="0" fontId="41" numFmtId="0" xfId="0" applyAlignment="1" applyFont="1">
      <alignment readingOrder="0" shrinkToFit="0" vertical="top" wrapText="1"/>
    </xf>
    <xf borderId="14" fillId="5" fontId="38" numFmtId="0" xfId="0" applyAlignment="1" applyBorder="1" applyFont="1">
      <alignment vertical="bottom"/>
    </xf>
    <xf borderId="15" fillId="5" fontId="38" numFmtId="0" xfId="0" applyAlignment="1" applyBorder="1" applyFont="1">
      <alignment vertical="bottom"/>
    </xf>
    <xf borderId="15" fillId="5" fontId="38" numFmtId="0" xfId="0" applyBorder="1" applyFont="1"/>
    <xf borderId="16" fillId="5" fontId="38" numFmtId="0" xfId="0" applyAlignment="1" applyBorder="1" applyFont="1">
      <alignment vertical="bottom"/>
    </xf>
    <xf borderId="17" fillId="5" fontId="38" numFmtId="0" xfId="0" applyBorder="1" applyFont="1"/>
    <xf borderId="17" fillId="5" fontId="38" numFmtId="0" xfId="0" applyBorder="1" applyFont="1"/>
    <xf borderId="16" fillId="5" fontId="38" numFmtId="0" xfId="0" applyAlignment="1" applyBorder="1" applyFont="1">
      <alignment readingOrder="0" vertical="bottom"/>
    </xf>
    <xf borderId="17" fillId="5" fontId="38" numFmtId="0" xfId="0" applyAlignment="1" applyBorder="1" applyFont="1">
      <alignment vertical="bottom"/>
    </xf>
    <xf borderId="17" fillId="5" fontId="38" numFmtId="0" xfId="0" applyAlignment="1" applyBorder="1" applyFont="1">
      <alignment vertical="bottom"/>
    </xf>
    <xf borderId="16" fillId="5" fontId="38" numFmtId="0" xfId="0" applyBorder="1" applyFont="1"/>
    <xf borderId="16" fillId="5" fontId="38" numFmtId="0" xfId="0" applyBorder="1" applyFont="1"/>
    <xf borderId="0" fillId="5" fontId="38" numFmtId="0" xfId="0" applyFont="1"/>
    <xf borderId="5" fillId="0" fontId="20" numFmtId="4" xfId="0" applyAlignment="1" applyBorder="1" applyFont="1" applyNumberFormat="1">
      <alignment horizontal="center" readingOrder="0" vertical="center"/>
    </xf>
    <xf borderId="18" fillId="5" fontId="43" numFmtId="0" xfId="0" applyBorder="1" applyFont="1"/>
    <xf borderId="18" fillId="5" fontId="43" numFmtId="0" xfId="0" applyAlignment="1" applyBorder="1" applyFont="1">
      <alignment shrinkToFit="0" wrapText="1"/>
    </xf>
    <xf borderId="18" fillId="5" fontId="43" numFmtId="167" xfId="0" applyAlignment="1" applyBorder="1" applyFont="1" applyNumberFormat="1">
      <alignment horizontal="center" shrinkToFit="0" wrapText="1"/>
    </xf>
    <xf borderId="18" fillId="5" fontId="43" numFmtId="4" xfId="0" applyAlignment="1" applyBorder="1" applyFont="1" applyNumberFormat="1">
      <alignment horizontal="center" shrinkToFit="0" wrapText="1"/>
    </xf>
    <xf borderId="0" fillId="5" fontId="43" numFmtId="0" xfId="0" applyFont="1"/>
    <xf borderId="0" fillId="5" fontId="43" numFmtId="0" xfId="0" applyAlignment="1" applyFont="1">
      <alignment shrinkToFit="0" wrapText="1"/>
    </xf>
    <xf borderId="0" fillId="5" fontId="43" numFmtId="167" xfId="0" applyAlignment="1" applyFont="1" applyNumberFormat="1">
      <alignment horizontal="center" shrinkToFit="0" wrapText="1"/>
    </xf>
    <xf borderId="0" fillId="5" fontId="43" numFmtId="4" xfId="0" applyAlignment="1" applyFont="1" applyNumberFormat="1">
      <alignment horizontal="center" shrinkToFit="0" wrapText="1"/>
    </xf>
    <xf borderId="0" fillId="5" fontId="43" numFmtId="0" xfId="0" applyAlignment="1" applyFont="1">
      <alignment readingOrder="0" shrinkToFit="0" wrapText="1"/>
    </xf>
    <xf borderId="0" fillId="5" fontId="9" numFmtId="0" xfId="0" applyFont="1"/>
    <xf borderId="0" fillId="5" fontId="43" numFmtId="0" xfId="0" applyAlignment="1" applyFont="1">
      <alignment shrinkToFit="0" vertical="bottom" wrapText="1"/>
    </xf>
    <xf borderId="0" fillId="5" fontId="43" numFmtId="0" xfId="0" applyAlignment="1" applyFont="1">
      <alignment vertical="bottom"/>
    </xf>
    <xf borderId="0" fillId="5" fontId="43" numFmtId="167" xfId="0" applyAlignment="1" applyFont="1" applyNumberFormat="1">
      <alignment horizontal="center" shrinkToFit="0" vertical="bottom" wrapText="1"/>
    </xf>
    <xf borderId="6" fillId="0" fontId="16" numFmtId="4" xfId="0" applyAlignment="1" applyBorder="1" applyFont="1" applyNumberFormat="1">
      <alignment horizontal="left" readingOrder="0" shrinkToFit="0" vertical="center" wrapText="1"/>
    </xf>
    <xf borderId="6" fillId="0" fontId="42" numFmtId="0" xfId="0" applyBorder="1" applyFont="1"/>
    <xf borderId="6" fillId="0" fontId="15" numFmtId="4" xfId="0" applyAlignment="1" applyBorder="1" applyFont="1" applyNumberFormat="1">
      <alignment horizontal="center" vertical="center"/>
    </xf>
    <xf borderId="18" fillId="5" fontId="43" numFmtId="167" xfId="0" applyAlignment="1" applyBorder="1" applyFont="1" applyNumberFormat="1">
      <alignment horizontal="center"/>
    </xf>
    <xf borderId="0" fillId="5" fontId="43" numFmtId="167" xfId="0" applyAlignment="1" applyFont="1" applyNumberFormat="1">
      <alignment horizontal="center"/>
    </xf>
    <xf borderId="0" fillId="5" fontId="43" numFmtId="169" xfId="0" applyAlignment="1" applyFont="1" applyNumberFormat="1">
      <alignment horizontal="center"/>
    </xf>
    <xf borderId="0" fillId="0" fontId="15" numFmtId="4" xfId="0" applyAlignment="1" applyFont="1" applyNumberFormat="1">
      <alignment vertical="center"/>
    </xf>
    <xf borderId="0" fillId="0" fontId="18" numFmtId="4" xfId="0" applyAlignment="1" applyFont="1" applyNumberFormat="1">
      <alignment vertical="center"/>
    </xf>
    <xf borderId="0" fillId="0" fontId="16" numFmtId="4" xfId="0" applyAlignment="1" applyFont="1" applyNumberFormat="1">
      <alignment readingOrder="0" shrinkToFit="0" vertical="top" wrapText="1"/>
    </xf>
    <xf borderId="5" fillId="0" fontId="33" numFmtId="0" xfId="0" applyAlignment="1" applyBorder="1" applyFont="1">
      <alignment readingOrder="0" vertical="center"/>
    </xf>
    <xf borderId="18" fillId="5" fontId="16" numFmtId="0" xfId="0" applyAlignment="1" applyBorder="1" applyFont="1">
      <alignment readingOrder="0"/>
    </xf>
    <xf borderId="18" fillId="5" fontId="43" numFmtId="4" xfId="0" applyBorder="1" applyFont="1" applyNumberFormat="1"/>
    <xf borderId="18" fillId="5" fontId="43" numFmtId="167" xfId="0" applyBorder="1" applyFont="1" applyNumberFormat="1"/>
    <xf borderId="0" fillId="0" fontId="44" numFmtId="0" xfId="0" applyAlignment="1" applyFont="1">
      <alignment readingOrder="0" shrinkToFit="0" textRotation="90" vertical="center" wrapText="0"/>
    </xf>
    <xf borderId="0" fillId="5" fontId="16" numFmtId="0" xfId="0" applyAlignment="1" applyFont="1">
      <alignment readingOrder="0"/>
    </xf>
    <xf borderId="0" fillId="5" fontId="43" numFmtId="4" xfId="0" applyFont="1" applyNumberFormat="1"/>
    <xf borderId="0" fillId="5" fontId="43" numFmtId="167" xfId="0" applyFont="1" applyNumberFormat="1"/>
    <xf borderId="0" fillId="5" fontId="16" numFmtId="0" xfId="0" applyAlignment="1" applyFont="1">
      <alignment horizontal="left" readingOrder="0"/>
    </xf>
    <xf borderId="19" fillId="5" fontId="45" numFmtId="0" xfId="0" applyAlignment="1" applyBorder="1" applyFont="1">
      <alignment readingOrder="0" vertical="bottom"/>
    </xf>
    <xf borderId="15" fillId="5" fontId="38" numFmtId="0" xfId="0" applyAlignment="1" applyBorder="1" applyFont="1">
      <alignment readingOrder="0"/>
    </xf>
    <xf borderId="15" fillId="5" fontId="9" numFmtId="0" xfId="0" applyBorder="1" applyFont="1"/>
    <xf borderId="0" fillId="5" fontId="45" numFmtId="0" xfId="0" applyAlignment="1" applyFont="1">
      <alignment readingOrder="0" vertical="bottom"/>
    </xf>
    <xf borderId="17" fillId="5" fontId="38" numFmtId="0" xfId="0" applyAlignment="1" applyBorder="1" applyFont="1">
      <alignment readingOrder="0" vertical="bottom"/>
    </xf>
    <xf borderId="17" fillId="5" fontId="9" numFmtId="0" xfId="0" applyBorder="1" applyFont="1"/>
    <xf borderId="17" fillId="5" fontId="9" numFmtId="0" xfId="0" applyBorder="1" applyFont="1"/>
    <xf borderId="17" fillId="5" fontId="38" numFmtId="0" xfId="0" applyAlignment="1" applyBorder="1" applyFont="1">
      <alignment readingOrder="0"/>
    </xf>
    <xf borderId="16" fillId="5" fontId="45" numFmtId="0" xfId="0" applyAlignment="1" applyBorder="1" applyFont="1">
      <alignment readingOrder="0" vertical="bottom"/>
    </xf>
    <xf borderId="17" fillId="5" fontId="9" numFmtId="0" xfId="0" applyAlignment="1" applyBorder="1" applyFont="1">
      <alignment readingOrder="0"/>
    </xf>
    <xf borderId="0" fillId="0" fontId="45" numFmtId="0" xfId="0" applyAlignment="1" applyFont="1">
      <alignment vertical="bottom"/>
    </xf>
    <xf borderId="0" fillId="0" fontId="38" numFmtId="0" xfId="0" applyAlignment="1" applyFont="1">
      <alignment vertical="bottom"/>
    </xf>
    <xf borderId="0" fillId="0" fontId="9" numFmtId="0" xfId="0" applyFont="1"/>
    <xf borderId="0" fillId="0" fontId="38" numFmtId="0" xfId="0" applyFont="1"/>
    <xf borderId="20" fillId="5" fontId="45" numFmtId="0" xfId="0" applyAlignment="1" applyBorder="1" applyFont="1">
      <alignment vertical="bottom"/>
    </xf>
    <xf borderId="16" fillId="5" fontId="38" numFmtId="0" xfId="0" applyAlignment="1" applyBorder="1" applyFont="1">
      <alignment vertical="bottom"/>
    </xf>
    <xf borderId="0" fillId="5" fontId="16" numFmtId="167" xfId="0" applyAlignment="1" applyFont="1" applyNumberFormat="1">
      <alignment horizontal="center" readingOrder="0" vertical="center"/>
    </xf>
    <xf borderId="0" fillId="5" fontId="16" numFmtId="169" xfId="0" applyAlignment="1" applyFont="1" applyNumberFormat="1">
      <alignment horizontal="center" readingOrder="0" vertical="center"/>
    </xf>
    <xf borderId="0" fillId="0" fontId="15" numFmtId="0" xfId="0" applyAlignment="1" applyFont="1">
      <alignment shrinkToFit="0" vertical="center" wrapText="1"/>
    </xf>
    <xf borderId="0" fillId="0" fontId="18" numFmtId="0" xfId="0" applyAlignment="1" applyFont="1">
      <alignment shrinkToFit="0" vertical="center" wrapText="1"/>
    </xf>
    <xf borderId="0" fillId="0" fontId="15" numFmtId="4" xfId="0" applyAlignment="1" applyFont="1" applyNumberFormat="1">
      <alignment horizontal="center" shrinkToFit="0" vertical="center" wrapText="1"/>
    </xf>
    <xf borderId="0" fillId="5" fontId="16" numFmtId="4" xfId="0" applyAlignment="1" applyFont="1" applyNumberFormat="1">
      <alignment readingOrder="0" vertical="center"/>
    </xf>
    <xf borderId="0" fillId="5" fontId="16" numFmtId="167" xfId="0" applyAlignment="1" applyFont="1" applyNumberFormat="1">
      <alignment readingOrder="0" vertical="center"/>
    </xf>
    <xf borderId="0" fillId="5" fontId="16" numFmtId="169" xfId="0" applyAlignment="1" applyFont="1" applyNumberFormat="1">
      <alignment readingOrder="0" vertical="center"/>
    </xf>
    <xf borderId="0" fillId="5" fontId="16" numFmtId="4" xfId="0" applyAlignment="1" applyFont="1" applyNumberFormat="1">
      <alignment horizontal="right" readingOrder="0"/>
    </xf>
    <xf borderId="0" fillId="5" fontId="46" numFmtId="4" xfId="0" applyAlignment="1" applyFont="1" applyNumberFormat="1">
      <alignment horizontal="right" readingOrder="0"/>
    </xf>
    <xf borderId="0" fillId="0" fontId="47" numFmtId="0" xfId="0" applyAlignment="1" applyFont="1">
      <alignment readingOrder="0" vertical="center"/>
    </xf>
    <xf borderId="17" fillId="5" fontId="36" numFmtId="0" xfId="0" applyAlignment="1" applyBorder="1" applyFont="1">
      <alignment readingOrder="0" vertical="center"/>
    </xf>
    <xf borderId="17" fillId="5" fontId="36" numFmtId="0" xfId="0" applyAlignment="1" applyBorder="1" applyFont="1">
      <alignment vertical="center"/>
    </xf>
    <xf borderId="0" fillId="5" fontId="16" numFmtId="167" xfId="0" applyAlignment="1" applyFont="1" applyNumberFormat="1">
      <alignment horizontal="right" readingOrder="0" vertical="center"/>
    </xf>
    <xf borderId="7" fillId="0" fontId="48" numFmtId="4" xfId="0" applyAlignment="1" applyBorder="1" applyFont="1" applyNumberFormat="1">
      <alignment horizontal="left" readingOrder="0" shrinkToFit="0" vertical="center" wrapText="1"/>
    </xf>
    <xf borderId="7" fillId="0" fontId="42" numFmtId="0" xfId="0" applyBorder="1" applyFont="1"/>
    <xf borderId="7" fillId="7" fontId="23" numFmtId="4" xfId="0" applyAlignment="1" applyBorder="1" applyFont="1" applyNumberFormat="1">
      <alignment horizontal="right" vertical="center"/>
    </xf>
    <xf borderId="0" fillId="5" fontId="16" numFmtId="0" xfId="0" applyAlignment="1" applyFont="1">
      <alignment horizontal="right" readingOrder="0" shrinkToFit="0" vertical="center" wrapText="1"/>
    </xf>
    <xf borderId="0" fillId="0" fontId="49" numFmtId="0" xfId="0" applyAlignment="1" applyFont="1">
      <alignment readingOrder="0" vertical="center"/>
    </xf>
    <xf borderId="0" fillId="5" fontId="16" numFmtId="0" xfId="0" applyAlignment="1" applyFont="1">
      <alignment readingOrder="0" shrinkToFit="0" wrapText="1"/>
    </xf>
    <xf borderId="0" fillId="5" fontId="16" numFmtId="0" xfId="0" applyAlignment="1" applyFont="1">
      <alignment horizontal="center"/>
    </xf>
    <xf borderId="0" fillId="5" fontId="16" numFmtId="167" xfId="0" applyAlignment="1" applyFont="1" applyNumberFormat="1">
      <alignment horizontal="right" readingOrder="0"/>
    </xf>
    <xf borderId="0" fillId="5" fontId="16" numFmtId="0" xfId="0" applyAlignment="1" applyFont="1">
      <alignment horizontal="left" readingOrder="0" shrinkToFit="0" wrapText="1"/>
    </xf>
    <xf borderId="0" fillId="0" fontId="50" numFmtId="0" xfId="0" applyAlignment="1" applyFont="1">
      <alignment readingOrder="0"/>
    </xf>
    <xf borderId="0" fillId="0" fontId="25" numFmtId="0" xfId="0" applyAlignment="1" applyFont="1">
      <alignment readingOrder="0"/>
    </xf>
    <xf borderId="0" fillId="0" fontId="25" numFmtId="165" xfId="0" applyAlignment="1" applyFont="1" applyNumberFormat="1">
      <alignment readingOrder="0"/>
    </xf>
    <xf borderId="0" fillId="9" fontId="51" numFmtId="0" xfId="0" applyAlignment="1" applyFont="1">
      <alignment vertical="bottom"/>
    </xf>
    <xf borderId="0" fillId="0" fontId="51" numFmtId="0" xfId="0" applyAlignment="1" applyFont="1">
      <alignment vertical="bottom"/>
    </xf>
    <xf borderId="0" fillId="9" fontId="51" numFmtId="0" xfId="0" applyAlignment="1" applyFont="1">
      <alignment readingOrder="0" vertical="bottom"/>
    </xf>
    <xf borderId="0" fillId="9" fontId="51" numFmtId="4" xfId="0" applyAlignment="1" applyFont="1" applyNumberFormat="1">
      <alignment vertical="bottom"/>
    </xf>
    <xf borderId="0" fillId="5" fontId="16" numFmtId="0" xfId="0" applyAlignment="1" applyFont="1">
      <alignment vertical="center"/>
    </xf>
    <xf borderId="0" fillId="5" fontId="16" numFmtId="167" xfId="0" applyAlignment="1" applyFont="1" applyNumberFormat="1">
      <alignment readingOrder="0" shrinkToFit="0" vertical="center" wrapText="1"/>
    </xf>
    <xf borderId="0" fillId="5" fontId="16" numFmtId="0" xfId="0" applyFont="1"/>
    <xf borderId="0" fillId="5" fontId="16" numFmtId="167" xfId="0" applyFont="1" applyNumberFormat="1"/>
    <xf borderId="0" fillId="5" fontId="25" numFmtId="167" xfId="0" applyFont="1" applyNumberFormat="1"/>
    <xf borderId="0" fillId="0" fontId="25" numFmtId="3" xfId="0" applyAlignment="1" applyFont="1" applyNumberFormat="1">
      <alignment readingOrder="0"/>
    </xf>
    <xf borderId="0" fillId="0" fontId="25" numFmtId="0" xfId="0" applyAlignment="1" applyFont="1">
      <alignment horizontal="right" readingOrder="0"/>
    </xf>
    <xf borderId="0" fillId="0" fontId="50" numFmtId="0" xfId="0" applyAlignment="1" applyFont="1">
      <alignment horizontal="right" readingOrder="0"/>
    </xf>
    <xf borderId="0" fillId="0" fontId="50" numFmtId="0" xfId="0" applyAlignment="1" applyFont="1">
      <alignment horizontal="right" readingOrder="0" shrinkToFit="0" wrapText="1"/>
    </xf>
    <xf borderId="0" fillId="5" fontId="50" numFmtId="0" xfId="0" applyAlignment="1" applyFont="1">
      <alignment horizontal="right" readingOrder="0" shrinkToFit="0" wrapText="1"/>
    </xf>
    <xf borderId="0" fillId="0" fontId="25" numFmtId="4" xfId="0" applyAlignment="1" applyFont="1" applyNumberFormat="1">
      <alignment horizontal="right" readingOrder="0"/>
    </xf>
    <xf borderId="0" fillId="0" fontId="50" numFmtId="4" xfId="0" applyAlignment="1" applyFont="1" applyNumberFormat="1">
      <alignment horizontal="right" readingOrder="0"/>
    </xf>
    <xf borderId="0" fillId="0" fontId="25" numFmtId="10" xfId="0" applyAlignment="1" applyFont="1" applyNumberFormat="1">
      <alignment horizontal="right" readingOrder="0"/>
    </xf>
    <xf borderId="0" fillId="5" fontId="25" numFmtId="10" xfId="0" applyAlignment="1" applyFont="1" applyNumberFormat="1">
      <alignment horizontal="right" readingOrder="0"/>
    </xf>
    <xf borderId="0" fillId="0" fontId="25" numFmtId="3" xfId="0" applyFont="1" applyNumberFormat="1"/>
    <xf borderId="0" fillId="0" fontId="25" numFmtId="0" xfId="0" applyAlignment="1" applyFont="1">
      <alignment horizontal="right"/>
    </xf>
    <xf borderId="0" fillId="0" fontId="50" numFmtId="0" xfId="0" applyAlignment="1" applyFont="1">
      <alignment horizontal="right"/>
    </xf>
    <xf borderId="0" fillId="0" fontId="25" numFmtId="4" xfId="0" applyAlignment="1" applyFont="1" applyNumberFormat="1">
      <alignment horizontal="right"/>
    </xf>
    <xf borderId="0" fillId="0" fontId="50" numFmtId="4" xfId="0" applyAlignment="1" applyFont="1" applyNumberFormat="1">
      <alignment horizontal="right"/>
    </xf>
    <xf borderId="0" fillId="8" fontId="52" numFmtId="165" xfId="0" applyAlignment="1" applyFont="1" applyNumberFormat="1">
      <alignment readingOrder="0"/>
    </xf>
    <xf borderId="0" fillId="0" fontId="25" numFmtId="4" xfId="0" applyAlignment="1" applyFont="1" applyNumberFormat="1">
      <alignment readingOrder="0"/>
    </xf>
    <xf borderId="0" fillId="0" fontId="25" numFmtId="10" xfId="0" applyAlignment="1" applyFont="1" applyNumberForma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pivotCacheDefinition" Target="pivotCache/pivotCacheDefinition1.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tx>
            <c:strRef>
              <c:f>RESUMO!$B$8</c:f>
            </c:strRef>
          </c:tx>
          <c:dPt>
            <c:idx val="0"/>
            <c:explosion val="0"/>
            <c:spPr>
              <a:solidFill>
                <a:srgbClr val="94DCC3"/>
              </a:solidFill>
            </c:spPr>
          </c:dPt>
          <c:dPt>
            <c:idx val="1"/>
            <c:spPr>
              <a:solidFill>
                <a:srgbClr val="496C60"/>
              </a:solidFill>
            </c:spPr>
          </c:dPt>
          <c:dPt>
            <c:idx val="2"/>
            <c:spPr>
              <a:solidFill>
                <a:srgbClr val="999999"/>
              </a:solidFill>
            </c:spPr>
          </c:dPt>
          <c:dPt>
            <c:idx val="3"/>
            <c:spPr>
              <a:solidFill>
                <a:srgbClr val="D9D9D9"/>
              </a:solidFill>
            </c:spPr>
          </c:dPt>
          <c:dLbls>
            <c:showLegendKey val="0"/>
            <c:showVal val="0"/>
            <c:showCatName val="0"/>
            <c:showSerName val="0"/>
            <c:showPercent val="0"/>
            <c:showBubbleSize val="0"/>
            <c:showLeaderLines val="1"/>
          </c:dLbls>
          <c:cat>
            <c:strRef>
              <c:f>RESUMO!$A$9:$A$12</c:f>
            </c:strRef>
          </c:cat>
          <c:val>
            <c:numRef>
              <c:f>RESUMO!$B$9:$B$12</c:f>
              <c:numCache/>
            </c:numRef>
          </c:val>
        </c:ser>
        <c:dLbls>
          <c:showLegendKey val="0"/>
          <c:showVal val="0"/>
          <c:showCatName val="0"/>
          <c:showSerName val="0"/>
          <c:showPercent val="0"/>
          <c:showBubbleSize val="0"/>
        </c:dLbls>
        <c:holeSize val="50"/>
      </c:doughnutChart>
    </c:plotArea>
    <c:legend>
      <c:legendPos val="r"/>
      <c:overlay val="0"/>
      <c:txPr>
        <a:bodyPr/>
        <a:lstStyle/>
        <a:p>
          <a:pPr lvl="0">
            <a:defRPr b="1" i="1" sz="1200">
              <a:solidFill>
                <a:srgbClr val="1A1A1A"/>
              </a:solidFill>
              <a:latin typeface="Arial Narrow"/>
            </a:defRPr>
          </a:pPr>
        </a:p>
      </c:txPr>
    </c:legend>
    <c:plotVisOnly val="1"/>
  </c:chart>
  <c:spPr>
    <a:solidFill>
      <a:srgbClr val="FFFFFF">
        <a:alpha val="0"/>
      </a:srgbClr>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jpg"/></Relationships>
</file>

<file path=xl/drawings/_rels/drawing11.xml.rels><?xml version="1.0" encoding="UTF-8" standalone="yes"?><Relationships xmlns="http://schemas.openxmlformats.org/package/2006/relationships"><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438150</xdr:colOff>
      <xdr:row>19</xdr:row>
      <xdr:rowOff>200025</xdr:rowOff>
    </xdr:from>
    <xdr:ext cx="3371850" cy="1905000"/>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447675</xdr:colOff>
      <xdr:row>1</xdr:row>
      <xdr:rowOff>123825</xdr:rowOff>
    </xdr:from>
    <xdr:ext cx="1428750" cy="295275"/>
    <xdr:pic>
      <xdr:nvPicPr>
        <xdr:cNvPr id="0" name="image1.jpg" title="Imagem"/>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41</xdr:row>
      <xdr:rowOff>190500</xdr:rowOff>
    </xdr:from>
    <xdr:ext cx="7591425" cy="3714750"/>
    <xdr:pic>
      <xdr:nvPicPr>
        <xdr:cNvPr id="0" name="image4.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37</xdr:row>
      <xdr:rowOff>28575</xdr:rowOff>
    </xdr:from>
    <xdr:ext cx="7372350" cy="2066925"/>
    <xdr:pic>
      <xdr:nvPicPr>
        <xdr:cNvPr id="0" name="image2.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36</xdr:row>
      <xdr:rowOff>209550</xdr:rowOff>
    </xdr:from>
    <xdr:ext cx="7000875" cy="2400300"/>
    <xdr:pic>
      <xdr:nvPicPr>
        <xdr:cNvPr id="0" name="image3.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1:P273" sheet="Resumo - TIMESHEETS"/>
  </cacheSource>
  <cacheFields>
    <cacheField name="RowID" numFmtId="0">
      <sharedItems containsString="0" containsBlank="1">
        <m/>
      </sharedItems>
    </cacheField>
    <cacheField name="Projeto" numFmtId="0">
      <sharedItems>
        <s v="IRIS"/>
        <s v="Notify"/>
        <s v="P&amp;D_1"/>
        <s v="P&amp;D_2"/>
        <s v="P&amp;D_3"/>
      </sharedItems>
    </cacheField>
    <cacheField name="Etapa" numFmtId="0">
      <sharedItems>
        <s v="Revisão protocolos de comissionamento"/>
        <s v="Aprimorar dados de processo"/>
        <s v="Configuração de dispositivo de acesso remoto"/>
        <s v="IRISV3 - Projetar novo sistema de automação"/>
        <s v="Criação de processo de liberação de versão"/>
        <s v="Tradução da Interface para o idioma Estoniano"/>
        <s v="Alteração de UPS "/>
        <s v="IRISV3 - Desenvolvimento de bilbioteca  de objetos"/>
        <s v="Tradução da Interface para o idioma Italiano"/>
        <s v="Unificação de software p/ Rockwell"/>
        <s v="IRIS V3 - Controle de receita avançado"/>
        <s v="Refatoração dos scripts p/ C#"/>
        <s v="IRIS V3 - Operação por lotes com controle de receita avançado"/>
        <s v="IRIS V3 - Gerenciamento de falhas"/>
        <s v="IRIS V3 - Análise de gráficos avançada"/>
        <s v="IRIS V3 - Testes de estresse do software"/>
        <s v="Criação de ordens de serviço"/>
        <s v="Planejamento de manutenções preventivas"/>
        <s v="Teste de penetração (cybersegurança)"/>
        <s v="Gerencimeno de licenças"/>
        <s v="Duplicar máquinas existentes"/>
        <s v="Cadastro de tarefas de manutenção preventiva"/>
        <s v="NETZSCH G&amp;D Digital Products Home"/>
        <s v="Relatório de lotes"/>
        <s v="Exportar dados para o Excel"/>
        <s v="Adequação do Gateway para o IRIS V3"/>
        <s v="Templates de gráficos"/>
        <s v="Definição parametros e metricas"/>
        <s v="Definição dos equipamentos e metodos de medição"/>
        <s v="Realização de testes"/>
        <s v="Divulgação dos resultados para NFT"/>
        <s v="Outros tamanhos e geometrias de dentes das ferramentas, outros materiais"/>
        <s v=" Facas de pré-corte &#10;Ativar"/>
        <s v="Criar banco de dados de processo com informações de vazão, potencia, rotação e tamanho de particula para MasterCream"/>
        <s v="Melhorias do MasterCream MINI"/>
        <s v="Rotor liso para redução da viscosidade após a moagem"/>
        <s v="MasterRefiner 30 Hygienic design"/>
        <s v="Sistema de limpeza com água"/>
        <s v="Caracterização de nivel de residuos remanescentes"/>
      </sharedItems>
    </cacheField>
    <cacheField name="Colaborador" numFmtId="0">
      <sharedItems>
        <s v="Alexandre Baseggio"/>
        <s v="Eduardo Flohr"/>
        <s v="Gabriel Alves Ferraz"/>
        <s v="Filipe Harbs"/>
        <s v="Ivo Ersching"/>
        <s v="Lucca Sardá Tonim Matos"/>
        <s v="Johann Ribeiro"/>
        <s v="Paulo Fernando Odwazny"/>
        <s v="Marcos Tribess"/>
        <s v="Guilherme Jacques"/>
        <s v="Ricardo Bordin"/>
        <s v="Gabriel Oliveira"/>
        <s v="Rafael Augusto Barbieri Lobato"/>
        <s v="Italo Ebel"/>
        <s v="Bruno katzjarowksi"/>
        <s v="Gabriel Possamai"/>
        <s v="Arthur Muniz"/>
        <s v="Cleiton Capristano"/>
        <s v="Alberto Reuters"/>
        <s v="Theron Wolfgang Harbs"/>
        <s v="Jivago Rusch"/>
        <s v="Fernando Leal"/>
      </sharedItems>
    </cacheField>
    <cacheField name="CPF" numFmtId="0">
      <sharedItems containsBlank="1">
        <m/>
        <s v="064.303.159-67"/>
        <s v="132.105.086-07"/>
        <s v="123.342.589-70"/>
        <s v="100.110.019-09"/>
        <s v="035.705.119-01"/>
        <s v="085.943.039-12"/>
        <s v="534.546.398-08"/>
        <s v="080.850.859-84"/>
        <s v="085.815.809-47"/>
        <s v="037.196.611-64"/>
        <s v="068.504.079-88"/>
        <s v="041.176.229-00"/>
      </sharedItems>
    </cacheField>
    <cacheField name="Data" numFmtId="167">
      <sharedItems containsSemiMixedTypes="0" containsDate="1" containsString="0">
        <d v="2023-01-01T00:00:00Z"/>
        <d v="2023-02-01T00:00:00Z"/>
        <d v="2023-03-01T00:00:00Z"/>
        <d v="2023-04-01T00:00:00Z"/>
        <d v="2023-05-01T00:00:00Z"/>
        <d v="2023-06-01T00:00:00Z"/>
        <d v="2023-07-01T00:00:00Z"/>
        <d v="2023-08-01T00:00:00Z"/>
        <d v="2023-09-01T00:00:00Z"/>
        <d v="2023-10-01T00:00:00Z"/>
        <d v="2023-11-01T00:00:00Z"/>
        <d v="2023-12-01T00:00:00Z"/>
        <d v="2023-04-05T00:00:00Z"/>
        <d v="2023-09-26T00:00:00Z"/>
        <d v="2023-10-04T00:00:00Z"/>
        <d v="2023-11-30T00:00:00Z"/>
        <d v="2023-01-25T00:00:00Z"/>
        <d v="2023-07-18T00:00:00Z"/>
        <d v="2023-07-04T00:00:00Z"/>
        <d v="2023-09-29T00:00:00Z"/>
        <d v="2023-10-18T00:00:00Z"/>
        <d v="2023-08-29T00:00:00Z"/>
        <d v="2023-04-08T00:00:00Z"/>
        <d v="2023-08-10T00:00:00Z"/>
        <d v="2023-10-02T00:00:00Z"/>
        <d v="2023-11-14T00:00:00Z"/>
        <d v="2023-12-08T00:00:00Z"/>
        <d v="2023-12-15T00:00:00Z"/>
      </sharedItems>
    </cacheField>
    <cacheField name="Tempo (h)" numFmtId="4">
      <sharedItems containsSemiMixedTypes="0" containsString="0" containsNumber="1">
        <n v="19.77"/>
        <n v="2.5"/>
        <n v="28.0"/>
        <n v="22.0"/>
        <n v="11.0"/>
        <n v="4.0"/>
        <n v="5.5"/>
        <n v="33.0"/>
        <n v="4.33"/>
        <n v="6.0"/>
        <n v="5.0"/>
        <n v="24.0"/>
        <n v="3.0"/>
        <n v="3.2"/>
        <n v="17.33"/>
        <n v="15.0"/>
        <n v="30.0"/>
        <n v="15.75"/>
        <n v="17.5"/>
        <n v="32.5"/>
        <n v="16.85"/>
        <n v="1.92"/>
        <n v="26.75"/>
        <n v="86.58"/>
        <n v="61.98"/>
        <n v="80.25"/>
        <n v="15.58"/>
        <n v="25.0"/>
        <n v="16.58"/>
        <n v="10.0"/>
        <n v="1.0"/>
        <n v="1.75"/>
        <n v="7.75"/>
        <n v="5.3"/>
        <n v="5.67"/>
        <n v="28.17"/>
        <n v="54.28"/>
        <n v="42.83"/>
        <n v="19.5"/>
        <n v="40.5"/>
        <n v="3.25"/>
        <n v="83.25"/>
        <n v="34.0"/>
        <n v="21.6"/>
        <n v="24.5"/>
        <n v="202.6"/>
        <n v="200.93"/>
        <n v="89.5"/>
        <n v="0.25"/>
        <n v="2.25"/>
        <n v="84.4"/>
        <n v="8.75"/>
        <n v="50.0"/>
        <n v="49.33"/>
        <n v="6.92"/>
        <n v="5.75"/>
        <n v="47.67"/>
        <n v="200.17"/>
        <n v="233.0"/>
        <n v="121.17"/>
        <n v="123.0"/>
        <n v="25.5"/>
        <n v="77.15"/>
        <n v="21.3"/>
        <n v="7.25"/>
        <n v="32.0"/>
        <n v="8.0"/>
        <n v="14.0"/>
        <n v="2.0"/>
        <n v="18.0"/>
        <n v="29.75"/>
        <n v="31.5"/>
        <n v="159.92"/>
        <n v="235.17"/>
        <n v="170.3"/>
        <n v="39.0"/>
        <n v="157.0"/>
        <n v="31.0"/>
        <n v="11.08"/>
        <n v="48.25"/>
        <n v="179.42"/>
        <n v="240.8"/>
        <n v="150.85"/>
        <n v="62.0"/>
        <n v="67.1"/>
        <n v="168.88"/>
        <n v="6.5"/>
        <n v="10.5"/>
        <n v="0.5"/>
        <n v="4.25"/>
        <n v="9.0"/>
        <n v="31.25"/>
        <n v="86.75"/>
        <n v="180.5"/>
        <n v="167.35"/>
        <n v="32.55"/>
        <n v="128.07"/>
        <n v="14.25"/>
        <n v="7.0"/>
        <n v="25.22"/>
        <n v="46.5"/>
        <n v="119.5"/>
        <n v="5.55"/>
        <n v="64.28"/>
        <n v="98.0"/>
        <n v="64.61"/>
        <n v="13.25"/>
        <n v="25.4"/>
        <n v="144.75"/>
        <n v="8.25"/>
        <n v="203.8"/>
        <n v="43.0"/>
        <n v="102.78"/>
        <n v="20.0"/>
        <n v="29.67"/>
        <n v="8.8"/>
        <n v="57.75"/>
        <n v="72.8"/>
        <n v="39.2"/>
        <n v="166.0"/>
        <n v="125.0"/>
        <n v="163.0"/>
        <n v="175.0"/>
        <n v="13.0"/>
        <n v="171.0"/>
        <n v="17.0"/>
        <n v="179.0"/>
        <n v="182.0"/>
        <n v="76.0"/>
        <n v="220.0"/>
        <n v="12.0"/>
        <n v="66.0"/>
        <n v="219.0"/>
        <n v="38.0"/>
        <n v="211.0"/>
        <n v="145.0"/>
        <n v="161.0"/>
        <n v="99.0"/>
        <n v="23.0"/>
        <n v="207.0"/>
        <n v="110.0"/>
        <n v="213.0"/>
        <n v="192.0"/>
        <n v="48.0"/>
        <n v="206.0"/>
        <n v="204.0"/>
        <n v="160.0"/>
        <n v="205.0"/>
        <n v="26.0"/>
        <n v="40.0"/>
        <n v="199.0"/>
        <n v="214.0"/>
        <n v="107.0"/>
        <n v="209.0"/>
        <n v="80.0"/>
        <n v="226.0"/>
        <n v="68.0"/>
        <n v="102.0"/>
        <n v="124.0"/>
        <n v="190.0"/>
        <n v="120.0"/>
        <n v="64.0"/>
        <n v="201.0"/>
        <n v="223.0"/>
        <n v="181.0"/>
        <n v="186.0"/>
        <n v="21.0"/>
        <n v="140.0"/>
        <n v="55.0"/>
        <n v="172.0"/>
        <n v="111.0"/>
        <n v="96.0"/>
        <n v="44.0"/>
        <n v="108.0"/>
        <n v="88.0"/>
        <n v="16.0"/>
        <n v="176.0"/>
        <n v="132.0"/>
        <n v="5.33"/>
      </sharedItems>
    </cacheField>
    <cacheField name=" " numFmtId="46">
      <sharedItems containsSemiMixedTypes="0" containsDate="1" containsString="0">
        <d v="1899-12-30T19:46:12Z"/>
        <d v="1899-12-30T02:30:00Z"/>
        <d v="1899-12-31T04:00:00Z"/>
        <d v="1899-12-30T22:00:00Z"/>
        <d v="1899-12-30T11:00:00Z"/>
        <d v="1899-12-30T04:00:00Z"/>
        <d v="1899-12-30T05:30:00Z"/>
        <d v="1899-12-31T09:00:00Z"/>
        <d v="1899-12-30T04:19:48Z"/>
        <d v="1899-12-30T06:00:00Z"/>
        <d v="1899-12-30T05:00:00Z"/>
        <d v="1899-12-31T00:00:00Z"/>
        <d v="1899-12-30T03:00:00Z"/>
        <d v="1899-12-30T03:12:00Z"/>
        <d v="1899-12-30T17:19:48Z"/>
        <d v="1899-12-30T15:00:00Z"/>
        <d v="1899-12-31T06:00:00Z"/>
        <d v="1899-12-30T15:45:00Z"/>
        <d v="1899-12-30T17:30:00Z"/>
        <d v="1899-12-31T08:30:00Z"/>
        <d v="1899-12-30T16:51:00Z"/>
        <d v="1899-12-30T01:55:12Z"/>
        <d v="1899-12-31T02:45:00Z"/>
        <d v="1900-01-02T14:34:48Z"/>
        <d v="1900-01-01T13:58:48Z"/>
        <d v="1900-01-02T08:15:00Z"/>
        <d v="1899-12-30T15:34:48Z"/>
        <d v="1899-12-31T01:00:00Z"/>
        <d v="1899-12-30T16:34:48Z"/>
        <d v="1899-12-30T10:00:00Z"/>
        <d v="1899-12-30T01:00:00Z"/>
        <d v="1899-12-30T01:45:00Z"/>
        <d v="1899-12-30T07:45:00Z"/>
        <d v="1899-12-30T05:18:00Z"/>
        <d v="1899-12-30T05:40:12Z"/>
        <d v="1899-12-31T04:10:12Z"/>
        <d v="1900-01-01T06:16:48Z"/>
        <d v="1899-12-31T18:49:48Z"/>
        <d v="1899-12-30T19:30:00Z"/>
        <d v="1899-12-31T16:30:00Z"/>
        <d v="1899-12-30T03:15:00Z"/>
        <d v="1900-01-02T11:15:00Z"/>
        <d v="1899-12-31T10:00:00Z"/>
        <d v="1899-12-30T21:36:00Z"/>
        <d v="1899-12-31T00:30:00Z"/>
        <d v="1900-01-07T10:36:00Z"/>
        <d v="1900-01-07T08:55:48Z"/>
        <d v="1900-01-02T17:30:00Z"/>
        <d v="1899-12-30T00:15:00Z"/>
        <d v="1899-12-30T02:15:00Z"/>
        <d v="1900-01-02T12:24:00Z"/>
        <d v="1899-12-30T08:45:00Z"/>
        <d v="1900-01-01T02:00:00Z"/>
        <d v="1900-01-01T01:19:48Z"/>
        <d v="1899-12-30T06:55:12Z"/>
        <d v="1899-12-30T05:45:00Z"/>
        <d v="1899-12-31T23:40:12Z"/>
        <d v="1900-01-07T08:10:12Z"/>
        <d v="1900-01-08T17:00:00Z"/>
        <d v="1900-01-04T01:10:12Z"/>
        <d v="1900-01-04T03:00:00Z"/>
        <d v="1899-12-31T01:30:00Z"/>
        <d v="1900-01-02T05:09:00Z"/>
        <d v="1899-12-30T21:18:00Z"/>
        <d v="1899-12-30T07:15:00Z"/>
        <d v="1899-12-31T08:00:00Z"/>
        <d v="1899-12-30T08:00:00Z"/>
        <d v="1899-12-30T14:00:00Z"/>
        <d v="1899-12-30T02:00:00Z"/>
        <d v="1899-12-30T18:00:00Z"/>
        <d v="1899-12-31T05:45:00Z"/>
        <d v="1899-12-31T07:30:00Z"/>
        <d v="1900-01-05T15:55:12Z"/>
        <d v="1900-01-08T19:10:12Z"/>
        <d v="1900-01-06T02:18:00Z"/>
        <d v="1899-12-31T15:00:00Z"/>
        <d v="1900-01-05T13:00:00Z"/>
        <d v="1899-12-31T07:00:00Z"/>
        <d v="1899-12-30T11:04:48Z"/>
        <d v="1900-01-01T00:15:00Z"/>
        <d v="1900-01-06T11:25:12Z"/>
        <d v="1900-01-09T00:48:00Z"/>
        <d v="1900-01-05T06:51:00Z"/>
        <d v="1900-01-01T14:00:00Z"/>
        <d v="1900-01-01T19:06:00Z"/>
        <d v="1900-01-06T00:52:48Z"/>
        <d v="1899-12-30T06:30:00Z"/>
        <d v="1899-12-30T10:30:00Z"/>
        <d v="1899-12-30T00:30:00Z"/>
        <d v="1899-12-30T04:15:00Z"/>
        <d v="1899-12-30T09:00:00Z"/>
        <d v="1899-12-31T07:15:00Z"/>
        <d v="1900-01-02T14:45:00Z"/>
        <d v="1900-01-06T12:30:00Z"/>
        <d v="1900-01-05T23:21:00Z"/>
        <d v="1899-12-31T08:33:00Z"/>
        <d v="1900-01-04T08:04:12Z"/>
        <d v="1899-12-30T14:15:00Z"/>
        <d v="1899-12-30T07:00:00Z"/>
        <d v="1899-12-31T01:13:12Z"/>
        <d v="1899-12-31T22:30:00Z"/>
        <d v="1900-01-03T23:30:00Z"/>
        <d v="1899-12-30T05:33:00Z"/>
        <d v="1900-01-01T16:16:48Z"/>
        <d v="1900-01-03T02:00:00Z"/>
        <d v="1900-01-01T16:36:36Z"/>
        <d v="1899-12-30T13:15:00Z"/>
        <d v="1899-12-31T01:24:00Z"/>
        <d v="1900-01-05T00:45:00Z"/>
        <d v="1899-12-30T08:15:00Z"/>
        <d v="1900-01-07T11:48:00Z"/>
        <d v="1899-12-31T19:00:00Z"/>
        <d v="1900-01-03T06:46:48Z"/>
        <d v="1899-12-30T20:00:00Z"/>
        <d v="1899-12-31T05:40:12Z"/>
        <d v="1899-12-30T08:48:00Z"/>
        <d v="1900-01-01T09:45:00Z"/>
        <d v="1900-01-02T00:48:00Z"/>
        <d v="1899-12-31T15:12:00Z"/>
        <d v="1900-01-05T22:00:00Z"/>
        <d v="1900-01-04T05:00:00Z"/>
        <d v="1900-01-05T19:00:00Z"/>
        <d v="1900-01-06T07:00:00Z"/>
        <d v="1899-12-30T13:00:00Z"/>
        <d v="1900-01-06T03:00:00Z"/>
        <d v="1899-12-30T17:00:00Z"/>
        <d v="1900-01-06T11:00:00Z"/>
        <d v="1900-01-06T14:00:00Z"/>
        <d v="1900-01-02T04:00:00Z"/>
        <d v="1900-01-08T04:00:00Z"/>
        <d v="1899-12-30T12:00:00Z"/>
        <d v="1900-01-01T18:00:00Z"/>
        <d v="1900-01-08T03:00:00Z"/>
        <d v="1899-12-31T14:00:00Z"/>
        <d v="1900-01-07T19:00:00Z"/>
        <d v="1900-01-05T01:00:00Z"/>
        <d v="1900-01-05T17:00:00Z"/>
        <d v="1900-01-03T03:00:00Z"/>
        <d v="1899-12-30T23:00:00Z"/>
        <d v="1900-01-07T15:00:00Z"/>
        <d v="1900-01-03T14:00:00Z"/>
        <d v="1900-01-07T21:00:00Z"/>
        <d v="1900-01-07T00:00:00Z"/>
        <d v="1900-01-01T00:00:00Z"/>
        <d v="1900-01-07T14:00:00Z"/>
        <d v="1900-01-07T12:00:00Z"/>
        <d v="1900-01-05T16:00:00Z"/>
        <d v="1900-01-07T13:00:00Z"/>
        <d v="1899-12-31T02:00:00Z"/>
        <d v="1899-12-31T16:00:00Z"/>
        <d v="1900-01-07T07:00:00Z"/>
        <d v="1900-01-07T22:00:00Z"/>
        <d v="1900-01-03T11:00:00Z"/>
        <d v="1900-01-07T17:00:00Z"/>
        <d v="1900-01-02T08:00:00Z"/>
        <d v="1900-01-08T10:00:00Z"/>
        <d v="1900-01-01T20:00:00Z"/>
        <d v="1900-01-03T06:00:00Z"/>
        <d v="1900-01-04T04:00:00Z"/>
        <d v="1900-01-06T22:00:00Z"/>
        <d v="1900-01-04T00:00:00Z"/>
        <d v="1900-01-01T16:00:00Z"/>
        <d v="1900-01-07T09:00:00Z"/>
        <d v="1900-01-08T07:00:00Z"/>
        <d v="1900-01-06T13:00:00Z"/>
        <d v="1900-01-06T18:00:00Z"/>
        <d v="1899-12-30T21:00:00Z"/>
        <d v="1900-01-04T20:00:00Z"/>
        <d v="1900-01-01T07:00:00Z"/>
        <d v="1900-01-06T04:00:00Z"/>
        <d v="1900-01-03T15:00:00Z"/>
        <d v="1900-01-03T00:00:00Z"/>
        <d v="1899-12-31T20:00:00Z"/>
        <d v="1900-01-03T12:00:00Z"/>
        <d v="1900-01-02T16:00:00Z"/>
        <d v="1899-12-30T16:00:00Z"/>
        <d v="1900-01-06T08:00:00Z"/>
        <d v="1900-01-04T12:00:00Z"/>
        <d v="1899-12-30T05:19:48Z"/>
      </sharedItems>
    </cacheField>
    <cacheField name="Classificação" numFmtId="0">
      <sharedItems>
        <s v="Desenvolvimento"/>
        <s v="Gestão e outros"/>
        <s v="Pesquisa"/>
      </sharedItems>
    </cacheField>
    <cacheField name="Descrição da atividade e observações" numFmtId="0">
      <sharedItems containsBlank="1">
        <s v="Desenvolvimento PLC"/>
        <s v="Gestão"/>
        <s v="Desenvolvimento IHM"/>
        <s v="Documentação"/>
        <s v="Especificação da funcionalidade"/>
        <m/>
        <s v="Desgin UX/UI"/>
        <s v="Desenvolvimento Backend"/>
        <s v="Desenvolvimento Frontend"/>
        <s v="Testes"/>
        <s v="Especificação dos principais testes"/>
        <s v="Análise de testes"/>
        <s v="Desenvolvimento dos designs (UI/UX)"/>
        <s v="Especificação da viscosidade e ponto de fluidez esperado com base no cliente da NFT, definição da receita do chocolate ao leite"/>
        <s v="Preparação do laboratorio de food para realizar as etapas de processamento de chocolate, medição de granulometria, reologia e umidade"/>
        <s v="Realizar a fabricação do chocolate ao leite no laboratorio de food da NEM, Coletar dados do processo, verificar os resultados e ajustar os parametros"/>
        <s v="Definir entre testes 1 a 12 qual a NFT deve repetir na Alemanha"/>
        <s v="Modelamento, detalhamento e lista de peças das ferramentas de moagem com dentes de 5mm"/>
        <s v="Testes com ferramentas de 5mm com alho e amendoas"/>
        <s v="Desenvolvimento de fornecedor, modelamento, detalhamento e lista de peças para ferramentas de moagem em AISI304 revestidas com CR3CR2"/>
        <s v="Teste com ferramentas revestidas com CR3CR2 em cliente com moagem de nibs de cacau"/>
        <s v="Modelamento, detalhamento, lista de peças e testes de facas de pré corte com amendoas com alto teor de umidade"/>
        <s v="Coleta de dados do MCIL40 em cliente durante Startup, criação de planiilha de calculo com dados tecnicos para comparação do dos tamanhos diferentes de maquinas para scale up, manual de boas praticas de operação, alteração do projeto das ferramentas do MCI"/>
        <s v="Desenvolvimento de novo rotor de moagem, acionamento com mais potencia, dispositivo para diferentes tamanhos de entrada de produto, tubo de imersão, valvula para limitação da area de descarga, realização de testes com amendoim"/>
        <s v="Desenvolvimento de ferramentas lisas com diferentes fendas, realização de testes com chocolate ao leite após a moagem, verificação da redução da viscosidade"/>
        <s v="Modelamento, detalhamento e lista de peças"/>
        <s v="Desenvolvimento do fluxograma de limpeza"/>
        <s v="Projeto para o sistema de limpeza preliminar"/>
        <s v="Teste preliminar de limpeza na Concha"/>
        <s v="Teste 1 de limpeza da concha com água quente"/>
        <s v="Teste 2 limpeza  da concha com água quente. utilizado um cabeçote de cada vez para aumentar a pressão"/>
        <s v="Pesquisar normas/legislação brasileira, europeia e americana. Desenvolver metodo de analise de residuos"/>
      </sharedItems>
    </cacheField>
    <cacheField name="Custo" numFmtId="165">
      <sharedItems containsSemiMixedTypes="0" containsString="0" containsNumber="1">
        <n v="1057.0823891448556"/>
        <n v="0.0"/>
        <n v="598.9000898232323"/>
        <n v="929.5678615793651"/>
        <n v="689.2851566130952"/>
        <n v="175.05405007954542"/>
        <n v="356.9625727265624"/>
        <n v="731.0785455468749"/>
        <n v="54.03424221590908"/>
        <n v="299.4969545454545"/>
        <n v="320.4183047059659"/>
        <n v="121.7126755372859"/>
        <n v="977.5347738370157"/>
        <n v="577.6237121541502"/>
        <n v="170.81868972332015"/>
        <n v="625.7590215003294"/>
        <n v="811.0161175204656"/>
        <n v="510.54310146256046"/>
        <n v="92.41251902903821"/>
        <n v="939.0147400790513"/>
        <n v="5753.356623390818"/>
        <n v="2124.380880229361"/>
        <n v="232.31960783422454"/>
        <n v="372.78499331550796"/>
        <n v="1938.8189055230612"/>
        <n v="52.29370534692512"/>
        <n v="115.80604051704543"/>
        <n v="482.85329927005336"/>
        <n v="265.28282455187156"/>
        <n v="283.8025689073796"/>
        <n v="5188.402419786095"/>
        <n v="2239.739400008803"/>
        <n v="1512.2787463079876"/>
        <n v="603.9116891711228"/>
        <n v="202.48686743582883"/>
        <n v="10624.72136528668"/>
        <n v="691.3562696788911"/>
        <n v="830.4675363173553"/>
        <n v="238.28289847210738"/>
        <n v="14875.408499770429"/>
        <n v="8071.04642494655"/>
        <n v="5331.579853313403"/>
        <n v="463.8836668388429"/>
        <n v="2.863479424931129"/>
        <n v="107.67916136570247"/>
        <n v="8273.921564780774"/>
        <n v="857.7821527468219"/>
        <n v="1016.7003965866045"/>
        <n v="565.0217601274103"/>
        <n v="79.26111048209364"/>
        <n v="275.18007904568407"/>
        <n v="15363.20997564935"/>
        <n v="9783.505633251623"/>
        <n v="7545.386800678806"/>
        <n v="1472.6945746753247"/>
        <n v="305.31472889610393"/>
        <n v="1639.881385843953"/>
        <n v="1131.779779986039"/>
        <n v="680.1841133766234"/>
        <n v="35.91937987012987"/>
        <n v="332.1722095063131"/>
        <n v="129.9246608079004"/>
        <n v="224.83052597402596"/>
        <n v="1696.1139415530827"/>
        <n v="12804.45075276575"/>
        <n v="11127.552398092968"/>
        <n v="11063.08486779272"/>
        <n v="487.13280627705626"/>
        <n v="3474.40968564206"/>
        <n v="3481.379391913329"/>
        <n v="230.40822447704872"/>
        <n v="1102.4066748880102"/>
        <n v="12590.761071585419"/>
        <n v="9986.128925026262"/>
        <n v="8588.748146048221"/>
        <n v="678.730582345191"/>
        <n v="6286.99541312657"/>
        <n v="3282.1080878440043"/>
        <n v="243.52627500568178"/>
        <n v="20.49221452236652"/>
        <n v="299.1369924242424"/>
        <n v="269.88067842086036"/>
        <n v="109.88705844155845"/>
        <n v="6789.674016955267"/>
        <n v="8348.64899390927"/>
        <n v="10626.948596171997"/>
        <n v="122.0967316017316"/>
        <n v="3401.4956985297345"/>
        <n v="2776.005859124269"/>
        <n v="53.0773620414673"/>
        <n v="983.4290383721591"/>
        <n v="92.88538357256778"/>
        <n v="594.105197069039"/>
        <n v="1172.0733194817583"/>
        <n v="10164.655070441255"/>
        <n v="247.20495569633172"/>
        <n v="3231.172651986321"/>
        <n v="6763.231281436603"/>
        <n v="1522.011767749033"/>
        <n v="590.1739933290802"/>
        <n v="827.7800510875"/>
        <n v="66.05926306818182"/>
        <n v="1744.4570790009093"/>
        <n v="852.8642950598485"/>
        <n v="12252.978860738636"/>
        <n v="365.69321136250005"/>
        <n v="10195.00009111197"/>
        <n v="568.1096623863637"/>
        <n v="7058.870022823365"/>
        <n v="264.2370522727273"/>
        <n v="695.5594048179547"/>
        <n v="23.116029119375575"/>
        <n v="2496.234073094582"/>
        <n v="460.9939980348944"/>
        <n v="556.9567359030303"/>
        <n v="4504.922428787879"/>
        <n v="3356.036305694031"/>
        <n v="2480.989096295317"/>
        <n v="73.05117190082643"/>
        <n v="17980.946028806153"/>
        <n v="14343.082383394962"/>
        <n v="36.14503679653679"/>
        <n v="14214.578436420936"/>
        <n v="16894.715382996634"/>
        <n v="385.0072006006493"/>
        <n v="1340.5581690267556"/>
        <n v="19184.669073272722"/>
        <n v="212.1436761363636"/>
        <n v="16167.8832065232"/>
        <n v="18198.599668560604"/>
        <n v="177.23116255681816"/>
        <n v="640.8366094119318"/>
        <n v="9032.330587376893"/>
        <n v="1206.7382398205975"/>
        <n v="21451.345703574883"/>
        <n v="130.14757312252965"/>
        <n v="6817.165337028986"/>
        <n v="17191.66367585837"/>
        <n v="96.27061869235837"/>
        <n v="3527.388701014054"/>
        <n v="18336.76410847607"/>
        <n v="32.53689328063241"/>
        <n v="893.3699646487298"/>
        <n v="253.4937954545454"/>
        <n v="20591.6656649649"/>
        <n v="15649.67699333723"/>
        <n v="79.41610767212563"/>
        <n v="21583.47266143315"/>
        <n v="2297.2370519538767"/>
        <n v="11828.754595588234"/>
        <n v="2254.741658648789"/>
        <n v="22580.28749472236"/>
        <n v="9119.388270647096"/>
        <n v="171.80876549586773"/>
        <n v="21933.639169840215"/>
        <n v="17621.41184573003"/>
        <n v="4705.547809353995"/>
        <n v="922.2846479926948"/>
        <n v="263.4087857142857"/>
        <n v="23489.829217280843"/>
        <n v="18978.883227927763"/>
        <n v="23573.752699324672"/>
        <n v="20243.026582792205"/>
        <n v="819.8085759935065"/>
        <n v="427.61965361748435"/>
        <n v="24854.651458655844"/>
        <n v="15299.24513241435"/>
        <n v="18319.52433862434"/>
        <n v="20517.386852152475"/>
        <n v="2779.5277485136485"/>
        <n v="3202.7140452140447"/>
        <n v="562.1754467773387"/>
        <n v="21249.736229596838"/>
        <n v="17823.002079111106"/>
        <n v="10737.444830917875"/>
        <n v="18522.377172811593"/>
        <n v="7495.672623697848"/>
        <n v="240.839884057971"/>
        <n v="1263.1462450592885"/>
        <n v="22338.663514527056"/>
        <n v="2508.0152615887446"/>
        <n v="830.257774891775"/>
        <n v="7983.247835497836"/>
        <n v="16255.61642673611"/>
        <n v="313.5019076985931"/>
        <n v="14767.95846377922"/>
        <n v="21265.18075396825"/>
        <n v="5613.951754385965"/>
        <n v="12114.121932719298"/>
        <n v="849.2377926634769"/>
        <n v="24448.759890350877"/>
        <n v="23955.15088572986"/>
        <n v="23427.32229336962"/>
        <n v="3639.9177271969697"/>
        <n v="18686.248233395454"/>
        <n v="277.4489048863636"/>
        <n v="16946.779743833333"/>
        <n v="21273.83497597159"/>
        <n v="23056.61668465151"/>
        <n v="546.0512034894398"/>
        <n v="5091.949359696969"/>
        <n v="292.20468760330573"/>
        <n v="19186.679144323232"/>
        <n v="16058.039829628096"/>
        <n v="13175.8227584573"/>
        <n v="5415.9957814508725"/>
        <n v="5620.883321799816"/>
        <n v="32085.561497326198"/>
        <n v="2741.360666823529"/>
        <n v="14705.882352941175"/>
        <n v="36096.25668449198"/>
        <n v="6728.794364021389"/>
        <n v="5952.380952380952"/>
        <n v="2420.377045261905"/>
        <n v="5260.879100649123"/>
        <n v="951.9064932909091"/>
        <n v="4058.5723337777777"/>
        <n v="4952.126773246032"/>
        <n v="6077.610130801949"/>
        <n v="9681.50818104762"/>
        <n v="10521.758201298246"/>
        <n v="4340.249655188406"/>
        <n v="8224.082000470586"/>
        <n v="237.97662332272728"/>
        <n v="568.1818181818181"/>
        <n v="292.22255420162526"/>
        <n v="688.2747933884298"/>
      </sharedItems>
    </cacheField>
    <cacheField name="Atividade incentiv." numFmtId="0">
      <sharedItems>
        <b v="1"/>
        <b v="0"/>
      </sharedItems>
    </cacheField>
    <cacheField name="Projeto incentiv." numFmtId="0">
      <sharedItems>
        <b v="1"/>
      </sharedItems>
    </cacheField>
    <cacheField name="Dedic." numFmtId="0">
      <sharedItems>
        <s v="Parcial"/>
        <s v="Exclusivo"/>
      </sharedItems>
    </cacheField>
    <cacheField name=" 2"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ela dinâmica 1" cacheId="0" dataCaption="" rowGrandTotals="0" compact="0" compactData="0">
  <location ref="A3:F61" firstHeaderRow="0" firstDataRow="5" firstDataCol="0" rowPageCount="1" colPageCount="1"/>
  <pivotFields>
    <pivotField name="RowID" compact="0" outline="0" multipleItemSelectionAllowed="1" showAll="0">
      <items>
        <item x="0"/>
        <item t="default"/>
      </items>
    </pivotField>
    <pivotField name="Projeto" axis="axisRow" compact="0" outline="0" multipleItemSelectionAllowed="1" showAll="0" sortType="ascending" defaultSubtotal="0">
      <items>
        <item x="0"/>
        <item x="1"/>
        <item x="2"/>
        <item x="3"/>
        <item x="4"/>
      </items>
    </pivotField>
    <pivotField name="Etap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Colaborador" axis="axisRow" compact="0" outline="0" multipleItemSelectionAllowed="1" showAll="0" sortType="ascending" defaultSubtotal="0">
      <items>
        <item x="18"/>
        <item x="0"/>
        <item x="16"/>
        <item x="14"/>
        <item x="17"/>
        <item x="1"/>
        <item x="21"/>
        <item x="3"/>
        <item x="2"/>
        <item x="11"/>
        <item x="15"/>
        <item x="9"/>
        <item x="13"/>
        <item x="4"/>
        <item x="20"/>
        <item x="6"/>
        <item x="5"/>
        <item x="8"/>
        <item x="7"/>
        <item x="12"/>
        <item x="10"/>
        <item x="19"/>
      </items>
    </pivotField>
    <pivotField name="CPF" axis="axisRow" compact="0" outline="0" multipleItemSelectionAllowed="1" showAll="0" sortType="ascending" defaultSubtotal="0">
      <items>
        <item x="0"/>
        <item x="5"/>
        <item x="10"/>
        <item x="12"/>
        <item x="1"/>
        <item x="11"/>
        <item x="8"/>
        <item x="9"/>
        <item x="6"/>
        <item x="4"/>
        <item x="3"/>
        <item x="2"/>
        <item x="7"/>
      </items>
    </pivotField>
    <pivotField name="Data"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Tempo (h)"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t="default"/>
      </items>
    </pivotField>
    <pivotField name=" " compact="0" numFmtId="4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t="default"/>
      </items>
    </pivotField>
    <pivotField name="Classificação" compact="0" outline="0" multipleItemSelectionAllowed="1" showAll="0">
      <items>
        <item x="0"/>
        <item x="1"/>
        <item x="2"/>
        <item t="default"/>
      </items>
    </pivotField>
    <pivotField name="Descrição da atividade e observações" axis="axisRow" compact="0" outline="0" multipleItemSelectionAllowed="1" showAll="0" sortType="ascending">
      <items>
        <item x="5"/>
        <item x="11"/>
        <item x="22"/>
        <item x="16"/>
        <item x="7"/>
        <item x="24"/>
        <item x="19"/>
        <item x="23"/>
        <item x="26"/>
        <item x="12"/>
        <item x="8"/>
        <item x="2"/>
        <item x="0"/>
        <item x="6"/>
        <item x="3"/>
        <item x="4"/>
        <item x="13"/>
        <item x="10"/>
        <item x="1"/>
        <item x="25"/>
        <item x="17"/>
        <item x="21"/>
        <item x="31"/>
        <item x="14"/>
        <item x="27"/>
        <item x="15"/>
        <item x="29"/>
        <item x="30"/>
        <item x="20"/>
        <item x="28"/>
        <item x="9"/>
        <item x="18"/>
        <item t="default"/>
      </items>
    </pivotField>
    <pivotField name="Custo"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t="default"/>
      </items>
    </pivotField>
    <pivotField name="Atividade incentiv." compact="0" outline="0" multipleItemSelectionAllowed="1" showAll="0">
      <items>
        <item x="0"/>
        <item x="1"/>
        <item t="default"/>
      </items>
    </pivotField>
    <pivotField name="Projeto incentiv." axis="axisPage" compact="0" outline="0" multipleItemSelectionAllowed="1" showAll="0">
      <items>
        <item x="0"/>
        <item t="default"/>
      </items>
    </pivotField>
    <pivotField name="Dedic." compact="0" outline="0" multipleItemSelectionAllowed="1" showAll="0">
      <items>
        <item x="0"/>
        <item x="1"/>
        <item t="default"/>
      </items>
    </pivotField>
    <pivotField name=" 2" compact="0" outline="0" multipleItemSelectionAllowed="1" showAll="0">
      <items>
        <item x="0"/>
        <item t="default"/>
      </items>
    </pivotField>
  </pivotFields>
  <rowFields>
    <field x="1"/>
    <field x="4"/>
    <field x="3"/>
    <field x="9"/>
  </rowFields>
  <colFields>
    <field x="-2"/>
  </colFields>
  <pageFields>
    <pageField fld="12"/>
  </pageFields>
  <dataFields>
    <dataField name="SUM of Tempo (h)" fld="6" baseField="0"/>
    <dataField name="SUM of Custo" fld="10"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7.xml"/><Relationship Id="rId3"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1.xml"/><Relationship Id="rId3"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5.xml"/><Relationship Id="rId3" Type="http://schemas.openxmlformats.org/officeDocument/2006/relationships/vmlDrawing" Target="../drawings/vmlDrawing3.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9.xml"/><Relationship Id="rId3" Type="http://schemas.openxmlformats.org/officeDocument/2006/relationships/vmlDrawing" Target="../drawings/vmlDrawing4.v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23.xml"/><Relationship Id="rId3" Type="http://schemas.openxmlformats.org/officeDocument/2006/relationships/vmlDrawing" Target="../drawings/vmlDrawing5.v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fitToPage="1"/>
  </sheetPr>
  <sheetViews>
    <sheetView showGridLines="0" workbookViewId="0"/>
  </sheetViews>
  <sheetFormatPr customHeight="1" defaultColWidth="12.63" defaultRowHeight="15.75"/>
  <cols>
    <col customWidth="1" min="1" max="1" width="38.0"/>
    <col customWidth="1" min="2" max="7" width="12.63"/>
  </cols>
  <sheetData>
    <row r="1" ht="11.25" customHeight="1">
      <c r="A1" s="1"/>
      <c r="B1" s="2"/>
      <c r="C1" s="2"/>
      <c r="D1" s="2"/>
      <c r="E1" s="2"/>
      <c r="F1" s="2"/>
      <c r="G1" s="2"/>
    </row>
    <row r="2" ht="16.5" customHeight="1">
      <c r="A2" s="3" t="s">
        <v>0</v>
      </c>
      <c r="B2" s="4"/>
      <c r="C2" s="4"/>
      <c r="D2" s="4"/>
      <c r="E2" s="4"/>
      <c r="F2" s="4"/>
      <c r="G2" s="4"/>
    </row>
    <row r="3" ht="18.75" customHeight="1">
      <c r="A3" s="5" t="s">
        <v>1</v>
      </c>
      <c r="B3" s="4"/>
      <c r="C3" s="4"/>
      <c r="D3" s="6"/>
      <c r="E3" s="4"/>
      <c r="F3" s="4"/>
      <c r="G3" s="4"/>
    </row>
    <row r="4" ht="15.75" customHeight="1">
      <c r="A4" s="7"/>
      <c r="B4" s="7"/>
      <c r="C4" s="7"/>
      <c r="D4" s="7"/>
      <c r="E4" s="7"/>
      <c r="F4" s="7"/>
      <c r="G4" s="8" t="s">
        <v>2</v>
      </c>
    </row>
    <row r="5" ht="18.75" customHeight="1">
      <c r="A5" s="9" t="s">
        <v>3</v>
      </c>
      <c r="B5" s="9"/>
      <c r="C5" s="10"/>
      <c r="D5" s="9"/>
      <c r="E5" s="11" t="s">
        <v>4</v>
      </c>
      <c r="F5" s="7"/>
      <c r="G5" s="12">
        <f>TODAY()</f>
        <v>46168</v>
      </c>
    </row>
    <row r="6" ht="18.75" customHeight="1">
      <c r="A6" s="13" t="s">
        <v>5</v>
      </c>
      <c r="B6" s="14"/>
      <c r="C6" s="14"/>
      <c r="D6" s="14"/>
      <c r="E6" s="14"/>
      <c r="F6" s="7"/>
      <c r="G6" s="7"/>
    </row>
    <row r="7" ht="18.75" customHeight="1">
      <c r="A7" s="7"/>
      <c r="B7" s="7"/>
      <c r="C7" s="7"/>
      <c r="D7" s="7"/>
      <c r="E7" s="7"/>
      <c r="F7" s="7"/>
      <c r="G7" s="7"/>
    </row>
    <row r="8">
      <c r="A8" s="15" t="s">
        <v>6</v>
      </c>
      <c r="B8" s="16" t="s">
        <v>7</v>
      </c>
      <c r="C8" s="16" t="s">
        <v>8</v>
      </c>
      <c r="D8" s="16" t="s">
        <v>9</v>
      </c>
      <c r="E8" s="16" t="s">
        <v>10</v>
      </c>
      <c r="F8" s="17"/>
      <c r="G8" s="18" t="s">
        <v>11</v>
      </c>
    </row>
    <row r="9">
      <c r="A9" s="7" t="s">
        <v>12</v>
      </c>
      <c r="B9" s="19" t="s">
        <v>13</v>
      </c>
      <c r="C9" s="19" t="s">
        <v>13</v>
      </c>
      <c r="D9" s="19" t="s">
        <v>13</v>
      </c>
      <c r="E9" s="20" t="s">
        <v>13</v>
      </c>
      <c r="F9" s="21"/>
      <c r="G9" s="22">
        <f t="shared" ref="G9:G12" si="1">sum(B9:E9)</f>
        <v>0</v>
      </c>
    </row>
    <row r="10">
      <c r="A10" s="7" t="s">
        <v>14</v>
      </c>
      <c r="B10" s="19">
        <f>IFERROR(__xludf.DUMMYFUNCTION("iferror(sum(filter('Resumo - TERCEIROS'!$G:$G,'Resumo - TERCEIROS'!$K:$K=TRUE,month('Resumo - TERCEIROS'!$H:$H)&gt;=1,month('Resumo - TERCEIROS'!$H:$H)&lt;=3)))"),249643.17000000004)</f>
        <v>249643.17</v>
      </c>
      <c r="C10" s="19">
        <f>IFERROR(__xludf.DUMMYFUNCTION("iferror(sum(filter('Resumo - TERCEIROS'!$G:$G,'Resumo - TERCEIROS'!$K:$K=TRUE,month('Resumo - TERCEIROS'!$H:$H)&gt;=4,month('Resumo - TERCEIROS'!$H:$H)&lt;=6)))"),270565.37)</f>
        <v>270565.37</v>
      </c>
      <c r="D10" s="19">
        <f>IFERROR(__xludf.DUMMYFUNCTION("iferror(sum(filter('Resumo - TERCEIROS'!$G:$G,'Resumo - TERCEIROS'!$K:$K=TRUE,month('Resumo - TERCEIROS'!$H:$H)&gt;=7,month('Resumo - TERCEIROS'!$H:$H)&lt;=9)))"),436998.42)</f>
        <v>436998.42</v>
      </c>
      <c r="E10" s="19">
        <f>IFERROR(__xludf.DUMMYFUNCTION("iferror(sum(filter('Resumo - TERCEIROS'!$G:$G,'Resumo - TERCEIROS'!$K:$K=TRUE,month('Resumo - TERCEIROS'!$H:$H)&gt;=10,month('Resumo - TERCEIROS'!$H:$H)&lt;=12)))"),364921.97)</f>
        <v>364921.97</v>
      </c>
      <c r="F10" s="21"/>
      <c r="G10" s="22">
        <f t="shared" si="1"/>
        <v>1322128.93</v>
      </c>
    </row>
    <row r="11">
      <c r="A11" s="7" t="s">
        <v>15</v>
      </c>
      <c r="B11" s="19">
        <f>IFERROR(__xludf.DUMMYFUNCTION("iferror(sum(filter('Resumo - TIMESHEETS'!$L$12:$L49,'Resumo - TIMESHEETS'!$O$12:$O49=""Parcial"",month('Resumo - TIMESHEETS'!$G$12:$G49)&gt;=1,month('Resumo - TIMESHEETS'!$G$12:$G49)&lt;=3)),0)"),27955.666660157865)</f>
        <v>27955.66666</v>
      </c>
      <c r="C11" s="19">
        <f>IFERROR(__xludf.DUMMYFUNCTION("iferror(sum(filter('Resumo - TIMESHEETS'!$L$12:$L49,'Resumo - TIMESHEETS'!$O$12:$O49=""Parcial"",month('Resumo - TIMESHEETS'!$G$12:$G49)&gt;=4,month('Resumo - TIMESHEETS'!$G$12:$G49)&lt;=6)),0)"),219121.24926862077)</f>
        <v>219121.2493</v>
      </c>
      <c r="D11" s="19">
        <f>IFERROR(__xludf.DUMMYFUNCTION("iferror(sum(filter('Resumo - TIMESHEETS'!$L$12:$L49,'Resumo - TIMESHEETS'!$O$12:$O49=""Parcial"",month('Resumo - TIMESHEETS'!$G$12:$G49)&gt;=7,month('Resumo - TIMESHEETS'!$G$12:$G49)&lt;=9)),0)"),185946.35230050277)</f>
        <v>185946.3523</v>
      </c>
      <c r="E11" s="19">
        <f>IFERROR(__xludf.DUMMYFUNCTION("iferror(sum(filter('Resumo - TIMESHEETS'!$L$12:$L49,'Resumo - TIMESHEETS'!$O$12:$O49=""Parcial"",month('Resumo - TIMESHEETS'!$G$12:$G49)&gt;=10,month('Resumo - TIMESHEETS'!$G$12:$G49)&lt;=12)),0)"),121276.19605978376)</f>
        <v>121276.1961</v>
      </c>
      <c r="F11" s="21"/>
      <c r="G11" s="22">
        <f t="shared" si="1"/>
        <v>554299.4643</v>
      </c>
    </row>
    <row r="12">
      <c r="A12" s="7" t="s">
        <v>16</v>
      </c>
      <c r="B12" s="19">
        <f>IFERROR(__xludf.DUMMYFUNCTION("iferror(sum(filter('Resumo - TIMESHEETS'!$L$12:$L49,'Resumo - TIMESHEETS'!$O$12:$O49=""Exclusivo"",month('Resumo - TIMESHEETS'!$G$12:$G49)&gt;=1,month('Resumo - TIMESHEETS'!$G$12:$G49)&lt;=3)),0)"),205663.2395166963)</f>
        <v>205663.2395</v>
      </c>
      <c r="C12" s="19">
        <f>IFERROR(__xludf.DUMMYFUNCTION("iferror(sum(filter('Resumo - TIMESHEETS'!$L$12:$L49,'Resumo - TIMESHEETS'!$O$12:$O49=""Exclusivo"",month('Resumo - TIMESHEETS'!$G$12:$G49)&gt;=4,month('Resumo - TIMESHEETS'!$G$12:$G49)&lt;=6)),0)"),227193.7884235887)</f>
        <v>227193.7884</v>
      </c>
      <c r="D12" s="19">
        <f>IFERROR(__xludf.DUMMYFUNCTION("iferror(sum(filter('Resumo - TIMESHEETS'!$L$12:$L49,'Resumo - TIMESHEETS'!$O$12:$O49=""Exclusivo"",month('Resumo - TIMESHEETS'!$G$12:$G49)&gt;=7,month('Resumo - TIMESHEETS'!$G$12:$G49)&lt;=9)),0)"),221950.78725329504)</f>
        <v>221950.7873</v>
      </c>
      <c r="E12" s="19">
        <f>IFERROR(__xludf.DUMMYFUNCTION("iferror(sum(filter('Resumo - TIMESHEETS'!$L$12:$L49,'Resumo - TIMESHEETS'!$O$12:$O49=""Exclusivo"",month('Resumo - TIMESHEETS'!$G$12:$G49)&gt;=10,month('Resumo - TIMESHEETS'!$G$12:$G49)&lt;=12)),0)"),217421.32573212715)</f>
        <v>217421.3257</v>
      </c>
      <c r="F12" s="21"/>
      <c r="G12" s="22">
        <f t="shared" si="1"/>
        <v>872229.1409</v>
      </c>
    </row>
    <row r="13">
      <c r="A13" s="23" t="s">
        <v>17</v>
      </c>
      <c r="B13" s="24">
        <f t="shared" ref="B13:E13" si="2">sum(B10:B12)</f>
        <v>483262.0762</v>
      </c>
      <c r="C13" s="24">
        <f t="shared" si="2"/>
        <v>716880.4077</v>
      </c>
      <c r="D13" s="24">
        <f t="shared" si="2"/>
        <v>844895.5596</v>
      </c>
      <c r="E13" s="24">
        <f t="shared" si="2"/>
        <v>703619.4918</v>
      </c>
      <c r="F13" s="25"/>
      <c r="G13" s="26">
        <f>sum(G9:G12)</f>
        <v>2748657.535</v>
      </c>
    </row>
    <row r="14">
      <c r="A14" s="27" t="s">
        <v>18</v>
      </c>
      <c r="B14" s="28">
        <v>0.6</v>
      </c>
      <c r="C14" s="28">
        <v>0.6</v>
      </c>
      <c r="D14" s="28">
        <v>0.6</v>
      </c>
      <c r="E14" s="28">
        <v>0.6</v>
      </c>
      <c r="F14" s="29"/>
      <c r="G14" s="30">
        <v>0.6</v>
      </c>
    </row>
    <row r="15">
      <c r="A15" s="7" t="s">
        <v>19</v>
      </c>
      <c r="B15" s="19">
        <f t="shared" ref="B15:E15" si="3">B13*B14</f>
        <v>289957.2457</v>
      </c>
      <c r="C15" s="19">
        <f t="shared" si="3"/>
        <v>430128.2446</v>
      </c>
      <c r="D15" s="19">
        <f t="shared" si="3"/>
        <v>506937.3357</v>
      </c>
      <c r="E15" s="19">
        <f t="shared" si="3"/>
        <v>422171.6951</v>
      </c>
      <c r="F15" s="21"/>
      <c r="G15" s="22">
        <f>G13*G14</f>
        <v>1649194.521</v>
      </c>
    </row>
    <row r="16">
      <c r="A16" s="7"/>
      <c r="B16" s="19"/>
      <c r="C16" s="19"/>
      <c r="D16" s="19"/>
      <c r="E16" s="19"/>
      <c r="F16" s="21"/>
      <c r="G16" s="22"/>
    </row>
    <row r="17">
      <c r="A17" s="31" t="s">
        <v>20</v>
      </c>
      <c r="B17" s="24">
        <f t="shared" ref="B17:E17" si="4">B15*34%</f>
        <v>98585.46354</v>
      </c>
      <c r="C17" s="24">
        <f t="shared" si="4"/>
        <v>146243.6032</v>
      </c>
      <c r="D17" s="24">
        <f t="shared" si="4"/>
        <v>172358.6941</v>
      </c>
      <c r="E17" s="24">
        <f t="shared" si="4"/>
        <v>143538.3763</v>
      </c>
      <c r="F17" s="25"/>
      <c r="G17" s="26">
        <f>G15*34%</f>
        <v>560726.1372</v>
      </c>
    </row>
    <row r="18" ht="18.75" customHeight="1">
      <c r="A18" s="32" t="s">
        <v>21</v>
      </c>
      <c r="B18" s="33">
        <f t="shared" ref="B18:E18" si="5">B17*0.05</f>
        <v>4929.273177</v>
      </c>
      <c r="C18" s="33">
        <f t="shared" si="5"/>
        <v>7312.180158</v>
      </c>
      <c r="D18" s="33">
        <f t="shared" si="5"/>
        <v>8617.934707</v>
      </c>
      <c r="E18" s="33">
        <f t="shared" si="5"/>
        <v>7176.918816</v>
      </c>
      <c r="F18" s="7"/>
      <c r="G18" s="33">
        <f>G17*0.05</f>
        <v>28036.30686</v>
      </c>
    </row>
    <row r="19" ht="18.75" customHeight="1">
      <c r="A19" s="34"/>
      <c r="B19" s="34"/>
      <c r="C19" s="7"/>
      <c r="D19" s="7"/>
      <c r="E19" s="7"/>
      <c r="F19" s="7"/>
      <c r="G19" s="7"/>
    </row>
    <row r="20" ht="18.75" customHeight="1">
      <c r="A20" s="35" t="s">
        <v>22</v>
      </c>
      <c r="B20" s="36"/>
      <c r="C20" s="7"/>
      <c r="D20" s="7"/>
      <c r="E20" s="7"/>
      <c r="F20" s="7"/>
      <c r="G20" s="7"/>
    </row>
    <row r="21" ht="18.75" customHeight="1">
      <c r="A21" s="37" t="s">
        <v>23</v>
      </c>
      <c r="B21" s="7"/>
      <c r="C21" s="7"/>
      <c r="D21" s="7"/>
      <c r="E21" s="7"/>
      <c r="F21" s="7"/>
      <c r="G21" s="7"/>
    </row>
    <row r="22" ht="18.75" customHeight="1">
      <c r="A22" s="37" t="s">
        <v>24</v>
      </c>
      <c r="B22" s="7"/>
      <c r="C22" s="7"/>
      <c r="D22" s="7"/>
      <c r="E22" s="7"/>
      <c r="F22" s="7"/>
      <c r="G22" s="7"/>
    </row>
    <row r="23" ht="18.75" customHeight="1">
      <c r="A23" s="37" t="s">
        <v>25</v>
      </c>
      <c r="B23" s="7"/>
      <c r="C23" s="7"/>
      <c r="D23" s="7"/>
      <c r="E23" s="7"/>
      <c r="F23" s="7"/>
      <c r="G23" s="7"/>
    </row>
    <row r="24" ht="16.5" customHeight="1">
      <c r="A24" s="37" t="s">
        <v>26</v>
      </c>
      <c r="B24" s="38"/>
      <c r="C24" s="7"/>
      <c r="D24" s="7"/>
      <c r="E24" s="7"/>
      <c r="F24" s="7"/>
      <c r="G24" s="7"/>
    </row>
    <row r="25" ht="16.5" customHeight="1">
      <c r="A25" s="37" t="s">
        <v>27</v>
      </c>
      <c r="B25" s="7"/>
      <c r="C25" s="7"/>
      <c r="D25" s="7"/>
      <c r="E25" s="7"/>
      <c r="F25" s="7"/>
      <c r="G25" s="7"/>
    </row>
    <row r="26" ht="16.5" customHeight="1">
      <c r="A26" s="39" t="s">
        <v>28</v>
      </c>
      <c r="B26" s="4"/>
      <c r="C26" s="7"/>
      <c r="D26" s="7"/>
      <c r="E26" s="7"/>
      <c r="F26" s="7"/>
      <c r="G26" s="7"/>
    </row>
    <row r="27" ht="16.5" customHeight="1">
      <c r="A27" s="40" t="s">
        <v>29</v>
      </c>
      <c r="B27" s="4"/>
      <c r="C27" s="4"/>
      <c r="D27" s="4"/>
      <c r="E27" s="4"/>
      <c r="F27" s="4"/>
      <c r="G27" s="4"/>
    </row>
    <row r="28" ht="16.5" customHeight="1">
      <c r="A28" s="40" t="s">
        <v>30</v>
      </c>
      <c r="B28" s="7"/>
      <c r="C28" s="7"/>
      <c r="D28" s="7"/>
      <c r="E28" s="7"/>
      <c r="F28" s="7"/>
      <c r="G28" s="7"/>
    </row>
    <row r="29" ht="18.75" hidden="1" customHeight="1">
      <c r="A29" s="40" t="s">
        <v>31</v>
      </c>
      <c r="B29" s="34"/>
      <c r="C29" s="7"/>
      <c r="D29" s="7"/>
      <c r="E29" s="7"/>
      <c r="F29" s="7"/>
      <c r="G29" s="7"/>
    </row>
    <row r="30" ht="18.75" customHeight="1">
      <c r="A30" s="34"/>
      <c r="B30" s="34"/>
      <c r="C30" s="7"/>
      <c r="D30" s="7"/>
      <c r="E30" s="7"/>
      <c r="F30" s="7"/>
      <c r="G30" s="7"/>
    </row>
    <row r="31" ht="16.5" customHeight="1">
      <c r="A31" s="41" t="s">
        <v>32</v>
      </c>
      <c r="B31" s="7"/>
      <c r="C31" s="7"/>
      <c r="D31" s="7"/>
      <c r="E31" s="34"/>
      <c r="F31" s="42"/>
      <c r="G31" s="7"/>
    </row>
    <row r="32" ht="16.5" customHeight="1">
      <c r="A32" s="37" t="s">
        <v>33</v>
      </c>
      <c r="B32" s="43" t="s">
        <v>34</v>
      </c>
      <c r="E32" s="44" t="s">
        <v>35</v>
      </c>
    </row>
    <row r="33" ht="16.5" customHeight="1">
      <c r="A33" s="45"/>
      <c r="B33" s="45" t="s">
        <v>36</v>
      </c>
      <c r="C33" s="45" t="s">
        <v>37</v>
      </c>
      <c r="D33" s="45" t="s">
        <v>38</v>
      </c>
      <c r="E33" s="45" t="s">
        <v>36</v>
      </c>
      <c r="F33" s="45" t="s">
        <v>37</v>
      </c>
      <c r="G33" s="45" t="s">
        <v>38</v>
      </c>
    </row>
    <row r="34">
      <c r="A34" s="46" t="s">
        <v>39</v>
      </c>
      <c r="B34" s="47">
        <f>IFERROR(__xludf.DUMMYFUNCTION("COUNTA(IFERROR(FILTER(RH!$F$13:$F$34,RH!$F$13:$F$34 = $A34,RH!$V$13:$V$34 = ""Parcial""),))"),5.0)</f>
        <v>5</v>
      </c>
      <c r="C34" s="48">
        <f>IFERROR(__xludf.DUMMYFUNCTION("SUM(IFERROR(FILTER(RH!$U$49:$U$69,RH!$F$49:$F$69 = $A34,RH!$E$49:$E$69 = ""Parcial""),0))"),83136.24831155327)</f>
        <v>83136.24831</v>
      </c>
      <c r="D34" s="48">
        <f>IFERROR(__xludf.DUMMYFUNCTION("SUM(IFERROR(FILTER(RH!$T$13:$T$27,RH!$F$13:$F$27 = $A34,RH!$V$13:$V$27 = ""Parcial""),0))*24"),1861.0100000000002)</f>
        <v>1861.01</v>
      </c>
      <c r="E34" s="47">
        <f>IFERROR(__xludf.DUMMYFUNCTION("COUNTA(IFERROR(FILTER(RH!$F$13:$F$27,RH!$F$13:$F$27 = $A34,RH!$V$13:$V$27 = ""Exclusivo""),))"),0.0)</f>
        <v>0</v>
      </c>
      <c r="F34" s="48">
        <f>IFERROR(__xludf.DUMMYFUNCTION("SUM(IFERROR(FILTER(RH!$U$49:$U$69,RH!$F$49:$F$69 = $A34,RH!$E$49:$E$69 = ""Exclusivo""),0))"),0.0)</f>
        <v>0</v>
      </c>
      <c r="G34" s="48">
        <f>IFERROR(__xludf.DUMMYFUNCTION("SUM(IFERROR(FILTER(RH!$T$13:$T$27,RH!$F$13:$F$27 = $A34,RH!$V$13:$V$27 = ""Exclusivo""),0))*24"),0.0)</f>
        <v>0</v>
      </c>
    </row>
    <row r="35" hidden="1">
      <c r="A35" s="49" t="s">
        <v>40</v>
      </c>
      <c r="B35" s="47">
        <f>IFERROR(__xludf.DUMMYFUNCTION("COUNTA(IFERROR(FILTER(RH!$F$13:$F$34,RH!$F$13:$F$34 = $A35,RH!$V$13:$V$34 = ""Parcial""),))"),0.0)</f>
        <v>0</v>
      </c>
      <c r="C35" s="48">
        <f>IFERROR(__xludf.DUMMYFUNCTION("SUM(IFERROR(FILTER(RH!$U$49:$U$69,RH!$F$49:$F$69 = $A35,RH!$E$49:$E$69 = ""Parcial""),0))"),0.0)</f>
        <v>0</v>
      </c>
      <c r="D35" s="48">
        <f>IFERROR(__xludf.DUMMYFUNCTION("SUM(IFERROR(FILTER(RH!$T$13:$T$27,RH!$F$13:$F$27 = $A35,RH!$V$13:$V$27 = ""Parcial""),0))*24"),0.0)</f>
        <v>0</v>
      </c>
      <c r="E35" s="47">
        <f>IFERROR(__xludf.DUMMYFUNCTION("COUNTA(IFERROR(FILTER(RH!$F$13:$F$27,RH!$F$13:$F$27 = $A35,RH!$V$13:$V$27 = ""Exclusivo""),))"),0.0)</f>
        <v>0</v>
      </c>
      <c r="F35" s="48">
        <f>IFERROR(__xludf.DUMMYFUNCTION("SUM(IFERROR(FILTER(RH!$U$49:$U$69,RH!$F$49:$F$69 = $A35,RH!$E$49:$E$69 = ""Exclusivo""),0))"),0.0)</f>
        <v>0</v>
      </c>
      <c r="G35" s="48">
        <f>IFERROR(__xludf.DUMMYFUNCTION("SUM(IFERROR(FILTER(RH!$T$13:$T$27,RH!$F$13:$F$27 = $A35,RH!$V$13:$V$27 = ""Exclusivo""),0))*24"),0.0)</f>
        <v>0</v>
      </c>
    </row>
    <row r="36">
      <c r="A36" s="46" t="s">
        <v>41</v>
      </c>
      <c r="B36" s="47">
        <f>IFERROR(__xludf.DUMMYFUNCTION("COUNTA(IFERROR(FILTER(RH!$F$13:$F$34,RH!$F$13:$F$34 = $A36,RH!$V$13:$V$34 = ""Parcial""),))"),10.0)</f>
        <v>10</v>
      </c>
      <c r="C36" s="48">
        <f>IFERROR(__xludf.DUMMYFUNCTION("SUM(IFERROR(FILTER(RH!$U$49:$U$69,RH!$F$49:$F$69 = $A36,RH!$E$49:$E$69 = ""Parcial""),0))"),380378.4030854129)</f>
        <v>380378.4031</v>
      </c>
      <c r="D36" s="48">
        <f>IFERROR(__xludf.DUMMYFUNCTION("SUM(IFERROR(FILTER(RH!$T$13:$T$27,RH!$F$13:$F$27 = $A36,RH!$V$13:$V$27 = ""Parcial""),0))*24"),4634.15)</f>
        <v>4634.15</v>
      </c>
      <c r="E36" s="47">
        <f>IFERROR(__xludf.DUMMYFUNCTION("COUNTA(IFERROR(FILTER(RH!$F$13:$F$27,RH!$F$13:$F$27 = $A36,RH!$V$13:$V$27 = ""Exclusivo""),))"),4.0)</f>
        <v>4</v>
      </c>
      <c r="F36" s="48">
        <f>IFERROR(__xludf.DUMMYFUNCTION("SUM(IFERROR(FILTER(RH!$U$49:$U$69,RH!$F$49:$F$69 = $A36,RH!$E$49:$E$69 = ""Exclusivo""),0))"),872229.1409257072)</f>
        <v>872229.1409</v>
      </c>
      <c r="G36" s="48">
        <f>IFERROR(__xludf.DUMMYFUNCTION("SUM(IFERROR(FILTER(RH!$T$13:$T$27,RH!$F$13:$F$27 = $A36,RH!$V$13:$V$27 = ""Exclusivo""),0))*24"),8326.0)</f>
        <v>8326</v>
      </c>
    </row>
    <row r="37">
      <c r="A37" s="49" t="s">
        <v>42</v>
      </c>
      <c r="B37" s="47">
        <f>IFERROR(__xludf.DUMMYFUNCTION("COUNTA(IFERROR(FILTER(RH!$F$13:$F$34,RH!$F$13:$F$34 = $A37,RH!$V$13:$V$34 = ""Parcial""),))"),0.0)</f>
        <v>0</v>
      </c>
      <c r="C37" s="48">
        <f>IFERROR(__xludf.DUMMYFUNCTION("SUM(IFERROR(FILTER(RH!$U$49:$U$69,RH!$F$49:$F$69 = $A37,RH!$E$49:$E$69 = ""Parcial""),0))"),0.0)</f>
        <v>0</v>
      </c>
      <c r="D37" s="48">
        <f>IFERROR(__xludf.DUMMYFUNCTION("SUM(IFERROR(FILTER(RH!$T$13:$T$27,RH!$F$13:$F$27 = $A37,RH!$V$13:$V$27 = ""Parcial""),0))*24"),0.0)</f>
        <v>0</v>
      </c>
      <c r="E37" s="47">
        <f>IFERROR(__xludf.DUMMYFUNCTION("COUNTA(IFERROR(FILTER(RH!$F$13:$F$27,RH!$F$13:$F$27 = $A37,RH!$V$13:$V$27 = ""Exclusivo""),))"),0.0)</f>
        <v>0</v>
      </c>
      <c r="F37" s="48">
        <f>IFERROR(__xludf.DUMMYFUNCTION("SUM(IFERROR(FILTER(RH!$U$49:$U$69,RH!$F$49:$F$69 = $A37,RH!$E$49:$E$69 = ""Exclusivo""),0))"),0.0)</f>
        <v>0</v>
      </c>
      <c r="G37" s="48">
        <f>IFERROR(__xludf.DUMMYFUNCTION("SUM(IFERROR(FILTER(RH!$T$13:$T$27,RH!$F$13:$F$27 = $A37,RH!$V$13:$V$27 = ""Exclusivo""),0))*24"),0.0)</f>
        <v>0</v>
      </c>
    </row>
    <row r="38">
      <c r="A38" s="50" t="s">
        <v>43</v>
      </c>
      <c r="B38" s="47">
        <f>IFERROR(__xludf.DUMMYFUNCTION("COUNTA(IFERROR(FILTER(RH!$F$13:$F$34,RH!$F$13:$F$34 = $A38,RH!$V$13:$V$34 = ""Parcial""),))"),1.0)</f>
        <v>1</v>
      </c>
      <c r="C38" s="48">
        <f>IFERROR(__xludf.DUMMYFUNCTION("SUM(IFERROR(FILTER(RH!$U$49:$U$69,RH!$F$49:$F$69 = $A38,RH!$E$49:$E$69 = ""Parcial""),0))"),0.0)</f>
        <v>0</v>
      </c>
      <c r="D38" s="48">
        <f>IFERROR(__xludf.DUMMYFUNCTION("SUM(IFERROR(FILTER(RH!$T$13:$T$27,RH!$F$13:$F$27 = $A38,RH!$V$13:$V$27 = ""Parcial""),0))*24"),0.0)</f>
        <v>0</v>
      </c>
      <c r="E38" s="47">
        <f>IFERROR(__xludf.DUMMYFUNCTION("COUNTA(IFERROR(FILTER(RH!$F$13:$F$27,RH!$F$13:$F$27 = $A38,RH!$V$13:$V$27 = ""Exclusivo""),))"),0.0)</f>
        <v>0</v>
      </c>
      <c r="F38" s="48">
        <f>IFERROR(__xludf.DUMMYFUNCTION("SUM(IFERROR(FILTER(RH!$U$49:$U$69,RH!$F$49:$F$69 = $A38,RH!$E$49:$E$69 = ""Exclusivo""),0))"),0.0)</f>
        <v>0</v>
      </c>
      <c r="G38" s="48">
        <f>IFERROR(__xludf.DUMMYFUNCTION("SUM(IFERROR(FILTER(RH!$T$13:$T$27,RH!$F$13:$F$27 = $A38,RH!$V$13:$V$27 = ""Exclusivo""),0))*24"),0.0)</f>
        <v>0</v>
      </c>
    </row>
    <row r="39" hidden="1">
      <c r="A39" s="50" t="s">
        <v>44</v>
      </c>
      <c r="B39" s="47">
        <f>IFERROR(__xludf.DUMMYFUNCTION("COUNTA(IFERROR(FILTER(RH!$F$13:$F$34,RH!$F$13:$F$34 = $A39,RH!$V$13:$V$34 = ""Parcial""),))"),0.0)</f>
        <v>0</v>
      </c>
      <c r="C39" s="48">
        <f>IFERROR(__xludf.DUMMYFUNCTION("SUM(IFERROR(FILTER(RH!$U$49:$U$69,RH!$F$49:$F$69 = $A39,RH!$E$49:$E$69 = ""Parcial""),0))"),0.0)</f>
        <v>0</v>
      </c>
      <c r="D39" s="48">
        <f>IFERROR(__xludf.DUMMYFUNCTION("SUM(IFERROR(FILTER(RH!$T$13:$T$27,RH!$F$13:$F$27 = $A39,RH!$V$13:$V$27 = ""Parcial""),0))*24"),0.0)</f>
        <v>0</v>
      </c>
      <c r="E39" s="47">
        <f>IFERROR(__xludf.DUMMYFUNCTION("COUNTA(IFERROR(FILTER(RH!$F$13:$F$27,RH!$F$13:$F$27 = $A39,RH!$V$13:$V$27 = ""Exclusivo""),))"),0.0)</f>
        <v>0</v>
      </c>
      <c r="F39" s="48">
        <f>IFERROR(__xludf.DUMMYFUNCTION("SUM(IFERROR(FILTER(RH!$U$49:$U$69,RH!$F$49:$F$69 = $A39,RH!$E$49:$E$69 = ""Exclusivo""),0))"),0.0)</f>
        <v>0</v>
      </c>
      <c r="G39" s="48">
        <f>IFERROR(__xludf.DUMMYFUNCTION("SUM(IFERROR(FILTER(RH!$T$13:$T$27,RH!$F$13:$F$27 = $A39,RH!$V$13:$V$27 = ""Exclusivo""),0))*24"),0.0)</f>
        <v>0</v>
      </c>
    </row>
    <row r="40" ht="16.5" customHeight="1">
      <c r="A40" s="51"/>
      <c r="B40" s="52">
        <f t="shared" ref="B40:G40" si="6">SUM(B34:B39)</f>
        <v>16</v>
      </c>
      <c r="C40" s="53">
        <f t="shared" si="6"/>
        <v>463514.6514</v>
      </c>
      <c r="D40" s="53">
        <f t="shared" si="6"/>
        <v>6495.16</v>
      </c>
      <c r="E40" s="52">
        <f t="shared" si="6"/>
        <v>4</v>
      </c>
      <c r="F40" s="53">
        <f t="shared" si="6"/>
        <v>872229.1409</v>
      </c>
      <c r="G40" s="53">
        <f t="shared" si="6"/>
        <v>8326</v>
      </c>
    </row>
    <row r="41" ht="18.75" customHeight="1">
      <c r="A41" s="34"/>
      <c r="B41" s="34"/>
      <c r="C41" s="7"/>
      <c r="D41" s="7"/>
      <c r="E41" s="7"/>
      <c r="F41" s="7"/>
      <c r="G41" s="7"/>
    </row>
    <row r="42" ht="18.75" customHeight="1">
      <c r="A42" s="41" t="s">
        <v>45</v>
      </c>
      <c r="B42" s="34"/>
      <c r="C42" s="7"/>
      <c r="D42" s="7"/>
      <c r="E42" s="7"/>
      <c r="F42" s="7"/>
      <c r="G42" s="7"/>
    </row>
    <row r="43" ht="18.75" customHeight="1">
      <c r="A43" s="35" t="s">
        <v>46</v>
      </c>
      <c r="B43" s="54" t="s">
        <v>11</v>
      </c>
      <c r="C43" s="55"/>
      <c r="D43" s="54" t="s">
        <v>47</v>
      </c>
      <c r="E43" s="54" t="s">
        <v>48</v>
      </c>
      <c r="F43" s="54" t="s">
        <v>49</v>
      </c>
      <c r="G43" s="54" t="s">
        <v>50</v>
      </c>
    </row>
    <row r="44" ht="18.75" customHeight="1">
      <c r="A44" s="7" t="str">
        <f t="array" ref="A44:A48">'Resumo - PROJETOS'!B12:B49</f>
        <v>IRIS</v>
      </c>
      <c r="B44" s="56">
        <f t="shared" ref="B44:B48" si="7">sum(D44:G44)</f>
        <v>422175.057</v>
      </c>
      <c r="C44" s="57"/>
      <c r="D44" s="20" t="s">
        <v>13</v>
      </c>
      <c r="E44" s="19">
        <f>IFERROR(__xludf.DUMMYFUNCTION("iferror(sum(filter('Resumo - TERCEIROS'!$G:$G,'Resumo - TERCEIROS'!$K:$K=TRUE,'Resumo - TERCEIROS'!$B:$B=$A44)),0)"),105672.13)</f>
        <v>105672.13</v>
      </c>
      <c r="F44" s="19">
        <f>IFERROR(__xludf.DUMMYFUNCTION("iferror(sum(filter('Resumo - TIMESHEETS'!$L$12:$L49,'Resumo - TIMESHEETS'!$O$12:$O49=""Parcial"",'Resumo - TIMESHEETS'!$C$12:$C49=$A44)),0)"),316502.92701534065)</f>
        <v>316502.927</v>
      </c>
      <c r="G44" s="19">
        <f>IFERROR(__xludf.DUMMYFUNCTION("iferror(sum(filter('Resumo - TIMESHEETS'!$L$12:$L49,'Resumo - TIMESHEETS'!$O$12:$O49=""Exclusivo"",'Resumo - TIMESHEETS'!$C$12:$C49=$A44)),0)"),0.0)</f>
        <v>0</v>
      </c>
    </row>
    <row r="45" ht="18.75" customHeight="1">
      <c r="A45" s="37" t="s">
        <v>51</v>
      </c>
      <c r="B45" s="56">
        <f t="shared" si="7"/>
        <v>2006004.4</v>
      </c>
      <c r="C45" s="57"/>
      <c r="D45" s="20" t="s">
        <v>13</v>
      </c>
      <c r="E45" s="19">
        <f>IFERROR(__xludf.DUMMYFUNCTION("iferror(sum(filter('Resumo - TERCEIROS'!$G:$G,'Resumo - TERCEIROS'!$K:$K=TRUE,'Resumo - TERCEIROS'!$B:$B=$A45)),0)"),1063146.31)</f>
        <v>1063146.31</v>
      </c>
      <c r="F45" s="19">
        <f>IFERROR(__xludf.DUMMYFUNCTION("iferror(sum(filter('Resumo - TIMESHEETS'!$L$12:$L49,'Resumo - TIMESHEETS'!$O$12:$O49=""Parcial"",'Resumo - TIMESHEETS'!$C$12:$C49=$A45)),0)"),70628.94894818438)</f>
        <v>70628.94895</v>
      </c>
      <c r="G45" s="58">
        <f>IFERROR(__xludf.DUMMYFUNCTION("iferror(sum(filter('Resumo - TIMESHEETS'!$L$12:$L49,'Resumo - TIMESHEETS'!$O$12:$O49=""Exclusivo"",'Resumo - TIMESHEETS'!$C$12:$C49=$A45)),0)"),872229.1409257068)</f>
        <v>872229.1409</v>
      </c>
    </row>
    <row r="46" ht="18.75" customHeight="1">
      <c r="A46" s="59" t="s">
        <v>52</v>
      </c>
      <c r="B46" s="60">
        <f t="shared" si="7"/>
        <v>100730.6136</v>
      </c>
      <c r="C46" s="61"/>
      <c r="D46" s="62" t="s">
        <v>13</v>
      </c>
      <c r="E46" s="63">
        <f>IFERROR(__xludf.DUMMYFUNCTION("iferror(sum(filter('Resumo - TERCEIROS'!$G:$G,'Resumo - TERCEIROS'!$K:$K=TRUE,'Resumo - TERCEIROS'!$B:$B=$A46)),0)"),0.0)</f>
        <v>0</v>
      </c>
      <c r="F46" s="63">
        <f>IFERROR(__xludf.DUMMYFUNCTION("iferror(sum(filter('Resumo - TIMESHEETS'!$L$12:$L49,'Resumo - TIMESHEETS'!$O$12:$O49=""Parcial"",'Resumo - TIMESHEETS'!$C$12:$C49=$A46)),0)"),100730.61356324713)</f>
        <v>100730.6136</v>
      </c>
      <c r="G46" s="63">
        <f>IFERROR(__xludf.DUMMYFUNCTION("iferror(sum(filter('Resumo - TIMESHEETS'!$L$12:$L49,'Resumo - TIMESHEETS'!$O$12:$O49=""Exclusivo"",'Resumo - TIMESHEETS'!$C$12:$C49=$A46)),0)"),0.0)</f>
        <v>0</v>
      </c>
    </row>
    <row r="47" ht="18.75" customHeight="1">
      <c r="A47" s="59" t="s">
        <v>53</v>
      </c>
      <c r="B47" s="60">
        <f t="shared" si="7"/>
        <v>76802.56087</v>
      </c>
      <c r="C47" s="61"/>
      <c r="D47" s="62" t="s">
        <v>13</v>
      </c>
      <c r="E47" s="63">
        <f>IFERROR(__xludf.DUMMYFUNCTION("iferror(sum(filter('Resumo - TERCEIROS'!$G:$G,'Resumo - TERCEIROS'!$K:$K=TRUE,'Resumo - TERCEIROS'!$B:$B=$A47)),0)"),30957.949999999997)</f>
        <v>30957.95</v>
      </c>
      <c r="F47" s="63">
        <f>IFERROR(__xludf.DUMMYFUNCTION("iferror(sum(filter('Resumo - TIMESHEETS'!$L$12:$L49,'Resumo - TIMESHEETS'!$O$12:$O49=""Parcial"",'Resumo - TIMESHEETS'!$C$12:$C49=$A47)),0)"),45844.610869300064)</f>
        <v>45844.61087</v>
      </c>
      <c r="G47" s="63">
        <f>IFERROR(__xludf.DUMMYFUNCTION("iferror(sum(filter('Resumo - TIMESHEETS'!$L$12:$L49,'Resumo - TIMESHEETS'!$O$12:$O49=""Exclusivo"",'Resumo - TIMESHEETS'!$C$12:$C49=$A47)),0)"),0.0)</f>
        <v>0</v>
      </c>
    </row>
    <row r="48" ht="18.75" customHeight="1">
      <c r="A48" s="59" t="s">
        <v>54</v>
      </c>
      <c r="B48" s="60">
        <f t="shared" si="7"/>
        <v>142944.9039</v>
      </c>
      <c r="C48" s="61"/>
      <c r="D48" s="62" t="s">
        <v>13</v>
      </c>
      <c r="E48" s="63">
        <f>IFERROR(__xludf.DUMMYFUNCTION("iferror(sum(filter('Resumo - TERCEIROS'!$G:$G,'Resumo - TERCEIROS'!$K:$K=TRUE,'Resumo - TERCEIROS'!$B:$B=$A48)),0)"),122352.54000000001)</f>
        <v>122352.54</v>
      </c>
      <c r="F48" s="63">
        <f>IFERROR(__xludf.DUMMYFUNCTION("iferror(sum(filter('Resumo - TIMESHEETS'!$L$12:$L49,'Resumo - TIMESHEETS'!$O$12:$O49=""Parcial"",'Resumo - TIMESHEETS'!$C$12:$C49=$A48)),0)"),20592.363892992773)</f>
        <v>20592.36389</v>
      </c>
      <c r="G48" s="63">
        <f>IFERROR(__xludf.DUMMYFUNCTION("iferror(sum(filter('Resumo - TIMESHEETS'!$L$12:$L49,'Resumo - TIMESHEETS'!$O$12:$O49=""Exclusivo"",'Resumo - TIMESHEETS'!$C$12:$C49=$A48)),0)"),0.0)</f>
        <v>0</v>
      </c>
    </row>
    <row r="49" ht="18.75" customHeight="1">
      <c r="A49" s="64" t="s">
        <v>55</v>
      </c>
      <c r="B49" s="65">
        <f>SUM(B44:B48)</f>
        <v>2748657.535</v>
      </c>
      <c r="C49" s="1"/>
      <c r="D49" s="65">
        <f>Sum(D44:D48)</f>
        <v>0</v>
      </c>
      <c r="E49" s="66">
        <f t="shared" ref="E49:G49" si="8">SUM(E44:E48)</f>
        <v>1322128.93</v>
      </c>
      <c r="F49" s="65">
        <f t="shared" si="8"/>
        <v>554299.4643</v>
      </c>
      <c r="G49" s="65">
        <f t="shared" si="8"/>
        <v>872229.1409</v>
      </c>
    </row>
  </sheetData>
  <mergeCells count="2">
    <mergeCell ref="B32:D32"/>
    <mergeCell ref="E32:G32"/>
  </mergeCells>
  <printOptions horizontalCentered="1"/>
  <pageMargins bottom="0.244" footer="0.0" header="0.0" left="0.216" right="0.216" top="0.244"/>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6C60"/>
    <outlinePr summaryBelow="0" summaryRight="0"/>
  </sheetPr>
  <sheetViews>
    <sheetView showGridLines="0" workbookViewId="0"/>
  </sheetViews>
  <sheetFormatPr customHeight="1" defaultColWidth="12.63" defaultRowHeight="15.75"/>
  <cols>
    <col customWidth="1" min="1" max="1" width="2.63"/>
    <col customWidth="1" min="2" max="4" width="18.88"/>
    <col customWidth="1" min="5" max="8" width="12.63"/>
    <col customWidth="1" min="9" max="10" width="31.38"/>
    <col customWidth="1" min="11" max="11" width="12.63"/>
    <col customWidth="1" min="12" max="14" width="5.13"/>
  </cols>
  <sheetData>
    <row r="1" ht="11.25" customHeight="1">
      <c r="A1" s="67"/>
      <c r="B1" s="67"/>
      <c r="C1" s="67"/>
      <c r="D1" s="67"/>
      <c r="E1" s="67"/>
      <c r="F1" s="67"/>
      <c r="G1" s="67"/>
      <c r="H1" s="68"/>
      <c r="I1" s="67"/>
      <c r="J1" s="67"/>
      <c r="K1" s="69"/>
      <c r="L1" s="67"/>
      <c r="M1" s="67"/>
      <c r="N1" s="67"/>
    </row>
    <row r="2">
      <c r="A2" s="67"/>
      <c r="B2" s="70" t="s">
        <v>56</v>
      </c>
      <c r="C2" s="71"/>
      <c r="D2" s="71"/>
      <c r="E2" s="71"/>
      <c r="F2" s="71"/>
      <c r="G2" s="71"/>
      <c r="H2" s="72"/>
      <c r="I2" s="67"/>
      <c r="J2" s="67"/>
      <c r="K2" s="69"/>
      <c r="L2" s="67"/>
      <c r="M2" s="67"/>
      <c r="N2" s="67"/>
    </row>
    <row r="3">
      <c r="A3" s="67"/>
      <c r="B3" s="73" t="s">
        <v>57</v>
      </c>
      <c r="C3" s="71"/>
      <c r="D3" s="71"/>
      <c r="E3" s="71"/>
      <c r="F3" s="71"/>
      <c r="G3" s="71"/>
      <c r="H3" s="72"/>
      <c r="I3" s="67"/>
      <c r="J3" s="67"/>
      <c r="K3" s="69"/>
      <c r="L3" s="67"/>
      <c r="M3" s="67"/>
      <c r="N3" s="67"/>
    </row>
    <row r="4">
      <c r="A4" s="67"/>
      <c r="B4" s="74" t="s">
        <v>58</v>
      </c>
      <c r="C4" s="71"/>
      <c r="D4" s="71"/>
      <c r="E4" s="71"/>
      <c r="F4" s="71"/>
      <c r="G4" s="71"/>
      <c r="H4" s="72"/>
      <c r="I4" s="67"/>
      <c r="J4" s="67"/>
      <c r="K4" s="69"/>
      <c r="L4" s="67"/>
      <c r="M4" s="67"/>
      <c r="N4" s="67"/>
    </row>
    <row r="5">
      <c r="A5" s="67"/>
      <c r="B5" s="75" t="s">
        <v>59</v>
      </c>
      <c r="C5" s="76"/>
      <c r="D5" s="76"/>
      <c r="E5" s="76"/>
      <c r="F5" s="76"/>
      <c r="G5" s="76"/>
      <c r="H5" s="77"/>
      <c r="I5" s="67"/>
      <c r="J5" s="67"/>
      <c r="K5" s="69"/>
      <c r="L5" s="67"/>
      <c r="M5" s="67"/>
      <c r="N5" s="67"/>
    </row>
    <row r="6">
      <c r="A6" s="67"/>
      <c r="B6" s="76"/>
      <c r="C6" s="76"/>
      <c r="D6" s="76"/>
      <c r="E6" s="76"/>
      <c r="F6" s="76"/>
      <c r="G6" s="76"/>
      <c r="H6" s="77"/>
      <c r="I6" s="67"/>
      <c r="J6" s="67"/>
      <c r="K6" s="69"/>
      <c r="L6" s="67"/>
      <c r="M6" s="67"/>
      <c r="N6" s="67"/>
    </row>
    <row r="7">
      <c r="A7" s="67"/>
      <c r="B7" s="71"/>
      <c r="C7" s="78"/>
      <c r="D7" s="78"/>
      <c r="E7" s="78"/>
      <c r="F7" s="78"/>
      <c r="G7" s="78"/>
      <c r="H7" s="68"/>
      <c r="I7" s="67"/>
      <c r="J7" s="67"/>
      <c r="K7" s="69"/>
      <c r="L7" s="67"/>
      <c r="M7" s="67"/>
      <c r="N7" s="67"/>
    </row>
    <row r="8">
      <c r="A8" s="67"/>
      <c r="B8" s="70" t="s">
        <v>60</v>
      </c>
      <c r="C8" s="78"/>
      <c r="D8" s="78"/>
      <c r="E8" s="78"/>
      <c r="F8" s="78"/>
      <c r="G8" s="78"/>
      <c r="H8" s="68"/>
      <c r="I8" s="67"/>
      <c r="J8" s="67"/>
      <c r="K8" s="69"/>
      <c r="L8" s="67"/>
      <c r="M8" s="67"/>
      <c r="N8" s="67"/>
    </row>
    <row r="9">
      <c r="A9" s="67"/>
      <c r="B9" s="79" t="s">
        <v>61</v>
      </c>
      <c r="C9" s="78"/>
      <c r="D9" s="78"/>
      <c r="E9" s="78"/>
      <c r="F9" s="78"/>
      <c r="G9" s="78"/>
      <c r="H9" s="68"/>
      <c r="I9" s="67"/>
      <c r="J9" s="67"/>
      <c r="K9" s="69"/>
      <c r="L9" s="67"/>
      <c r="M9" s="67"/>
      <c r="N9" s="67"/>
    </row>
    <row r="10">
      <c r="A10" s="67"/>
      <c r="B10" s="67"/>
      <c r="C10" s="78"/>
      <c r="D10" s="78"/>
      <c r="E10" s="78"/>
      <c r="F10" s="78"/>
      <c r="G10" s="78"/>
      <c r="H10" s="68"/>
      <c r="I10" s="67"/>
      <c r="J10" s="67"/>
      <c r="K10" s="69"/>
      <c r="L10" s="67"/>
      <c r="M10" s="67"/>
      <c r="N10" s="67"/>
    </row>
    <row r="11">
      <c r="A11" s="67"/>
      <c r="B11" s="80" t="s">
        <v>62</v>
      </c>
      <c r="C11" s="80" t="s">
        <v>63</v>
      </c>
      <c r="D11" s="80" t="s">
        <v>64</v>
      </c>
      <c r="E11" s="81" t="s">
        <v>65</v>
      </c>
      <c r="F11" s="81" t="s">
        <v>66</v>
      </c>
      <c r="G11" s="81" t="s">
        <v>67</v>
      </c>
      <c r="H11" s="82" t="s">
        <v>68</v>
      </c>
      <c r="I11" s="80" t="s">
        <v>69</v>
      </c>
      <c r="J11" s="80" t="s">
        <v>70</v>
      </c>
      <c r="K11" s="83" t="s">
        <v>71</v>
      </c>
      <c r="L11" s="83"/>
      <c r="M11" s="83" t="s">
        <v>65</v>
      </c>
      <c r="N11" s="83"/>
    </row>
    <row r="12" hidden="1">
      <c r="A12" s="67"/>
      <c r="B12" s="84" t="str">
        <f t="array" ref="B12:J92">{'IRIS TERCEIROS'!B12:J579;'NOTIFY TERCEIROS'!B12:J579;'P&amp;D_1 TERCEIROS'!B12:J579;'P&amp;D_2 TERCEIROS'!B12:J579;'P&amp;D_3 TERCEIROS'!B12:J579}</f>
        <v>IRIS</v>
      </c>
      <c r="C12" s="84" t="s">
        <v>72</v>
      </c>
      <c r="D12" s="84" t="s">
        <v>73</v>
      </c>
      <c r="E12" s="85" t="s">
        <v>74</v>
      </c>
      <c r="F12" s="85" t="s">
        <v>75</v>
      </c>
      <c r="G12" s="86">
        <v>572.0</v>
      </c>
      <c r="H12" s="87">
        <v>45017.0</v>
      </c>
      <c r="I12" s="84" t="s">
        <v>76</v>
      </c>
      <c r="J12" s="84" t="s">
        <v>77</v>
      </c>
      <c r="K12" s="69" t="b">
        <f t="array" ref="K12:K579">xlookup($B$12:$B579,'Resumo - PROJETOS'!$B:$B,'Resumo - PROJETOS'!$C:$C,,0)</f>
        <v>1</v>
      </c>
      <c r="L12" s="67"/>
      <c r="M12" s="88"/>
      <c r="N12" s="67"/>
    </row>
    <row r="13" hidden="1">
      <c r="A13" s="67"/>
      <c r="B13" s="84" t="s">
        <v>78</v>
      </c>
      <c r="C13" s="84" t="s">
        <v>79</v>
      </c>
      <c r="D13" s="84" t="s">
        <v>80</v>
      </c>
      <c r="E13" s="85" t="s">
        <v>81</v>
      </c>
      <c r="F13" s="85" t="s">
        <v>82</v>
      </c>
      <c r="G13" s="86">
        <v>9963.35</v>
      </c>
      <c r="H13" s="87">
        <v>45065.0</v>
      </c>
      <c r="I13" s="84" t="s">
        <v>83</v>
      </c>
      <c r="J13" s="84" t="s">
        <v>84</v>
      </c>
      <c r="K13" s="69" t="b">
        <v>1</v>
      </c>
      <c r="L13" s="67"/>
      <c r="M13" s="88"/>
      <c r="N13" s="67"/>
    </row>
    <row r="14" hidden="1">
      <c r="A14" s="67"/>
      <c r="B14" s="84" t="s">
        <v>78</v>
      </c>
      <c r="C14" s="84" t="s">
        <v>79</v>
      </c>
      <c r="D14" s="84" t="s">
        <v>80</v>
      </c>
      <c r="E14" s="85" t="s">
        <v>81</v>
      </c>
      <c r="F14" s="85" t="s">
        <v>85</v>
      </c>
      <c r="G14" s="86">
        <v>28380.48</v>
      </c>
      <c r="H14" s="87">
        <v>45082.0</v>
      </c>
      <c r="I14" s="84" t="s">
        <v>86</v>
      </c>
      <c r="J14" s="84" t="s">
        <v>87</v>
      </c>
      <c r="K14" s="69" t="b">
        <v>1</v>
      </c>
      <c r="L14" s="67"/>
      <c r="M14" s="89"/>
      <c r="N14" s="67"/>
    </row>
    <row r="15" hidden="1">
      <c r="A15" s="67"/>
      <c r="B15" s="84" t="s">
        <v>78</v>
      </c>
      <c r="C15" s="84" t="s">
        <v>79</v>
      </c>
      <c r="D15" s="84" t="s">
        <v>88</v>
      </c>
      <c r="E15" s="85" t="s">
        <v>89</v>
      </c>
      <c r="F15" s="85" t="s">
        <v>90</v>
      </c>
      <c r="G15" s="86">
        <v>19768.3</v>
      </c>
      <c r="H15" s="87">
        <v>45141.0</v>
      </c>
      <c r="I15" s="84" t="s">
        <v>91</v>
      </c>
      <c r="J15" s="84" t="s">
        <v>92</v>
      </c>
      <c r="K15" s="69" t="b">
        <v>1</v>
      </c>
      <c r="L15" s="67"/>
      <c r="M15" s="88"/>
      <c r="N15" s="67"/>
    </row>
    <row r="16" hidden="1">
      <c r="A16" s="67"/>
      <c r="B16" s="84" t="s">
        <v>78</v>
      </c>
      <c r="C16" s="84" t="s">
        <v>72</v>
      </c>
      <c r="D16" s="84" t="s">
        <v>73</v>
      </c>
      <c r="E16" s="85" t="s">
        <v>74</v>
      </c>
      <c r="F16" s="85" t="s">
        <v>93</v>
      </c>
      <c r="G16" s="86">
        <v>15123.0</v>
      </c>
      <c r="H16" s="87">
        <v>45170.0</v>
      </c>
      <c r="I16" s="84" t="s">
        <v>76</v>
      </c>
      <c r="J16" s="84" t="s">
        <v>94</v>
      </c>
      <c r="K16" s="69" t="b">
        <v>1</v>
      </c>
      <c r="L16" s="67"/>
      <c r="M16" s="89"/>
      <c r="N16" s="67"/>
    </row>
    <row r="17" hidden="1">
      <c r="A17" s="67"/>
      <c r="B17" s="84" t="s">
        <v>78</v>
      </c>
      <c r="C17" s="84" t="s">
        <v>72</v>
      </c>
      <c r="D17" s="84" t="s">
        <v>73</v>
      </c>
      <c r="E17" s="85" t="s">
        <v>74</v>
      </c>
      <c r="F17" s="85" t="s">
        <v>95</v>
      </c>
      <c r="G17" s="86">
        <v>15045.0</v>
      </c>
      <c r="H17" s="87">
        <v>45200.0</v>
      </c>
      <c r="I17" s="84" t="s">
        <v>76</v>
      </c>
      <c r="J17" s="84" t="s">
        <v>96</v>
      </c>
      <c r="K17" s="69" t="b">
        <v>1</v>
      </c>
      <c r="L17" s="67"/>
      <c r="M17" s="88"/>
      <c r="N17" s="67"/>
    </row>
    <row r="18" hidden="1">
      <c r="A18" s="67"/>
      <c r="B18" s="84" t="s">
        <v>78</v>
      </c>
      <c r="C18" s="84" t="s">
        <v>72</v>
      </c>
      <c r="D18" s="84" t="s">
        <v>73</v>
      </c>
      <c r="E18" s="85" t="s">
        <v>74</v>
      </c>
      <c r="F18" s="85" t="s">
        <v>97</v>
      </c>
      <c r="G18" s="86">
        <v>16820.0</v>
      </c>
      <c r="H18" s="87">
        <v>45231.0</v>
      </c>
      <c r="I18" s="84" t="s">
        <v>76</v>
      </c>
      <c r="J18" s="84" t="s">
        <v>98</v>
      </c>
      <c r="K18" s="90" t="b">
        <v>1</v>
      </c>
      <c r="L18" s="91"/>
      <c r="M18" s="88"/>
      <c r="N18" s="67"/>
    </row>
    <row r="19" hidden="1">
      <c r="A19" s="67"/>
      <c r="B19" s="84" t="s">
        <v>99</v>
      </c>
      <c r="C19" s="84" t="s">
        <v>100</v>
      </c>
      <c r="D19" s="84" t="s">
        <v>101</v>
      </c>
      <c r="E19" s="85" t="s">
        <v>102</v>
      </c>
      <c r="F19" s="85">
        <v>338.0</v>
      </c>
      <c r="G19" s="86">
        <v>34850.0</v>
      </c>
      <c r="H19" s="87">
        <v>44929.0</v>
      </c>
      <c r="I19" s="84" t="s">
        <v>103</v>
      </c>
      <c r="J19" s="84" t="s">
        <v>104</v>
      </c>
      <c r="K19" s="69" t="b">
        <v>1</v>
      </c>
      <c r="L19" s="67"/>
      <c r="M19" s="89"/>
      <c r="N19" s="67"/>
    </row>
    <row r="20" hidden="1">
      <c r="A20" s="67"/>
      <c r="B20" s="84" t="s">
        <v>99</v>
      </c>
      <c r="C20" s="84" t="s">
        <v>105</v>
      </c>
      <c r="D20" s="84" t="s">
        <v>101</v>
      </c>
      <c r="E20" s="85" t="s">
        <v>102</v>
      </c>
      <c r="F20" s="85">
        <v>338.0</v>
      </c>
      <c r="G20" s="86">
        <v>34850.0</v>
      </c>
      <c r="H20" s="87">
        <v>44929.0</v>
      </c>
      <c r="I20" s="84" t="s">
        <v>103</v>
      </c>
      <c r="J20" s="84" t="s">
        <v>104</v>
      </c>
      <c r="K20" s="69" t="b">
        <v>1</v>
      </c>
      <c r="L20" s="67"/>
      <c r="M20" s="89"/>
      <c r="N20" s="67"/>
    </row>
    <row r="21" hidden="1">
      <c r="A21" s="67"/>
      <c r="B21" s="84" t="s">
        <v>99</v>
      </c>
      <c r="C21" s="84" t="s">
        <v>100</v>
      </c>
      <c r="D21" s="84" t="s">
        <v>106</v>
      </c>
      <c r="E21" s="85" t="s">
        <v>107</v>
      </c>
      <c r="F21" s="85" t="s">
        <v>108</v>
      </c>
      <c r="G21" s="86">
        <v>4059.07</v>
      </c>
      <c r="H21" s="87">
        <v>44959.0</v>
      </c>
      <c r="I21" s="84" t="s">
        <v>109</v>
      </c>
      <c r="J21" s="84" t="s">
        <v>110</v>
      </c>
      <c r="K21" s="69" t="b">
        <v>1</v>
      </c>
      <c r="L21" s="67"/>
      <c r="M21" s="89"/>
      <c r="N21" s="67"/>
    </row>
    <row r="22" hidden="1">
      <c r="A22" s="67"/>
      <c r="B22" s="84" t="s">
        <v>99</v>
      </c>
      <c r="C22" s="84" t="s">
        <v>105</v>
      </c>
      <c r="D22" s="84" t="s">
        <v>106</v>
      </c>
      <c r="E22" s="85" t="s">
        <v>107</v>
      </c>
      <c r="F22" s="85" t="s">
        <v>108</v>
      </c>
      <c r="G22" s="86">
        <v>4059.07</v>
      </c>
      <c r="H22" s="87">
        <v>44959.0</v>
      </c>
      <c r="I22" s="84" t="s">
        <v>109</v>
      </c>
      <c r="J22" s="84" t="s">
        <v>110</v>
      </c>
      <c r="K22" s="69" t="b">
        <v>1</v>
      </c>
      <c r="L22" s="67"/>
      <c r="M22" s="89"/>
      <c r="N22" s="67"/>
    </row>
    <row r="23" hidden="1">
      <c r="A23" s="67"/>
      <c r="B23" s="84" t="s">
        <v>99</v>
      </c>
      <c r="C23" s="84" t="s">
        <v>111</v>
      </c>
      <c r="D23" s="84" t="s">
        <v>112</v>
      </c>
      <c r="E23" s="85" t="s">
        <v>113</v>
      </c>
      <c r="F23" s="85">
        <v>202324.0</v>
      </c>
      <c r="G23" s="86">
        <v>4850.0</v>
      </c>
      <c r="H23" s="87">
        <v>44960.0</v>
      </c>
      <c r="I23" s="84" t="s">
        <v>114</v>
      </c>
      <c r="J23" s="84" t="s">
        <v>115</v>
      </c>
      <c r="K23" s="69" t="b">
        <v>1</v>
      </c>
      <c r="L23" s="67"/>
      <c r="M23" s="89"/>
      <c r="N23" s="67"/>
    </row>
    <row r="24" hidden="1">
      <c r="A24" s="67"/>
      <c r="B24" s="84" t="s">
        <v>99</v>
      </c>
      <c r="C24" s="84" t="s">
        <v>100</v>
      </c>
      <c r="D24" s="84" t="s">
        <v>101</v>
      </c>
      <c r="E24" s="85" t="s">
        <v>102</v>
      </c>
      <c r="F24" s="85">
        <v>377.0</v>
      </c>
      <c r="G24" s="86">
        <v>34850.0</v>
      </c>
      <c r="H24" s="87">
        <v>44960.0</v>
      </c>
      <c r="I24" s="84" t="s">
        <v>103</v>
      </c>
      <c r="J24" s="84" t="s">
        <v>104</v>
      </c>
      <c r="K24" s="69" t="b">
        <v>1</v>
      </c>
      <c r="L24" s="67"/>
      <c r="M24" s="89"/>
      <c r="N24" s="67"/>
    </row>
    <row r="25" hidden="1">
      <c r="A25" s="67"/>
      <c r="B25" s="84" t="s">
        <v>99</v>
      </c>
      <c r="C25" s="84" t="s">
        <v>105</v>
      </c>
      <c r="D25" s="84" t="s">
        <v>101</v>
      </c>
      <c r="E25" s="85" t="s">
        <v>102</v>
      </c>
      <c r="F25" s="85">
        <v>377.0</v>
      </c>
      <c r="G25" s="86">
        <v>34850.0</v>
      </c>
      <c r="H25" s="87">
        <v>44960.0</v>
      </c>
      <c r="I25" s="84" t="s">
        <v>103</v>
      </c>
      <c r="J25" s="84" t="s">
        <v>104</v>
      </c>
      <c r="K25" s="69" t="b">
        <v>1</v>
      </c>
      <c r="L25" s="67"/>
      <c r="M25" s="89"/>
      <c r="N25" s="67"/>
    </row>
    <row r="26" hidden="1">
      <c r="A26" s="67"/>
      <c r="B26" s="84" t="s">
        <v>99</v>
      </c>
      <c r="C26" s="84" t="s">
        <v>100</v>
      </c>
      <c r="D26" s="84" t="s">
        <v>106</v>
      </c>
      <c r="E26" s="85" t="s">
        <v>107</v>
      </c>
      <c r="F26" s="85" t="s">
        <v>116</v>
      </c>
      <c r="G26" s="86">
        <v>1907.88</v>
      </c>
      <c r="H26" s="87">
        <v>44987.0</v>
      </c>
      <c r="I26" s="84" t="s">
        <v>109</v>
      </c>
      <c r="J26" s="84" t="s">
        <v>117</v>
      </c>
      <c r="K26" s="69" t="b">
        <v>1</v>
      </c>
      <c r="L26" s="67"/>
      <c r="M26" s="89"/>
      <c r="N26" s="67"/>
    </row>
    <row r="27" hidden="1">
      <c r="A27" s="67"/>
      <c r="B27" s="84" t="s">
        <v>99</v>
      </c>
      <c r="C27" s="84" t="s">
        <v>105</v>
      </c>
      <c r="D27" s="84" t="s">
        <v>106</v>
      </c>
      <c r="E27" s="85" t="s">
        <v>107</v>
      </c>
      <c r="F27" s="85" t="s">
        <v>116</v>
      </c>
      <c r="G27" s="86">
        <v>1907.88</v>
      </c>
      <c r="H27" s="87">
        <v>44987.0</v>
      </c>
      <c r="I27" s="84" t="s">
        <v>109</v>
      </c>
      <c r="J27" s="84" t="s">
        <v>117</v>
      </c>
      <c r="K27" s="69" t="b">
        <v>1</v>
      </c>
      <c r="L27" s="67"/>
      <c r="M27" s="89"/>
      <c r="N27" s="67"/>
    </row>
    <row r="28" hidden="1">
      <c r="A28" s="67"/>
      <c r="B28" s="84" t="s">
        <v>99</v>
      </c>
      <c r="C28" s="84" t="s">
        <v>118</v>
      </c>
      <c r="D28" s="84" t="s">
        <v>106</v>
      </c>
      <c r="E28" s="85" t="s">
        <v>107</v>
      </c>
      <c r="F28" s="85" t="s">
        <v>116</v>
      </c>
      <c r="G28" s="86">
        <v>1907.88</v>
      </c>
      <c r="H28" s="87">
        <v>44987.0</v>
      </c>
      <c r="I28" s="84" t="s">
        <v>109</v>
      </c>
      <c r="J28" s="84" t="s">
        <v>117</v>
      </c>
      <c r="K28" s="69" t="b">
        <v>1</v>
      </c>
      <c r="L28" s="67"/>
      <c r="M28" s="89"/>
      <c r="N28" s="67"/>
    </row>
    <row r="29" hidden="1">
      <c r="A29" s="67"/>
      <c r="B29" s="84" t="s">
        <v>99</v>
      </c>
      <c r="C29" s="84" t="s">
        <v>119</v>
      </c>
      <c r="D29" s="84" t="s">
        <v>106</v>
      </c>
      <c r="E29" s="85" t="s">
        <v>107</v>
      </c>
      <c r="F29" s="85" t="s">
        <v>116</v>
      </c>
      <c r="G29" s="86">
        <v>1907.88</v>
      </c>
      <c r="H29" s="87">
        <v>44987.0</v>
      </c>
      <c r="I29" s="84" t="s">
        <v>109</v>
      </c>
      <c r="J29" s="84" t="s">
        <v>117</v>
      </c>
      <c r="K29" s="69" t="b">
        <v>1</v>
      </c>
      <c r="L29" s="67"/>
      <c r="M29" s="89"/>
      <c r="N29" s="67"/>
    </row>
    <row r="30" hidden="1">
      <c r="A30" s="67"/>
      <c r="B30" s="84" t="s">
        <v>99</v>
      </c>
      <c r="C30" s="84" t="s">
        <v>100</v>
      </c>
      <c r="D30" s="84" t="s">
        <v>101</v>
      </c>
      <c r="E30" s="85" t="s">
        <v>102</v>
      </c>
      <c r="F30" s="85">
        <v>408.0</v>
      </c>
      <c r="G30" s="86">
        <v>17425.0</v>
      </c>
      <c r="H30" s="87">
        <v>44991.0</v>
      </c>
      <c r="I30" s="84" t="s">
        <v>103</v>
      </c>
      <c r="J30" s="84" t="s">
        <v>120</v>
      </c>
      <c r="K30" s="69" t="b">
        <v>1</v>
      </c>
      <c r="L30" s="67"/>
      <c r="M30" s="89"/>
      <c r="N30" s="67"/>
    </row>
    <row r="31" hidden="1">
      <c r="A31" s="67"/>
      <c r="B31" s="84" t="s">
        <v>99</v>
      </c>
      <c r="C31" s="84" t="s">
        <v>105</v>
      </c>
      <c r="D31" s="84" t="s">
        <v>101</v>
      </c>
      <c r="E31" s="85" t="s">
        <v>102</v>
      </c>
      <c r="F31" s="85">
        <v>408.0</v>
      </c>
      <c r="G31" s="86">
        <v>17425.0</v>
      </c>
      <c r="H31" s="87">
        <v>44991.0</v>
      </c>
      <c r="I31" s="84" t="s">
        <v>103</v>
      </c>
      <c r="J31" s="84" t="s">
        <v>120</v>
      </c>
      <c r="K31" s="69" t="b">
        <v>1</v>
      </c>
      <c r="L31" s="67"/>
      <c r="M31" s="89"/>
      <c r="N31" s="67"/>
    </row>
    <row r="32" hidden="1">
      <c r="A32" s="67"/>
      <c r="B32" s="84" t="s">
        <v>99</v>
      </c>
      <c r="C32" s="84" t="s">
        <v>118</v>
      </c>
      <c r="D32" s="84" t="s">
        <v>101</v>
      </c>
      <c r="E32" s="85" t="s">
        <v>102</v>
      </c>
      <c r="F32" s="85">
        <v>408.0</v>
      </c>
      <c r="G32" s="86">
        <v>17425.0</v>
      </c>
      <c r="H32" s="87">
        <v>44991.0</v>
      </c>
      <c r="I32" s="84" t="s">
        <v>103</v>
      </c>
      <c r="J32" s="84" t="s">
        <v>120</v>
      </c>
      <c r="K32" s="69" t="b">
        <v>1</v>
      </c>
      <c r="L32" s="67"/>
      <c r="M32" s="89"/>
      <c r="N32" s="67"/>
    </row>
    <row r="33" hidden="1">
      <c r="A33" s="67"/>
      <c r="B33" s="84" t="s">
        <v>99</v>
      </c>
      <c r="C33" s="84" t="s">
        <v>119</v>
      </c>
      <c r="D33" s="84" t="s">
        <v>101</v>
      </c>
      <c r="E33" s="85" t="s">
        <v>102</v>
      </c>
      <c r="F33" s="85">
        <v>408.0</v>
      </c>
      <c r="G33" s="86">
        <v>17425.0</v>
      </c>
      <c r="H33" s="87">
        <v>44991.0</v>
      </c>
      <c r="I33" s="84" t="s">
        <v>103</v>
      </c>
      <c r="J33" s="84" t="s">
        <v>120</v>
      </c>
      <c r="K33" s="69" t="b">
        <v>1</v>
      </c>
      <c r="L33" s="67"/>
      <c r="M33" s="89"/>
      <c r="N33" s="67"/>
    </row>
    <row r="34" hidden="1">
      <c r="A34" s="67"/>
      <c r="B34" s="84" t="s">
        <v>99</v>
      </c>
      <c r="C34" s="84" t="s">
        <v>111</v>
      </c>
      <c r="D34" s="84" t="s">
        <v>112</v>
      </c>
      <c r="E34" s="85" t="s">
        <v>113</v>
      </c>
      <c r="F34" s="85">
        <v>202369.0</v>
      </c>
      <c r="G34" s="86">
        <v>4850.0</v>
      </c>
      <c r="H34" s="87">
        <v>44992.0</v>
      </c>
      <c r="I34" s="84" t="s">
        <v>114</v>
      </c>
      <c r="J34" s="84" t="s">
        <v>115</v>
      </c>
      <c r="K34" s="69" t="b">
        <v>1</v>
      </c>
      <c r="L34" s="67"/>
      <c r="M34" s="89"/>
      <c r="N34" s="67"/>
    </row>
    <row r="35" hidden="1">
      <c r="A35" s="67"/>
      <c r="B35" s="84" t="s">
        <v>99</v>
      </c>
      <c r="C35" s="84" t="s">
        <v>100</v>
      </c>
      <c r="D35" s="84" t="s">
        <v>106</v>
      </c>
      <c r="E35" s="85" t="s">
        <v>107</v>
      </c>
      <c r="F35" s="85" t="s">
        <v>121</v>
      </c>
      <c r="G35" s="86">
        <v>2101.47</v>
      </c>
      <c r="H35" s="87">
        <v>45018.0</v>
      </c>
      <c r="I35" s="84" t="s">
        <v>109</v>
      </c>
      <c r="J35" s="84" t="s">
        <v>122</v>
      </c>
      <c r="K35" s="69" t="b">
        <v>1</v>
      </c>
      <c r="L35" s="67"/>
      <c r="M35" s="89"/>
      <c r="N35" s="67"/>
    </row>
    <row r="36" hidden="1">
      <c r="A36" s="67"/>
      <c r="B36" s="84" t="s">
        <v>99</v>
      </c>
      <c r="C36" s="84" t="s">
        <v>105</v>
      </c>
      <c r="D36" s="84" t="s">
        <v>106</v>
      </c>
      <c r="E36" s="85" t="s">
        <v>107</v>
      </c>
      <c r="F36" s="85" t="s">
        <v>121</v>
      </c>
      <c r="G36" s="86">
        <v>2101.47</v>
      </c>
      <c r="H36" s="87">
        <v>45018.0</v>
      </c>
      <c r="I36" s="84" t="s">
        <v>109</v>
      </c>
      <c r="J36" s="84" t="s">
        <v>122</v>
      </c>
      <c r="K36" s="69" t="b">
        <v>1</v>
      </c>
      <c r="L36" s="67"/>
      <c r="M36" s="89"/>
      <c r="N36" s="67"/>
    </row>
    <row r="37" hidden="1">
      <c r="A37" s="67"/>
      <c r="B37" s="84" t="s">
        <v>99</v>
      </c>
      <c r="C37" s="84" t="s">
        <v>118</v>
      </c>
      <c r="D37" s="84" t="s">
        <v>106</v>
      </c>
      <c r="E37" s="85" t="s">
        <v>107</v>
      </c>
      <c r="F37" s="85" t="s">
        <v>121</v>
      </c>
      <c r="G37" s="86">
        <v>2101.47</v>
      </c>
      <c r="H37" s="87">
        <v>45018.0</v>
      </c>
      <c r="I37" s="84" t="s">
        <v>109</v>
      </c>
      <c r="J37" s="84" t="s">
        <v>122</v>
      </c>
      <c r="K37" s="69" t="b">
        <v>1</v>
      </c>
      <c r="L37" s="67"/>
      <c r="M37" s="89"/>
      <c r="N37" s="67"/>
    </row>
    <row r="38" hidden="1">
      <c r="A38" s="67"/>
      <c r="B38" s="84" t="s">
        <v>99</v>
      </c>
      <c r="C38" s="84" t="s">
        <v>119</v>
      </c>
      <c r="D38" s="84" t="s">
        <v>106</v>
      </c>
      <c r="E38" s="85" t="s">
        <v>107</v>
      </c>
      <c r="F38" s="85" t="s">
        <v>121</v>
      </c>
      <c r="G38" s="86">
        <v>2101.47</v>
      </c>
      <c r="H38" s="87">
        <v>45018.0</v>
      </c>
      <c r="I38" s="84" t="s">
        <v>109</v>
      </c>
      <c r="J38" s="84" t="s">
        <v>122</v>
      </c>
      <c r="K38" s="69" t="b">
        <v>1</v>
      </c>
      <c r="L38" s="67"/>
      <c r="M38" s="89"/>
      <c r="N38" s="67"/>
    </row>
    <row r="39" hidden="1">
      <c r="A39" s="67"/>
      <c r="B39" s="84" t="s">
        <v>99</v>
      </c>
      <c r="C39" s="84" t="s">
        <v>100</v>
      </c>
      <c r="D39" s="84" t="s">
        <v>101</v>
      </c>
      <c r="E39" s="85" t="s">
        <v>102</v>
      </c>
      <c r="F39" s="85">
        <v>439.0</v>
      </c>
      <c r="G39" s="86">
        <v>17425.0</v>
      </c>
      <c r="H39" s="87">
        <v>45022.0</v>
      </c>
      <c r="I39" s="84" t="s">
        <v>103</v>
      </c>
      <c r="J39" s="84" t="s">
        <v>120</v>
      </c>
      <c r="K39" s="69" t="b">
        <v>1</v>
      </c>
      <c r="L39" s="67"/>
      <c r="M39" s="89"/>
      <c r="N39" s="67"/>
    </row>
    <row r="40" hidden="1">
      <c r="A40" s="67"/>
      <c r="B40" s="84" t="s">
        <v>99</v>
      </c>
      <c r="C40" s="84" t="s">
        <v>105</v>
      </c>
      <c r="D40" s="84" t="s">
        <v>101</v>
      </c>
      <c r="E40" s="85" t="s">
        <v>102</v>
      </c>
      <c r="F40" s="85">
        <v>439.0</v>
      </c>
      <c r="G40" s="86">
        <v>17425.0</v>
      </c>
      <c r="H40" s="87">
        <v>45022.0</v>
      </c>
      <c r="I40" s="84" t="s">
        <v>103</v>
      </c>
      <c r="J40" s="84" t="s">
        <v>120</v>
      </c>
      <c r="K40" s="69" t="b">
        <v>1</v>
      </c>
      <c r="L40" s="67"/>
      <c r="M40" s="89"/>
      <c r="N40" s="67"/>
    </row>
    <row r="41" hidden="1">
      <c r="A41" s="67"/>
      <c r="B41" s="84" t="s">
        <v>99</v>
      </c>
      <c r="C41" s="84" t="s">
        <v>118</v>
      </c>
      <c r="D41" s="84" t="s">
        <v>101</v>
      </c>
      <c r="E41" s="85" t="s">
        <v>102</v>
      </c>
      <c r="F41" s="85">
        <v>439.0</v>
      </c>
      <c r="G41" s="86">
        <v>17425.0</v>
      </c>
      <c r="H41" s="87">
        <v>45022.0</v>
      </c>
      <c r="I41" s="84" t="s">
        <v>103</v>
      </c>
      <c r="J41" s="84" t="s">
        <v>120</v>
      </c>
      <c r="K41" s="69" t="b">
        <v>1</v>
      </c>
      <c r="L41" s="67"/>
      <c r="M41" s="89"/>
      <c r="N41" s="67"/>
    </row>
    <row r="42" hidden="1">
      <c r="A42" s="67"/>
      <c r="B42" s="84" t="s">
        <v>99</v>
      </c>
      <c r="C42" s="84" t="s">
        <v>119</v>
      </c>
      <c r="D42" s="84" t="s">
        <v>101</v>
      </c>
      <c r="E42" s="85" t="s">
        <v>102</v>
      </c>
      <c r="F42" s="85">
        <v>439.0</v>
      </c>
      <c r="G42" s="86">
        <v>17425.0</v>
      </c>
      <c r="H42" s="87">
        <v>45022.0</v>
      </c>
      <c r="I42" s="84" t="s">
        <v>103</v>
      </c>
      <c r="J42" s="84" t="s">
        <v>120</v>
      </c>
      <c r="K42" s="69" t="b">
        <v>1</v>
      </c>
      <c r="L42" s="67"/>
      <c r="M42" s="89"/>
      <c r="N42" s="67"/>
    </row>
    <row r="43" hidden="1">
      <c r="A43" s="67"/>
      <c r="B43" s="84" t="s">
        <v>99</v>
      </c>
      <c r="C43" s="84" t="s">
        <v>118</v>
      </c>
      <c r="D43" s="84" t="s">
        <v>106</v>
      </c>
      <c r="E43" s="85" t="s">
        <v>107</v>
      </c>
      <c r="F43" s="85" t="s">
        <v>123</v>
      </c>
      <c r="G43" s="92">
        <v>3917.99</v>
      </c>
      <c r="H43" s="87">
        <v>45048.0</v>
      </c>
      <c r="I43" s="84" t="s">
        <v>109</v>
      </c>
      <c r="J43" s="84" t="s">
        <v>124</v>
      </c>
      <c r="K43" s="69" t="b">
        <v>1</v>
      </c>
      <c r="L43" s="67"/>
      <c r="M43" s="93"/>
      <c r="N43" s="67"/>
    </row>
    <row r="44" hidden="1">
      <c r="A44" s="67"/>
      <c r="B44" s="84" t="s">
        <v>99</v>
      </c>
      <c r="C44" s="84" t="s">
        <v>119</v>
      </c>
      <c r="D44" s="84" t="s">
        <v>106</v>
      </c>
      <c r="E44" s="85" t="s">
        <v>107</v>
      </c>
      <c r="F44" s="85" t="s">
        <v>123</v>
      </c>
      <c r="G44" s="94">
        <v>3917.99</v>
      </c>
      <c r="H44" s="87">
        <v>45048.0</v>
      </c>
      <c r="I44" s="84" t="s">
        <v>109</v>
      </c>
      <c r="J44" s="84" t="s">
        <v>124</v>
      </c>
      <c r="K44" s="69" t="b">
        <v>1</v>
      </c>
      <c r="L44" s="67"/>
      <c r="M44" s="93"/>
      <c r="N44" s="67"/>
    </row>
    <row r="45" hidden="1">
      <c r="A45" s="67"/>
      <c r="B45" s="84" t="s">
        <v>99</v>
      </c>
      <c r="C45" s="84" t="s">
        <v>118</v>
      </c>
      <c r="D45" s="84" t="s">
        <v>101</v>
      </c>
      <c r="E45" s="85" t="s">
        <v>102</v>
      </c>
      <c r="F45" s="85">
        <v>475.0</v>
      </c>
      <c r="G45" s="94">
        <v>34000.0</v>
      </c>
      <c r="H45" s="87">
        <v>45055.0</v>
      </c>
      <c r="I45" s="84" t="s">
        <v>103</v>
      </c>
      <c r="J45" s="84" t="s">
        <v>125</v>
      </c>
      <c r="K45" s="69" t="b">
        <v>1</v>
      </c>
      <c r="L45" s="67"/>
      <c r="M45" s="95"/>
      <c r="N45" s="67"/>
    </row>
    <row r="46" hidden="1">
      <c r="A46" s="67"/>
      <c r="B46" s="84" t="s">
        <v>99</v>
      </c>
      <c r="C46" s="84" t="s">
        <v>119</v>
      </c>
      <c r="D46" s="84" t="s">
        <v>101</v>
      </c>
      <c r="E46" s="85" t="s">
        <v>102</v>
      </c>
      <c r="F46" s="85">
        <v>475.0</v>
      </c>
      <c r="G46" s="86">
        <v>34000.0</v>
      </c>
      <c r="H46" s="87">
        <v>45055.0</v>
      </c>
      <c r="I46" s="84" t="s">
        <v>103</v>
      </c>
      <c r="J46" s="84" t="s">
        <v>125</v>
      </c>
      <c r="K46" s="69" t="b">
        <v>1</v>
      </c>
      <c r="L46" s="67"/>
      <c r="M46" s="67"/>
      <c r="N46" s="67"/>
    </row>
    <row r="47" hidden="1">
      <c r="A47" s="67"/>
      <c r="B47" s="84" t="s">
        <v>99</v>
      </c>
      <c r="C47" s="84" t="s">
        <v>118</v>
      </c>
      <c r="D47" s="84" t="s">
        <v>101</v>
      </c>
      <c r="E47" s="85" t="s">
        <v>102</v>
      </c>
      <c r="F47" s="85">
        <v>497.0</v>
      </c>
      <c r="G47" s="86">
        <v>23233.33</v>
      </c>
      <c r="H47" s="87">
        <v>45078.0</v>
      </c>
      <c r="I47" s="84" t="s">
        <v>103</v>
      </c>
      <c r="J47" s="84" t="s">
        <v>126</v>
      </c>
      <c r="K47" s="69" t="b">
        <v>1</v>
      </c>
      <c r="L47" s="67"/>
      <c r="M47" s="67"/>
      <c r="N47" s="67"/>
    </row>
    <row r="48" hidden="1">
      <c r="A48" s="67"/>
      <c r="B48" s="84" t="s">
        <v>99</v>
      </c>
      <c r="C48" s="84" t="s">
        <v>119</v>
      </c>
      <c r="D48" s="84" t="s">
        <v>101</v>
      </c>
      <c r="E48" s="85" t="s">
        <v>102</v>
      </c>
      <c r="F48" s="85">
        <v>497.0</v>
      </c>
      <c r="G48" s="86">
        <v>23233.33</v>
      </c>
      <c r="H48" s="87">
        <v>45078.0</v>
      </c>
      <c r="I48" s="84" t="s">
        <v>103</v>
      </c>
      <c r="J48" s="84" t="s">
        <v>126</v>
      </c>
      <c r="K48" s="69" t="b">
        <v>1</v>
      </c>
      <c r="L48" s="67"/>
      <c r="M48" s="67"/>
      <c r="N48" s="67"/>
    </row>
    <row r="49" hidden="1">
      <c r="A49" s="67"/>
      <c r="B49" s="84" t="s">
        <v>99</v>
      </c>
      <c r="C49" s="84" t="s">
        <v>127</v>
      </c>
      <c r="D49" s="84" t="s">
        <v>101</v>
      </c>
      <c r="E49" s="85" t="s">
        <v>102</v>
      </c>
      <c r="F49" s="85">
        <v>497.0</v>
      </c>
      <c r="G49" s="86">
        <v>23233.33</v>
      </c>
      <c r="H49" s="87">
        <v>45078.0</v>
      </c>
      <c r="I49" s="84" t="s">
        <v>103</v>
      </c>
      <c r="J49" s="84" t="s">
        <v>126</v>
      </c>
      <c r="K49" s="69" t="b">
        <v>1</v>
      </c>
      <c r="L49" s="67"/>
      <c r="M49" s="67"/>
      <c r="N49" s="67"/>
    </row>
    <row r="50" hidden="1">
      <c r="A50" s="67"/>
      <c r="B50" s="84" t="s">
        <v>99</v>
      </c>
      <c r="C50" s="84" t="s">
        <v>118</v>
      </c>
      <c r="D50" s="84" t="s">
        <v>106</v>
      </c>
      <c r="E50" s="85" t="s">
        <v>107</v>
      </c>
      <c r="F50" s="85" t="s">
        <v>128</v>
      </c>
      <c r="G50" s="86">
        <v>2669.23</v>
      </c>
      <c r="H50" s="87">
        <v>45079.0</v>
      </c>
      <c r="I50" s="84" t="s">
        <v>109</v>
      </c>
      <c r="J50" s="84" t="s">
        <v>129</v>
      </c>
      <c r="K50" s="69" t="b">
        <v>1</v>
      </c>
      <c r="L50" s="67"/>
      <c r="M50" s="67"/>
      <c r="N50" s="67"/>
    </row>
    <row r="51" hidden="1">
      <c r="A51" s="67"/>
      <c r="B51" s="84" t="s">
        <v>99</v>
      </c>
      <c r="C51" s="84" t="s">
        <v>119</v>
      </c>
      <c r="D51" s="84" t="s">
        <v>106</v>
      </c>
      <c r="E51" s="85" t="s">
        <v>107</v>
      </c>
      <c r="F51" s="85" t="s">
        <v>128</v>
      </c>
      <c r="G51" s="86">
        <v>2669.23</v>
      </c>
      <c r="H51" s="87">
        <v>45079.0</v>
      </c>
      <c r="I51" s="84" t="s">
        <v>109</v>
      </c>
      <c r="J51" s="84" t="s">
        <v>129</v>
      </c>
      <c r="K51" s="69" t="b">
        <v>1</v>
      </c>
      <c r="L51" s="67"/>
      <c r="M51" s="67"/>
      <c r="N51" s="67"/>
    </row>
    <row r="52" hidden="1">
      <c r="A52" s="67"/>
      <c r="B52" s="84" t="s">
        <v>99</v>
      </c>
      <c r="C52" s="84" t="s">
        <v>127</v>
      </c>
      <c r="D52" s="84" t="s">
        <v>106</v>
      </c>
      <c r="E52" s="85" t="s">
        <v>107</v>
      </c>
      <c r="F52" s="85" t="s">
        <v>128</v>
      </c>
      <c r="G52" s="86">
        <v>2669.23</v>
      </c>
      <c r="H52" s="87">
        <v>45079.0</v>
      </c>
      <c r="I52" s="84" t="s">
        <v>109</v>
      </c>
      <c r="J52" s="84" t="s">
        <v>129</v>
      </c>
      <c r="K52" s="69" t="b">
        <v>1</v>
      </c>
      <c r="L52" s="67"/>
      <c r="M52" s="67"/>
      <c r="N52" s="67"/>
    </row>
    <row r="53" hidden="1">
      <c r="A53" s="67"/>
      <c r="B53" s="84" t="s">
        <v>99</v>
      </c>
      <c r="C53" s="84" t="s">
        <v>127</v>
      </c>
      <c r="D53" s="84" t="s">
        <v>106</v>
      </c>
      <c r="E53" s="85" t="s">
        <v>107</v>
      </c>
      <c r="F53" s="85" t="s">
        <v>130</v>
      </c>
      <c r="G53" s="86">
        <v>8323.82</v>
      </c>
      <c r="H53" s="87">
        <v>45109.0</v>
      </c>
      <c r="I53" s="84" t="s">
        <v>109</v>
      </c>
      <c r="J53" s="84" t="s">
        <v>131</v>
      </c>
      <c r="K53" s="69" t="b">
        <v>1</v>
      </c>
      <c r="L53" s="67"/>
      <c r="M53" s="67"/>
      <c r="N53" s="67"/>
    </row>
    <row r="54" hidden="1">
      <c r="A54" s="67"/>
      <c r="B54" s="84" t="s">
        <v>99</v>
      </c>
      <c r="C54" s="84" t="s">
        <v>127</v>
      </c>
      <c r="D54" s="84" t="s">
        <v>101</v>
      </c>
      <c r="E54" s="85" t="s">
        <v>102</v>
      </c>
      <c r="F54" s="85">
        <v>524.0</v>
      </c>
      <c r="G54" s="86">
        <v>69700.0</v>
      </c>
      <c r="H54" s="87">
        <v>45110.0</v>
      </c>
      <c r="I54" s="84" t="s">
        <v>103</v>
      </c>
      <c r="J54" s="84" t="s">
        <v>132</v>
      </c>
      <c r="K54" s="69" t="b">
        <v>1</v>
      </c>
      <c r="L54" s="67"/>
      <c r="M54" s="67"/>
      <c r="N54" s="67"/>
    </row>
    <row r="55" hidden="1">
      <c r="A55" s="67"/>
      <c r="B55" s="84" t="s">
        <v>99</v>
      </c>
      <c r="C55" s="84" t="s">
        <v>133</v>
      </c>
      <c r="D55" s="84" t="s">
        <v>101</v>
      </c>
      <c r="E55" s="85" t="s">
        <v>102</v>
      </c>
      <c r="F55" s="85">
        <v>539.0</v>
      </c>
      <c r="G55" s="86">
        <v>69700.0</v>
      </c>
      <c r="H55" s="87">
        <v>45139.0</v>
      </c>
      <c r="I55" s="84" t="s">
        <v>103</v>
      </c>
      <c r="J55" s="84" t="s">
        <v>132</v>
      </c>
      <c r="K55" s="69" t="b">
        <v>1</v>
      </c>
      <c r="L55" s="67"/>
      <c r="M55" s="67"/>
      <c r="N55" s="67"/>
    </row>
    <row r="56" hidden="1">
      <c r="A56" s="67"/>
      <c r="B56" s="84" t="s">
        <v>99</v>
      </c>
      <c r="C56" s="84" t="s">
        <v>133</v>
      </c>
      <c r="D56" s="84" t="s">
        <v>106</v>
      </c>
      <c r="E56" s="85" t="s">
        <v>107</v>
      </c>
      <c r="F56" s="85" t="s">
        <v>134</v>
      </c>
      <c r="G56" s="86">
        <v>10629.3</v>
      </c>
      <c r="H56" s="87">
        <v>45140.0</v>
      </c>
      <c r="I56" s="84" t="s">
        <v>109</v>
      </c>
      <c r="J56" s="84" t="s">
        <v>135</v>
      </c>
      <c r="K56" s="69" t="b">
        <v>1</v>
      </c>
      <c r="L56" s="67"/>
      <c r="M56" s="67"/>
      <c r="N56" s="67"/>
    </row>
    <row r="57" hidden="1">
      <c r="A57" s="67"/>
      <c r="B57" s="84" t="s">
        <v>99</v>
      </c>
      <c r="C57" s="84" t="s">
        <v>136</v>
      </c>
      <c r="D57" s="84" t="s">
        <v>137</v>
      </c>
      <c r="E57" s="85" t="s">
        <v>138</v>
      </c>
      <c r="F57" s="85">
        <v>2889.0</v>
      </c>
      <c r="G57" s="86">
        <v>27000.0</v>
      </c>
      <c r="H57" s="87">
        <v>45148.0</v>
      </c>
      <c r="I57" s="84" t="s">
        <v>139</v>
      </c>
      <c r="J57" s="84" t="s">
        <v>140</v>
      </c>
      <c r="K57" s="69" t="b">
        <v>1</v>
      </c>
      <c r="L57" s="67"/>
      <c r="M57" s="67"/>
      <c r="N57" s="67"/>
    </row>
    <row r="58" hidden="1">
      <c r="A58" s="67"/>
      <c r="B58" s="84" t="s">
        <v>99</v>
      </c>
      <c r="C58" s="84" t="s">
        <v>133</v>
      </c>
      <c r="D58" s="84" t="s">
        <v>101</v>
      </c>
      <c r="E58" s="85" t="s">
        <v>102</v>
      </c>
      <c r="F58" s="85">
        <v>549.0</v>
      </c>
      <c r="G58" s="86">
        <v>34850.0</v>
      </c>
      <c r="H58" s="87">
        <v>45170.0</v>
      </c>
      <c r="I58" s="84" t="s">
        <v>103</v>
      </c>
      <c r="J58" s="84" t="s">
        <v>104</v>
      </c>
      <c r="K58" s="69" t="b">
        <v>1</v>
      </c>
      <c r="L58" s="67"/>
      <c r="M58" s="67"/>
      <c r="N58" s="67"/>
    </row>
    <row r="59" hidden="1">
      <c r="A59" s="67"/>
      <c r="B59" s="84" t="s">
        <v>99</v>
      </c>
      <c r="C59" s="84" t="s">
        <v>141</v>
      </c>
      <c r="D59" s="84" t="s">
        <v>101</v>
      </c>
      <c r="E59" s="85" t="s">
        <v>102</v>
      </c>
      <c r="F59" s="85">
        <v>549.0</v>
      </c>
      <c r="G59" s="86">
        <v>34850.0</v>
      </c>
      <c r="H59" s="87">
        <v>45170.0</v>
      </c>
      <c r="I59" s="84" t="s">
        <v>103</v>
      </c>
      <c r="J59" s="84" t="s">
        <v>104</v>
      </c>
      <c r="K59" s="69" t="b">
        <v>1</v>
      </c>
      <c r="L59" s="67"/>
      <c r="M59" s="67"/>
      <c r="N59" s="67"/>
    </row>
    <row r="60" hidden="1">
      <c r="A60" s="67"/>
      <c r="B60" s="84" t="s">
        <v>99</v>
      </c>
      <c r="C60" s="84" t="s">
        <v>133</v>
      </c>
      <c r="D60" s="84" t="s">
        <v>106</v>
      </c>
      <c r="E60" s="85" t="s">
        <v>107</v>
      </c>
      <c r="F60" s="85" t="s">
        <v>142</v>
      </c>
      <c r="G60" s="86">
        <v>5436.5</v>
      </c>
      <c r="H60" s="87">
        <v>45172.0</v>
      </c>
      <c r="I60" s="84" t="s">
        <v>109</v>
      </c>
      <c r="J60" s="84" t="s">
        <v>143</v>
      </c>
      <c r="K60" s="69" t="b">
        <v>1</v>
      </c>
      <c r="L60" s="67"/>
      <c r="M60" s="67"/>
      <c r="N60" s="67"/>
    </row>
    <row r="61" hidden="1">
      <c r="A61" s="67"/>
      <c r="B61" s="84" t="s">
        <v>99</v>
      </c>
      <c r="C61" s="84" t="s">
        <v>141</v>
      </c>
      <c r="D61" s="84" t="s">
        <v>106</v>
      </c>
      <c r="E61" s="85" t="s">
        <v>107</v>
      </c>
      <c r="F61" s="85" t="s">
        <v>142</v>
      </c>
      <c r="G61" s="86">
        <v>5436.5</v>
      </c>
      <c r="H61" s="87">
        <v>45172.0</v>
      </c>
      <c r="I61" s="84" t="s">
        <v>109</v>
      </c>
      <c r="J61" s="84" t="s">
        <v>143</v>
      </c>
      <c r="K61" s="69" t="b">
        <v>1</v>
      </c>
      <c r="L61" s="67"/>
      <c r="M61" s="67"/>
      <c r="N61" s="67"/>
    </row>
    <row r="62" hidden="1">
      <c r="A62" s="67"/>
      <c r="B62" s="84" t="s">
        <v>99</v>
      </c>
      <c r="C62" s="84" t="s">
        <v>133</v>
      </c>
      <c r="D62" s="84" t="s">
        <v>106</v>
      </c>
      <c r="E62" s="85" t="s">
        <v>107</v>
      </c>
      <c r="F62" s="85" t="s">
        <v>144</v>
      </c>
      <c r="G62" s="86">
        <v>3585.26</v>
      </c>
      <c r="H62" s="87">
        <v>45201.0</v>
      </c>
      <c r="I62" s="84" t="s">
        <v>109</v>
      </c>
      <c r="J62" s="84" t="s">
        <v>145</v>
      </c>
      <c r="K62" s="69" t="b">
        <v>1</v>
      </c>
      <c r="L62" s="67"/>
      <c r="M62" s="67"/>
      <c r="N62" s="67"/>
    </row>
    <row r="63" hidden="1">
      <c r="A63" s="67"/>
      <c r="B63" s="84" t="s">
        <v>99</v>
      </c>
      <c r="C63" s="84" t="s">
        <v>141</v>
      </c>
      <c r="D63" s="84" t="s">
        <v>106</v>
      </c>
      <c r="E63" s="85" t="s">
        <v>107</v>
      </c>
      <c r="F63" s="85" t="s">
        <v>144</v>
      </c>
      <c r="G63" s="86">
        <v>3585.26</v>
      </c>
      <c r="H63" s="87">
        <v>45201.0</v>
      </c>
      <c r="I63" s="84" t="s">
        <v>109</v>
      </c>
      <c r="J63" s="84" t="s">
        <v>145</v>
      </c>
      <c r="K63" s="69" t="b">
        <v>1</v>
      </c>
      <c r="L63" s="67"/>
      <c r="M63" s="67"/>
      <c r="N63" s="67"/>
    </row>
    <row r="64" hidden="1">
      <c r="A64" s="67"/>
      <c r="B64" s="84" t="s">
        <v>99</v>
      </c>
      <c r="C64" s="84" t="s">
        <v>146</v>
      </c>
      <c r="D64" s="84" t="s">
        <v>106</v>
      </c>
      <c r="E64" s="85" t="s">
        <v>107</v>
      </c>
      <c r="F64" s="85" t="s">
        <v>144</v>
      </c>
      <c r="G64" s="86">
        <v>3585.26</v>
      </c>
      <c r="H64" s="87">
        <v>45201.0</v>
      </c>
      <c r="I64" s="84" t="s">
        <v>109</v>
      </c>
      <c r="J64" s="84" t="s">
        <v>145</v>
      </c>
      <c r="K64" s="69" t="b">
        <v>1</v>
      </c>
      <c r="L64" s="67"/>
      <c r="M64" s="67"/>
      <c r="N64" s="67"/>
    </row>
    <row r="65" hidden="1">
      <c r="A65" s="67"/>
      <c r="B65" s="84" t="s">
        <v>99</v>
      </c>
      <c r="C65" s="84" t="s">
        <v>133</v>
      </c>
      <c r="D65" s="84" t="s">
        <v>101</v>
      </c>
      <c r="E65" s="85" t="s">
        <v>102</v>
      </c>
      <c r="F65" s="85">
        <v>570.0</v>
      </c>
      <c r="G65" s="86">
        <v>23233.33</v>
      </c>
      <c r="H65" s="87">
        <v>45202.0</v>
      </c>
      <c r="I65" s="84" t="s">
        <v>103</v>
      </c>
      <c r="J65" s="84" t="s">
        <v>126</v>
      </c>
      <c r="K65" s="69" t="b">
        <v>1</v>
      </c>
      <c r="L65" s="67"/>
      <c r="M65" s="67"/>
      <c r="N65" s="67"/>
    </row>
    <row r="66" hidden="1">
      <c r="A66" s="67"/>
      <c r="B66" s="84" t="s">
        <v>99</v>
      </c>
      <c r="C66" s="84" t="s">
        <v>141</v>
      </c>
      <c r="D66" s="84" t="s">
        <v>101</v>
      </c>
      <c r="E66" s="85" t="s">
        <v>102</v>
      </c>
      <c r="F66" s="85">
        <v>570.0</v>
      </c>
      <c r="G66" s="86">
        <v>23233.33</v>
      </c>
      <c r="H66" s="87">
        <v>45202.0</v>
      </c>
      <c r="I66" s="84" t="s">
        <v>103</v>
      </c>
      <c r="J66" s="84" t="s">
        <v>126</v>
      </c>
      <c r="K66" s="69" t="b">
        <v>1</v>
      </c>
      <c r="L66" s="67"/>
      <c r="M66" s="67"/>
      <c r="N66" s="67"/>
    </row>
    <row r="67" hidden="1">
      <c r="A67" s="67"/>
      <c r="B67" s="84" t="s">
        <v>99</v>
      </c>
      <c r="C67" s="84" t="s">
        <v>146</v>
      </c>
      <c r="D67" s="84" t="s">
        <v>101</v>
      </c>
      <c r="E67" s="85" t="s">
        <v>102</v>
      </c>
      <c r="F67" s="85">
        <v>570.0</v>
      </c>
      <c r="G67" s="86">
        <v>23233.33</v>
      </c>
      <c r="H67" s="87">
        <v>45202.0</v>
      </c>
      <c r="I67" s="84" t="s">
        <v>103</v>
      </c>
      <c r="J67" s="84" t="s">
        <v>126</v>
      </c>
      <c r="K67" s="69" t="b">
        <v>1</v>
      </c>
      <c r="L67" s="67"/>
      <c r="M67" s="67"/>
      <c r="N67" s="67"/>
    </row>
    <row r="68" hidden="1">
      <c r="A68" s="67"/>
      <c r="B68" s="84" t="s">
        <v>99</v>
      </c>
      <c r="C68" s="84" t="s">
        <v>136</v>
      </c>
      <c r="D68" s="84" t="s">
        <v>137</v>
      </c>
      <c r="E68" s="85" t="s">
        <v>138</v>
      </c>
      <c r="F68" s="85">
        <v>1991.0</v>
      </c>
      <c r="G68" s="86">
        <v>13920.0</v>
      </c>
      <c r="H68" s="87">
        <v>45148.0</v>
      </c>
      <c r="I68" s="84" t="s">
        <v>139</v>
      </c>
      <c r="J68" s="84" t="s">
        <v>147</v>
      </c>
      <c r="K68" s="69" t="b">
        <v>1</v>
      </c>
      <c r="L68" s="67"/>
      <c r="M68" s="67"/>
      <c r="N68" s="67"/>
    </row>
    <row r="69" hidden="1">
      <c r="A69" s="67"/>
      <c r="B69" s="84" t="s">
        <v>99</v>
      </c>
      <c r="C69" s="84" t="s">
        <v>146</v>
      </c>
      <c r="D69" s="84" t="s">
        <v>106</v>
      </c>
      <c r="E69" s="85" t="s">
        <v>107</v>
      </c>
      <c r="F69" s="85" t="s">
        <v>148</v>
      </c>
      <c r="G69" s="86">
        <v>5684.14</v>
      </c>
      <c r="H69" s="87">
        <v>45232.0</v>
      </c>
      <c r="I69" s="84" t="s">
        <v>109</v>
      </c>
      <c r="J69" s="84" t="s">
        <v>149</v>
      </c>
      <c r="K69" s="69" t="b">
        <v>1</v>
      </c>
      <c r="L69" s="67"/>
      <c r="M69" s="67"/>
      <c r="N69" s="67"/>
    </row>
    <row r="70" hidden="1">
      <c r="A70" s="67"/>
      <c r="B70" s="84" t="s">
        <v>99</v>
      </c>
      <c r="C70" s="84" t="s">
        <v>150</v>
      </c>
      <c r="D70" s="84" t="s">
        <v>106</v>
      </c>
      <c r="E70" s="85" t="s">
        <v>107</v>
      </c>
      <c r="F70" s="85" t="s">
        <v>148</v>
      </c>
      <c r="G70" s="86">
        <v>5684.14</v>
      </c>
      <c r="H70" s="87">
        <v>45232.0</v>
      </c>
      <c r="I70" s="84" t="s">
        <v>109</v>
      </c>
      <c r="J70" s="84" t="s">
        <v>149</v>
      </c>
      <c r="K70" s="69" t="b">
        <v>1</v>
      </c>
      <c r="L70" s="67"/>
      <c r="M70" s="67"/>
      <c r="N70" s="67"/>
    </row>
    <row r="71" hidden="1">
      <c r="A71" s="67"/>
      <c r="B71" s="84" t="s">
        <v>99</v>
      </c>
      <c r="C71" s="84" t="s">
        <v>146</v>
      </c>
      <c r="D71" s="84" t="s">
        <v>101</v>
      </c>
      <c r="E71" s="85" t="s">
        <v>102</v>
      </c>
      <c r="F71" s="85">
        <v>608.0</v>
      </c>
      <c r="G71" s="86">
        <v>69700.0</v>
      </c>
      <c r="H71" s="87">
        <v>45237.0</v>
      </c>
      <c r="I71" s="84" t="s">
        <v>103</v>
      </c>
      <c r="J71" s="84" t="s">
        <v>132</v>
      </c>
      <c r="K71" s="69" t="b">
        <v>1</v>
      </c>
      <c r="L71" s="67"/>
      <c r="M71" s="67"/>
      <c r="N71" s="67"/>
    </row>
    <row r="72" hidden="1">
      <c r="A72" s="67"/>
      <c r="B72" s="84" t="s">
        <v>99</v>
      </c>
      <c r="C72" s="84" t="s">
        <v>136</v>
      </c>
      <c r="D72" s="84" t="s">
        <v>137</v>
      </c>
      <c r="E72" s="85" t="s">
        <v>138</v>
      </c>
      <c r="F72" s="85">
        <v>3054.0</v>
      </c>
      <c r="G72" s="86">
        <v>23400.0</v>
      </c>
      <c r="H72" s="87">
        <v>45244.0</v>
      </c>
      <c r="I72" s="84" t="s">
        <v>139</v>
      </c>
      <c r="J72" s="84" t="s">
        <v>151</v>
      </c>
      <c r="K72" s="69" t="b">
        <v>1</v>
      </c>
      <c r="L72" s="67"/>
      <c r="M72" s="67"/>
      <c r="N72" s="67"/>
    </row>
    <row r="73" hidden="1">
      <c r="A73" s="67"/>
      <c r="B73" s="84" t="s">
        <v>99</v>
      </c>
      <c r="C73" s="84" t="s">
        <v>146</v>
      </c>
      <c r="D73" s="84" t="s">
        <v>106</v>
      </c>
      <c r="E73" s="85" t="s">
        <v>107</v>
      </c>
      <c r="F73" s="85" t="s">
        <v>152</v>
      </c>
      <c r="G73" s="86">
        <v>5305.71</v>
      </c>
      <c r="H73" s="87">
        <v>45262.0</v>
      </c>
      <c r="I73" s="84" t="s">
        <v>109</v>
      </c>
      <c r="J73" s="84" t="s">
        <v>153</v>
      </c>
      <c r="K73" s="69" t="b">
        <v>1</v>
      </c>
      <c r="L73" s="67"/>
      <c r="M73" s="67"/>
      <c r="N73" s="67"/>
    </row>
    <row r="74" hidden="1">
      <c r="A74" s="67"/>
      <c r="B74" s="84" t="s">
        <v>99</v>
      </c>
      <c r="C74" s="84" t="s">
        <v>150</v>
      </c>
      <c r="D74" s="84" t="s">
        <v>106</v>
      </c>
      <c r="E74" s="85" t="s">
        <v>107</v>
      </c>
      <c r="F74" s="85" t="s">
        <v>152</v>
      </c>
      <c r="G74" s="86">
        <v>5305.71</v>
      </c>
      <c r="H74" s="87">
        <v>45262.0</v>
      </c>
      <c r="I74" s="84" t="s">
        <v>109</v>
      </c>
      <c r="J74" s="84" t="s">
        <v>153</v>
      </c>
      <c r="K74" s="69" t="b">
        <v>1</v>
      </c>
      <c r="L74" s="67"/>
      <c r="M74" s="67"/>
      <c r="N74" s="67"/>
    </row>
    <row r="75" hidden="1">
      <c r="A75" s="67"/>
      <c r="B75" s="84" t="s">
        <v>99</v>
      </c>
      <c r="C75" s="84" t="s">
        <v>136</v>
      </c>
      <c r="D75" s="84" t="s">
        <v>137</v>
      </c>
      <c r="E75" s="85" t="s">
        <v>138</v>
      </c>
      <c r="F75" s="85">
        <v>3108.0</v>
      </c>
      <c r="G75" s="86">
        <v>41040.0</v>
      </c>
      <c r="H75" s="87">
        <v>45244.0</v>
      </c>
      <c r="I75" s="84" t="s">
        <v>139</v>
      </c>
      <c r="J75" s="84" t="s">
        <v>154</v>
      </c>
      <c r="K75" s="69" t="b">
        <v>1</v>
      </c>
      <c r="L75" s="67"/>
      <c r="M75" s="67"/>
      <c r="N75" s="67"/>
    </row>
    <row r="76" hidden="1">
      <c r="A76" s="67"/>
      <c r="B76" s="84" t="s">
        <v>99</v>
      </c>
      <c r="C76" s="84" t="s">
        <v>146</v>
      </c>
      <c r="D76" s="84" t="s">
        <v>101</v>
      </c>
      <c r="E76" s="85" t="s">
        <v>102</v>
      </c>
      <c r="F76" s="85">
        <v>643.0</v>
      </c>
      <c r="G76" s="86">
        <v>34850.0</v>
      </c>
      <c r="H76" s="87">
        <v>45282.0</v>
      </c>
      <c r="I76" s="84" t="s">
        <v>103</v>
      </c>
      <c r="J76" s="84" t="s">
        <v>104</v>
      </c>
      <c r="K76" s="69" t="b">
        <v>1</v>
      </c>
      <c r="L76" s="67"/>
      <c r="M76" s="67"/>
      <c r="N76" s="67"/>
    </row>
    <row r="77" hidden="1">
      <c r="A77" s="67"/>
      <c r="B77" s="84" t="s">
        <v>99</v>
      </c>
      <c r="C77" s="84" t="s">
        <v>150</v>
      </c>
      <c r="D77" s="84" t="s">
        <v>101</v>
      </c>
      <c r="E77" s="85" t="s">
        <v>102</v>
      </c>
      <c r="F77" s="85">
        <v>643.0</v>
      </c>
      <c r="G77" s="86">
        <v>34850.0</v>
      </c>
      <c r="H77" s="87">
        <v>45282.0</v>
      </c>
      <c r="I77" s="84" t="s">
        <v>103</v>
      </c>
      <c r="J77" s="84" t="s">
        <v>104</v>
      </c>
      <c r="K77" s="69" t="b">
        <v>1</v>
      </c>
      <c r="L77" s="67"/>
      <c r="M77" s="67"/>
      <c r="N77" s="67"/>
    </row>
    <row r="78" hidden="1">
      <c r="A78" s="67"/>
      <c r="B78" s="84" t="s">
        <v>99</v>
      </c>
      <c r="C78" s="84" t="s">
        <v>146</v>
      </c>
      <c r="D78" s="84" t="s">
        <v>106</v>
      </c>
      <c r="E78" s="85" t="s">
        <v>107</v>
      </c>
      <c r="F78" s="85" t="s">
        <v>155</v>
      </c>
      <c r="G78" s="86">
        <v>5412.76</v>
      </c>
      <c r="H78" s="87">
        <v>44928.0</v>
      </c>
      <c r="I78" s="84" t="s">
        <v>109</v>
      </c>
      <c r="J78" s="84" t="s">
        <v>156</v>
      </c>
      <c r="K78" s="69" t="b">
        <v>1</v>
      </c>
      <c r="L78" s="67"/>
      <c r="M78" s="67"/>
      <c r="N78" s="67"/>
    </row>
    <row r="79" hidden="1">
      <c r="A79" s="67"/>
      <c r="B79" s="84" t="s">
        <v>99</v>
      </c>
      <c r="C79" s="84" t="s">
        <v>150</v>
      </c>
      <c r="D79" s="84" t="s">
        <v>106</v>
      </c>
      <c r="E79" s="85" t="s">
        <v>107</v>
      </c>
      <c r="F79" s="85" t="s">
        <v>155</v>
      </c>
      <c r="G79" s="86">
        <v>5412.76</v>
      </c>
      <c r="H79" s="87">
        <v>44928.0</v>
      </c>
      <c r="I79" s="84" t="s">
        <v>109</v>
      </c>
      <c r="J79" s="84" t="s">
        <v>156</v>
      </c>
      <c r="K79" s="69" t="b">
        <v>1</v>
      </c>
      <c r="L79" s="67"/>
      <c r="M79" s="67"/>
      <c r="N79" s="67"/>
    </row>
    <row r="80" hidden="1">
      <c r="A80" s="67"/>
      <c r="B80" s="84" t="s">
        <v>52</v>
      </c>
      <c r="C80" s="84"/>
      <c r="D80" s="84"/>
      <c r="E80" s="85"/>
      <c r="F80" s="85"/>
      <c r="G80" s="86"/>
      <c r="H80" s="87"/>
      <c r="I80" s="84"/>
      <c r="J80" s="84"/>
      <c r="K80" s="69" t="b">
        <v>1</v>
      </c>
      <c r="L80" s="67"/>
      <c r="M80" s="67"/>
      <c r="N80" s="67"/>
    </row>
    <row r="81">
      <c r="A81" s="67"/>
      <c r="B81" s="84" t="s">
        <v>53</v>
      </c>
      <c r="C81" s="84" t="s">
        <v>157</v>
      </c>
      <c r="D81" s="84" t="s">
        <v>158</v>
      </c>
      <c r="E81" s="85">
        <v>1.2715548000105E13</v>
      </c>
      <c r="F81" s="85" t="s">
        <v>159</v>
      </c>
      <c r="G81" s="86">
        <v>18197.26</v>
      </c>
      <c r="H81" s="87">
        <v>45117.0</v>
      </c>
      <c r="I81" s="84" t="s">
        <v>160</v>
      </c>
      <c r="J81" s="84" t="s">
        <v>161</v>
      </c>
      <c r="K81" s="69" t="b">
        <v>1</v>
      </c>
      <c r="L81" s="67"/>
      <c r="M81" s="67"/>
      <c r="N81" s="67"/>
    </row>
    <row r="82">
      <c r="A82" s="67"/>
      <c r="B82" s="84" t="s">
        <v>53</v>
      </c>
      <c r="C82" s="84" t="s">
        <v>162</v>
      </c>
      <c r="D82" s="84" t="s">
        <v>163</v>
      </c>
      <c r="E82" s="85" t="s">
        <v>164</v>
      </c>
      <c r="F82" s="85" t="s">
        <v>165</v>
      </c>
      <c r="G82" s="86">
        <v>4267.99</v>
      </c>
      <c r="H82" s="87">
        <v>44964.0</v>
      </c>
      <c r="I82" s="84" t="s">
        <v>166</v>
      </c>
      <c r="J82" s="84" t="s">
        <v>161</v>
      </c>
      <c r="K82" s="69" t="b">
        <v>1</v>
      </c>
      <c r="L82" s="67"/>
      <c r="M82" s="67"/>
      <c r="N82" s="67"/>
    </row>
    <row r="83">
      <c r="A83" s="67"/>
      <c r="B83" s="84" t="s">
        <v>53</v>
      </c>
      <c r="C83" s="84" t="s">
        <v>167</v>
      </c>
      <c r="D83" s="84" t="s">
        <v>158</v>
      </c>
      <c r="E83" s="85">
        <v>1.2715548000105E13</v>
      </c>
      <c r="F83" s="85" t="s">
        <v>168</v>
      </c>
      <c r="G83" s="86">
        <v>5998.03</v>
      </c>
      <c r="H83" s="87">
        <v>45206.0</v>
      </c>
      <c r="I83" s="84" t="s">
        <v>169</v>
      </c>
      <c r="J83" s="84" t="s">
        <v>161</v>
      </c>
      <c r="K83" s="69" t="b">
        <v>1</v>
      </c>
      <c r="L83" s="67"/>
      <c r="M83" s="67"/>
      <c r="N83" s="67"/>
    </row>
    <row r="84">
      <c r="A84" s="67"/>
      <c r="B84" s="84" t="s">
        <v>53</v>
      </c>
      <c r="C84" s="84" t="s">
        <v>167</v>
      </c>
      <c r="D84" s="84" t="s">
        <v>170</v>
      </c>
      <c r="E84" s="85">
        <v>7.17572500105E12</v>
      </c>
      <c r="F84" s="85" t="s">
        <v>171</v>
      </c>
      <c r="G84" s="86">
        <v>2494.67</v>
      </c>
      <c r="H84" s="87">
        <v>45203.0</v>
      </c>
      <c r="I84" s="84" t="s">
        <v>172</v>
      </c>
      <c r="J84" s="84" t="s">
        <v>161</v>
      </c>
      <c r="K84" s="69" t="b">
        <v>1</v>
      </c>
      <c r="L84" s="67"/>
      <c r="M84" s="67"/>
      <c r="N84" s="67"/>
    </row>
    <row r="85" hidden="1">
      <c r="A85" s="67"/>
      <c r="B85" s="84" t="s">
        <v>54</v>
      </c>
      <c r="C85" s="84" t="s">
        <v>173</v>
      </c>
      <c r="D85" s="84" t="s">
        <v>174</v>
      </c>
      <c r="E85" s="85">
        <v>7.389050000151E12</v>
      </c>
      <c r="F85" s="85"/>
      <c r="G85" s="86">
        <v>22629.05</v>
      </c>
      <c r="H85" s="87">
        <v>45141.0</v>
      </c>
      <c r="I85" s="84" t="s">
        <v>175</v>
      </c>
      <c r="J85" s="84" t="s">
        <v>176</v>
      </c>
      <c r="K85" s="69" t="b">
        <v>1</v>
      </c>
      <c r="L85" s="67"/>
      <c r="M85" s="67"/>
      <c r="N85" s="67"/>
    </row>
    <row r="86" hidden="1">
      <c r="A86" s="67"/>
      <c r="B86" s="84" t="s">
        <v>54</v>
      </c>
      <c r="C86" s="84" t="s">
        <v>173</v>
      </c>
      <c r="D86" s="84" t="s">
        <v>177</v>
      </c>
      <c r="E86" s="85">
        <v>1.0591960000127E13</v>
      </c>
      <c r="F86" s="85" t="s">
        <v>178</v>
      </c>
      <c r="G86" s="86">
        <v>29979.16</v>
      </c>
      <c r="H86" s="87">
        <v>45188.0</v>
      </c>
      <c r="I86" s="84" t="s">
        <v>179</v>
      </c>
      <c r="J86" s="84" t="s">
        <v>176</v>
      </c>
      <c r="K86" s="69" t="b">
        <v>1</v>
      </c>
      <c r="L86" s="67"/>
      <c r="M86" s="67"/>
      <c r="N86" s="67"/>
    </row>
    <row r="87" hidden="1">
      <c r="A87" s="67"/>
      <c r="B87" s="84" t="s">
        <v>54</v>
      </c>
      <c r="C87" s="84" t="s">
        <v>173</v>
      </c>
      <c r="D87" s="84" t="s">
        <v>180</v>
      </c>
      <c r="E87" s="85">
        <v>7.564023000178E12</v>
      </c>
      <c r="F87" s="85" t="s">
        <v>181</v>
      </c>
      <c r="G87" s="86">
        <v>6992.07</v>
      </c>
      <c r="H87" s="87">
        <v>45182.0</v>
      </c>
      <c r="I87" s="84" t="s">
        <v>182</v>
      </c>
      <c r="J87" s="84" t="s">
        <v>176</v>
      </c>
      <c r="K87" s="69" t="b">
        <v>1</v>
      </c>
      <c r="L87" s="67"/>
      <c r="M87" s="67"/>
      <c r="N87" s="67"/>
    </row>
    <row r="88" hidden="1">
      <c r="A88" s="67"/>
      <c r="B88" s="84" t="s">
        <v>54</v>
      </c>
      <c r="C88" s="84" t="s">
        <v>173</v>
      </c>
      <c r="D88" s="84" t="s">
        <v>174</v>
      </c>
      <c r="E88" s="85">
        <v>7.389050000151E12</v>
      </c>
      <c r="F88" s="85"/>
      <c r="G88" s="86">
        <v>12688.67</v>
      </c>
      <c r="H88" s="87">
        <v>45182.0</v>
      </c>
      <c r="I88" s="84" t="s">
        <v>183</v>
      </c>
      <c r="J88" s="84" t="s">
        <v>176</v>
      </c>
      <c r="K88" s="69" t="b">
        <v>1</v>
      </c>
      <c r="L88" s="67"/>
      <c r="M88" s="67"/>
      <c r="N88" s="67"/>
    </row>
    <row r="89" hidden="1">
      <c r="A89" s="67"/>
      <c r="B89" s="84" t="s">
        <v>54</v>
      </c>
      <c r="C89" s="84" t="s">
        <v>184</v>
      </c>
      <c r="D89" s="84" t="s">
        <v>185</v>
      </c>
      <c r="E89" s="85">
        <v>1.1368303000188E13</v>
      </c>
      <c r="F89" s="85" t="s">
        <v>186</v>
      </c>
      <c r="G89" s="86">
        <v>28209.9</v>
      </c>
      <c r="H89" s="87">
        <v>45149.0</v>
      </c>
      <c r="I89" s="84" t="s">
        <v>187</v>
      </c>
      <c r="J89" s="84" t="s">
        <v>188</v>
      </c>
      <c r="K89" s="69" t="b">
        <v>1</v>
      </c>
      <c r="L89" s="67"/>
      <c r="M89" s="67"/>
      <c r="N89" s="67"/>
    </row>
    <row r="90" hidden="1">
      <c r="A90" s="67"/>
      <c r="B90" s="84" t="s">
        <v>54</v>
      </c>
      <c r="C90" s="84" t="s">
        <v>184</v>
      </c>
      <c r="D90" s="84" t="s">
        <v>189</v>
      </c>
      <c r="E90" s="85">
        <v>2.2311610035E10</v>
      </c>
      <c r="F90" s="85" t="s">
        <v>190</v>
      </c>
      <c r="G90" s="86">
        <v>3564.89</v>
      </c>
      <c r="H90" s="87">
        <v>45169.0</v>
      </c>
      <c r="I90" s="84" t="s">
        <v>191</v>
      </c>
      <c r="J90" s="84" t="s">
        <v>192</v>
      </c>
      <c r="K90" s="69" t="b">
        <v>1</v>
      </c>
      <c r="L90" s="67"/>
      <c r="M90" s="67"/>
      <c r="N90" s="67"/>
    </row>
    <row r="91" hidden="1">
      <c r="A91" s="67"/>
      <c r="B91" s="84" t="s">
        <v>54</v>
      </c>
      <c r="C91" s="84" t="s">
        <v>184</v>
      </c>
      <c r="D91" s="84" t="s">
        <v>174</v>
      </c>
      <c r="E91" s="85">
        <v>7.389050000151E12</v>
      </c>
      <c r="F91" s="85"/>
      <c r="G91" s="86">
        <v>9544.0</v>
      </c>
      <c r="H91" s="87">
        <v>45223.0</v>
      </c>
      <c r="I91" s="84" t="s">
        <v>193</v>
      </c>
      <c r="J91" s="84" t="s">
        <v>194</v>
      </c>
      <c r="K91" s="69" t="b">
        <v>1</v>
      </c>
      <c r="L91" s="67"/>
      <c r="M91" s="67"/>
      <c r="N91" s="67"/>
    </row>
    <row r="92" hidden="1">
      <c r="A92" s="67"/>
      <c r="B92" s="84" t="s">
        <v>54</v>
      </c>
      <c r="C92" s="84" t="s">
        <v>184</v>
      </c>
      <c r="D92" s="84" t="s">
        <v>195</v>
      </c>
      <c r="E92" s="85">
        <v>8.4685106000166E13</v>
      </c>
      <c r="F92" s="85" t="s">
        <v>196</v>
      </c>
      <c r="G92" s="86">
        <v>8744.8</v>
      </c>
      <c r="H92" s="87">
        <v>45260.0</v>
      </c>
      <c r="I92" s="84" t="s">
        <v>197</v>
      </c>
      <c r="J92" s="84" t="s">
        <v>198</v>
      </c>
      <c r="K92" s="69" t="b">
        <v>1</v>
      </c>
      <c r="L92" s="67"/>
      <c r="M92" s="67"/>
      <c r="N92" s="67"/>
    </row>
    <row r="93">
      <c r="A93" s="67"/>
      <c r="B93" s="84"/>
      <c r="C93" s="84"/>
      <c r="D93" s="84"/>
      <c r="E93" s="85"/>
      <c r="F93" s="85"/>
      <c r="G93" s="86"/>
      <c r="H93" s="87"/>
      <c r="I93" s="84"/>
      <c r="J93" s="84"/>
      <c r="K93" s="69"/>
      <c r="L93" s="67"/>
      <c r="M93" s="67"/>
      <c r="N93" s="67"/>
    </row>
    <row r="94">
      <c r="A94" s="67"/>
      <c r="B94" s="84"/>
      <c r="C94" s="84"/>
      <c r="D94" s="84"/>
      <c r="E94" s="85"/>
      <c r="F94" s="85"/>
      <c r="G94" s="86"/>
      <c r="H94" s="87"/>
      <c r="I94" s="84"/>
      <c r="J94" s="84"/>
      <c r="K94" s="69"/>
      <c r="L94" s="67"/>
      <c r="M94" s="67"/>
      <c r="N94" s="67"/>
    </row>
    <row r="95">
      <c r="A95" s="67"/>
      <c r="B95" s="84"/>
      <c r="C95" s="84"/>
      <c r="D95" s="84"/>
      <c r="E95" s="85"/>
      <c r="F95" s="85"/>
      <c r="G95" s="86"/>
      <c r="H95" s="87"/>
      <c r="I95" s="84"/>
      <c r="J95" s="84"/>
      <c r="K95" s="69"/>
      <c r="L95" s="67"/>
      <c r="M95" s="67"/>
      <c r="N95" s="67"/>
    </row>
    <row r="96">
      <c r="A96" s="67"/>
      <c r="B96" s="84"/>
      <c r="C96" s="84"/>
      <c r="D96" s="84"/>
      <c r="E96" s="85"/>
      <c r="F96" s="85"/>
      <c r="G96" s="86"/>
      <c r="H96" s="87"/>
      <c r="I96" s="84"/>
      <c r="J96" s="84"/>
      <c r="K96" s="69"/>
      <c r="L96" s="67"/>
      <c r="M96" s="67"/>
      <c r="N96" s="67"/>
    </row>
    <row r="97">
      <c r="A97" s="67"/>
      <c r="B97" s="84"/>
      <c r="C97" s="84"/>
      <c r="D97" s="84"/>
      <c r="E97" s="85"/>
      <c r="F97" s="85"/>
      <c r="G97" s="86"/>
      <c r="H97" s="87"/>
      <c r="I97" s="84"/>
      <c r="J97" s="84"/>
      <c r="K97" s="69"/>
      <c r="L97" s="67"/>
      <c r="M97" s="67"/>
      <c r="N97" s="67"/>
    </row>
    <row r="98">
      <c r="A98" s="67"/>
      <c r="B98" s="84"/>
      <c r="C98" s="84"/>
      <c r="D98" s="84"/>
      <c r="E98" s="85"/>
      <c r="F98" s="85"/>
      <c r="G98" s="86"/>
      <c r="H98" s="87"/>
      <c r="I98" s="84"/>
      <c r="J98" s="84"/>
      <c r="K98" s="69"/>
      <c r="L98" s="67"/>
      <c r="M98" s="67"/>
      <c r="N98" s="67"/>
    </row>
    <row r="99">
      <c r="A99" s="67"/>
      <c r="B99" s="84"/>
      <c r="C99" s="84"/>
      <c r="D99" s="84"/>
      <c r="E99" s="85"/>
      <c r="F99" s="85"/>
      <c r="G99" s="86"/>
      <c r="H99" s="87"/>
      <c r="I99" s="84"/>
      <c r="J99" s="84"/>
      <c r="K99" s="69"/>
      <c r="L99" s="67"/>
      <c r="M99" s="67"/>
      <c r="N99" s="67"/>
    </row>
    <row r="100">
      <c r="A100" s="67"/>
      <c r="B100" s="84"/>
      <c r="C100" s="84"/>
      <c r="D100" s="84"/>
      <c r="E100" s="85"/>
      <c r="F100" s="85"/>
      <c r="G100" s="86"/>
      <c r="H100" s="87"/>
      <c r="I100" s="84"/>
      <c r="J100" s="84"/>
      <c r="K100" s="69"/>
      <c r="L100" s="67"/>
      <c r="M100" s="67"/>
      <c r="N100" s="67"/>
    </row>
    <row r="101">
      <c r="A101" s="67"/>
      <c r="B101" s="84"/>
      <c r="C101" s="84"/>
      <c r="D101" s="84"/>
      <c r="E101" s="85"/>
      <c r="F101" s="85"/>
      <c r="G101" s="86"/>
      <c r="H101" s="87"/>
      <c r="I101" s="84"/>
      <c r="J101" s="84"/>
      <c r="K101" s="69"/>
      <c r="L101" s="67"/>
      <c r="M101" s="67"/>
      <c r="N101" s="67"/>
    </row>
    <row r="102">
      <c r="A102" s="67"/>
      <c r="B102" s="84"/>
      <c r="C102" s="84"/>
      <c r="D102" s="84"/>
      <c r="E102" s="85"/>
      <c r="F102" s="85"/>
      <c r="G102" s="86"/>
      <c r="H102" s="87"/>
      <c r="I102" s="84"/>
      <c r="J102" s="84"/>
      <c r="K102" s="69"/>
      <c r="L102" s="67"/>
      <c r="M102" s="67"/>
      <c r="N102" s="67"/>
    </row>
    <row r="103">
      <c r="A103" s="67"/>
      <c r="B103" s="84"/>
      <c r="C103" s="84"/>
      <c r="D103" s="84"/>
      <c r="E103" s="85"/>
      <c r="F103" s="85"/>
      <c r="G103" s="86"/>
      <c r="H103" s="87"/>
      <c r="I103" s="84"/>
      <c r="J103" s="84"/>
      <c r="K103" s="69"/>
      <c r="L103" s="67"/>
      <c r="M103" s="67"/>
      <c r="N103" s="67"/>
    </row>
    <row r="104">
      <c r="A104" s="67"/>
      <c r="B104" s="84"/>
      <c r="C104" s="84"/>
      <c r="D104" s="84"/>
      <c r="E104" s="85"/>
      <c r="F104" s="85"/>
      <c r="G104" s="86"/>
      <c r="H104" s="87"/>
      <c r="I104" s="84"/>
      <c r="J104" s="84"/>
      <c r="K104" s="69"/>
      <c r="L104" s="67"/>
      <c r="M104" s="67"/>
      <c r="N104" s="67"/>
    </row>
    <row r="105">
      <c r="A105" s="67"/>
      <c r="B105" s="84"/>
      <c r="C105" s="84"/>
      <c r="D105" s="84"/>
      <c r="E105" s="85"/>
      <c r="F105" s="85"/>
      <c r="G105" s="86"/>
      <c r="H105" s="87"/>
      <c r="I105" s="84"/>
      <c r="J105" s="84"/>
      <c r="K105" s="69"/>
      <c r="L105" s="67"/>
      <c r="M105" s="67"/>
      <c r="N105" s="67"/>
    </row>
    <row r="106">
      <c r="A106" s="67"/>
      <c r="B106" s="84"/>
      <c r="C106" s="84"/>
      <c r="D106" s="84"/>
      <c r="E106" s="85"/>
      <c r="F106" s="85"/>
      <c r="G106" s="86"/>
      <c r="H106" s="87"/>
      <c r="I106" s="84"/>
      <c r="J106" s="84"/>
      <c r="K106" s="69"/>
      <c r="L106" s="67"/>
      <c r="M106" s="67"/>
      <c r="N106" s="67"/>
    </row>
    <row r="107">
      <c r="A107" s="67"/>
      <c r="B107" s="84"/>
      <c r="C107" s="84"/>
      <c r="D107" s="84"/>
      <c r="E107" s="85"/>
      <c r="F107" s="85"/>
      <c r="G107" s="86"/>
      <c r="H107" s="87"/>
      <c r="I107" s="84"/>
      <c r="J107" s="84"/>
      <c r="K107" s="69"/>
      <c r="L107" s="67"/>
      <c r="M107" s="67"/>
      <c r="N107" s="67"/>
    </row>
    <row r="108">
      <c r="A108" s="67"/>
      <c r="B108" s="84"/>
      <c r="C108" s="84"/>
      <c r="D108" s="84"/>
      <c r="E108" s="85"/>
      <c r="F108" s="85"/>
      <c r="G108" s="86"/>
      <c r="H108" s="87"/>
      <c r="I108" s="84"/>
      <c r="J108" s="84"/>
      <c r="K108" s="69"/>
      <c r="L108" s="67"/>
      <c r="M108" s="67"/>
      <c r="N108" s="67"/>
    </row>
    <row r="109">
      <c r="A109" s="67"/>
      <c r="B109" s="84"/>
      <c r="C109" s="84"/>
      <c r="D109" s="84"/>
      <c r="E109" s="85"/>
      <c r="F109" s="85"/>
      <c r="G109" s="86"/>
      <c r="H109" s="87"/>
      <c r="I109" s="84"/>
      <c r="J109" s="84"/>
      <c r="K109" s="69"/>
      <c r="L109" s="67"/>
      <c r="M109" s="67"/>
      <c r="N109" s="67"/>
    </row>
    <row r="110">
      <c r="A110" s="67"/>
      <c r="B110" s="84"/>
      <c r="C110" s="84"/>
      <c r="D110" s="84"/>
      <c r="E110" s="85"/>
      <c r="F110" s="85"/>
      <c r="G110" s="86"/>
      <c r="H110" s="87"/>
      <c r="I110" s="84"/>
      <c r="J110" s="84"/>
      <c r="K110" s="69"/>
      <c r="L110" s="67"/>
      <c r="M110" s="67"/>
      <c r="N110" s="67"/>
    </row>
    <row r="111">
      <c r="A111" s="67"/>
      <c r="B111" s="84"/>
      <c r="C111" s="84"/>
      <c r="D111" s="84"/>
      <c r="E111" s="85"/>
      <c r="F111" s="85"/>
      <c r="G111" s="86"/>
      <c r="H111" s="87"/>
      <c r="I111" s="84"/>
      <c r="J111" s="84"/>
      <c r="K111" s="69"/>
      <c r="L111" s="67"/>
      <c r="M111" s="67"/>
      <c r="N111" s="67"/>
    </row>
    <row r="112">
      <c r="A112" s="67"/>
      <c r="B112" s="84"/>
      <c r="C112" s="84"/>
      <c r="D112" s="84"/>
      <c r="E112" s="85"/>
      <c r="F112" s="85"/>
      <c r="G112" s="86"/>
      <c r="H112" s="87"/>
      <c r="I112" s="84"/>
      <c r="J112" s="84"/>
      <c r="K112" s="69"/>
      <c r="L112" s="67"/>
      <c r="M112" s="67"/>
      <c r="N112" s="67"/>
    </row>
    <row r="113">
      <c r="A113" s="67"/>
      <c r="B113" s="84"/>
      <c r="C113" s="84"/>
      <c r="D113" s="84"/>
      <c r="E113" s="85"/>
      <c r="F113" s="85"/>
      <c r="G113" s="86"/>
      <c r="H113" s="87"/>
      <c r="I113" s="84"/>
      <c r="J113" s="84"/>
      <c r="K113" s="69"/>
      <c r="L113" s="67"/>
      <c r="M113" s="67"/>
      <c r="N113" s="67"/>
    </row>
    <row r="114">
      <c r="A114" s="67"/>
      <c r="B114" s="84"/>
      <c r="C114" s="84"/>
      <c r="D114" s="84"/>
      <c r="E114" s="85"/>
      <c r="F114" s="85"/>
      <c r="G114" s="86"/>
      <c r="H114" s="87"/>
      <c r="I114" s="84"/>
      <c r="J114" s="84"/>
      <c r="K114" s="69"/>
      <c r="L114" s="67"/>
      <c r="M114" s="67"/>
      <c r="N114" s="67"/>
    </row>
    <row r="115">
      <c r="A115" s="67"/>
      <c r="B115" s="84"/>
      <c r="C115" s="84"/>
      <c r="D115" s="84"/>
      <c r="E115" s="85"/>
      <c r="F115" s="85"/>
      <c r="G115" s="86"/>
      <c r="H115" s="87"/>
      <c r="I115" s="84"/>
      <c r="J115" s="84"/>
      <c r="K115" s="69"/>
      <c r="L115" s="67"/>
      <c r="M115" s="67"/>
      <c r="N115" s="67"/>
    </row>
    <row r="116">
      <c r="A116" s="67"/>
      <c r="B116" s="84"/>
      <c r="C116" s="84"/>
      <c r="D116" s="84"/>
      <c r="E116" s="85"/>
      <c r="F116" s="85"/>
      <c r="G116" s="86"/>
      <c r="H116" s="87"/>
      <c r="I116" s="84"/>
      <c r="J116" s="84"/>
      <c r="K116" s="69"/>
      <c r="L116" s="67"/>
      <c r="M116" s="67"/>
      <c r="N116" s="67"/>
    </row>
    <row r="117">
      <c r="A117" s="67"/>
      <c r="B117" s="84"/>
      <c r="C117" s="84"/>
      <c r="D117" s="84"/>
      <c r="E117" s="85"/>
      <c r="F117" s="85"/>
      <c r="G117" s="86"/>
      <c r="H117" s="87"/>
      <c r="I117" s="84"/>
      <c r="J117" s="84"/>
      <c r="K117" s="69"/>
      <c r="L117" s="67"/>
      <c r="M117" s="67"/>
      <c r="N117" s="67"/>
    </row>
    <row r="118">
      <c r="A118" s="67"/>
      <c r="B118" s="84"/>
      <c r="C118" s="84"/>
      <c r="D118" s="84"/>
      <c r="E118" s="85"/>
      <c r="F118" s="85"/>
      <c r="G118" s="86"/>
      <c r="H118" s="87"/>
      <c r="I118" s="84"/>
      <c r="J118" s="84"/>
      <c r="K118" s="69"/>
      <c r="L118" s="67"/>
      <c r="M118" s="67"/>
      <c r="N118" s="67"/>
    </row>
    <row r="119">
      <c r="A119" s="67"/>
      <c r="B119" s="84"/>
      <c r="C119" s="84"/>
      <c r="D119" s="84"/>
      <c r="E119" s="85"/>
      <c r="F119" s="85"/>
      <c r="G119" s="86"/>
      <c r="H119" s="87"/>
      <c r="I119" s="84"/>
      <c r="J119" s="84"/>
      <c r="K119" s="69"/>
      <c r="L119" s="67"/>
      <c r="M119" s="67"/>
      <c r="N119" s="67"/>
    </row>
    <row r="120">
      <c r="A120" s="67"/>
      <c r="B120" s="84"/>
      <c r="C120" s="84"/>
      <c r="D120" s="84"/>
      <c r="E120" s="85"/>
      <c r="F120" s="85"/>
      <c r="G120" s="86"/>
      <c r="H120" s="87"/>
      <c r="I120" s="84"/>
      <c r="J120" s="84"/>
      <c r="K120" s="69"/>
      <c r="L120" s="67"/>
      <c r="M120" s="67"/>
      <c r="N120" s="67"/>
    </row>
    <row r="121">
      <c r="A121" s="67"/>
      <c r="B121" s="84"/>
      <c r="C121" s="84"/>
      <c r="D121" s="84"/>
      <c r="E121" s="85"/>
      <c r="F121" s="85"/>
      <c r="G121" s="86"/>
      <c r="H121" s="87"/>
      <c r="I121" s="84"/>
      <c r="J121" s="84"/>
      <c r="K121" s="69"/>
      <c r="L121" s="67"/>
      <c r="M121" s="67"/>
      <c r="N121" s="67"/>
    </row>
    <row r="122">
      <c r="A122" s="67"/>
      <c r="B122" s="84"/>
      <c r="C122" s="84"/>
      <c r="D122" s="84"/>
      <c r="E122" s="85"/>
      <c r="F122" s="85"/>
      <c r="G122" s="86"/>
      <c r="H122" s="87"/>
      <c r="I122" s="84"/>
      <c r="J122" s="84"/>
      <c r="K122" s="69"/>
      <c r="L122" s="67"/>
      <c r="M122" s="67"/>
      <c r="N122" s="67"/>
    </row>
    <row r="123">
      <c r="A123" s="67"/>
      <c r="B123" s="84"/>
      <c r="C123" s="84"/>
      <c r="D123" s="84"/>
      <c r="E123" s="85"/>
      <c r="F123" s="85"/>
      <c r="G123" s="86"/>
      <c r="H123" s="87"/>
      <c r="I123" s="84"/>
      <c r="J123" s="84"/>
      <c r="K123" s="69"/>
      <c r="L123" s="67"/>
      <c r="M123" s="67"/>
      <c r="N123" s="67"/>
    </row>
    <row r="124">
      <c r="A124" s="67"/>
      <c r="B124" s="84"/>
      <c r="C124" s="84"/>
      <c r="D124" s="84"/>
      <c r="E124" s="85"/>
      <c r="F124" s="85"/>
      <c r="G124" s="86"/>
      <c r="H124" s="87"/>
      <c r="I124" s="84"/>
      <c r="J124" s="84"/>
      <c r="K124" s="69"/>
      <c r="L124" s="67"/>
      <c r="M124" s="67"/>
      <c r="N124" s="67"/>
    </row>
    <row r="125">
      <c r="A125" s="67"/>
      <c r="B125" s="84"/>
      <c r="C125" s="84"/>
      <c r="D125" s="84"/>
      <c r="E125" s="85"/>
      <c r="F125" s="85"/>
      <c r="G125" s="86"/>
      <c r="H125" s="87"/>
      <c r="I125" s="84"/>
      <c r="J125" s="84"/>
      <c r="K125" s="69"/>
      <c r="L125" s="67"/>
      <c r="M125" s="67"/>
      <c r="N125" s="67"/>
    </row>
    <row r="126">
      <c r="A126" s="67"/>
      <c r="B126" s="84"/>
      <c r="C126" s="84"/>
      <c r="D126" s="84"/>
      <c r="E126" s="85"/>
      <c r="F126" s="85"/>
      <c r="G126" s="86"/>
      <c r="H126" s="87"/>
      <c r="I126" s="84"/>
      <c r="J126" s="84"/>
      <c r="K126" s="69"/>
      <c r="L126" s="67"/>
      <c r="M126" s="67"/>
      <c r="N126" s="67"/>
    </row>
    <row r="127">
      <c r="A127" s="67"/>
      <c r="B127" s="84"/>
      <c r="C127" s="84"/>
      <c r="D127" s="84"/>
      <c r="E127" s="85"/>
      <c r="F127" s="85"/>
      <c r="G127" s="86"/>
      <c r="H127" s="87"/>
      <c r="I127" s="84"/>
      <c r="J127" s="84"/>
      <c r="K127" s="69"/>
      <c r="L127" s="67"/>
      <c r="M127" s="67"/>
      <c r="N127" s="67"/>
    </row>
    <row r="128">
      <c r="A128" s="67"/>
      <c r="B128" s="84"/>
      <c r="C128" s="84"/>
      <c r="D128" s="84"/>
      <c r="E128" s="85"/>
      <c r="F128" s="85"/>
      <c r="G128" s="86"/>
      <c r="H128" s="87"/>
      <c r="I128" s="84"/>
      <c r="J128" s="84"/>
      <c r="K128" s="69"/>
      <c r="L128" s="67"/>
      <c r="M128" s="67"/>
      <c r="N128" s="67"/>
    </row>
    <row r="129">
      <c r="A129" s="67"/>
      <c r="B129" s="84"/>
      <c r="C129" s="84"/>
      <c r="D129" s="84"/>
      <c r="E129" s="85"/>
      <c r="F129" s="85"/>
      <c r="G129" s="86"/>
      <c r="H129" s="87"/>
      <c r="I129" s="84"/>
      <c r="J129" s="84"/>
      <c r="K129" s="69"/>
      <c r="L129" s="67"/>
      <c r="M129" s="67"/>
      <c r="N129" s="67"/>
    </row>
    <row r="130">
      <c r="A130" s="67"/>
      <c r="B130" s="84"/>
      <c r="C130" s="84"/>
      <c r="D130" s="84"/>
      <c r="E130" s="85"/>
      <c r="F130" s="85"/>
      <c r="G130" s="86"/>
      <c r="H130" s="87"/>
      <c r="I130" s="84"/>
      <c r="J130" s="84"/>
      <c r="K130" s="69"/>
      <c r="L130" s="67"/>
      <c r="M130" s="67"/>
      <c r="N130" s="67"/>
    </row>
    <row r="131">
      <c r="A131" s="67"/>
      <c r="B131" s="84"/>
      <c r="C131" s="84"/>
      <c r="D131" s="84"/>
      <c r="E131" s="85"/>
      <c r="F131" s="85"/>
      <c r="G131" s="86"/>
      <c r="H131" s="87"/>
      <c r="I131" s="84"/>
      <c r="J131" s="84"/>
      <c r="K131" s="69"/>
      <c r="L131" s="67"/>
      <c r="M131" s="67"/>
      <c r="N131" s="67"/>
    </row>
    <row r="132">
      <c r="A132" s="67"/>
      <c r="B132" s="84"/>
      <c r="C132" s="84"/>
      <c r="D132" s="84"/>
      <c r="E132" s="85"/>
      <c r="F132" s="85"/>
      <c r="G132" s="86"/>
      <c r="H132" s="87"/>
      <c r="I132" s="84"/>
      <c r="J132" s="84"/>
      <c r="K132" s="69"/>
      <c r="L132" s="67"/>
      <c r="M132" s="67"/>
      <c r="N132" s="67"/>
    </row>
    <row r="133">
      <c r="A133" s="67"/>
      <c r="B133" s="84"/>
      <c r="C133" s="84"/>
      <c r="D133" s="84"/>
      <c r="E133" s="85"/>
      <c r="F133" s="85"/>
      <c r="G133" s="86"/>
      <c r="H133" s="87"/>
      <c r="I133" s="84"/>
      <c r="J133" s="84"/>
      <c r="K133" s="69"/>
      <c r="L133" s="67"/>
      <c r="M133" s="67"/>
      <c r="N133" s="67"/>
    </row>
    <row r="134">
      <c r="A134" s="67"/>
      <c r="B134" s="84"/>
      <c r="C134" s="84"/>
      <c r="D134" s="84"/>
      <c r="E134" s="85"/>
      <c r="F134" s="85"/>
      <c r="G134" s="86"/>
      <c r="H134" s="87"/>
      <c r="I134" s="84"/>
      <c r="J134" s="84"/>
      <c r="K134" s="69"/>
      <c r="L134" s="67"/>
      <c r="M134" s="67"/>
      <c r="N134" s="67"/>
    </row>
    <row r="135">
      <c r="A135" s="67"/>
      <c r="B135" s="84"/>
      <c r="C135" s="84"/>
      <c r="D135" s="84"/>
      <c r="E135" s="85"/>
      <c r="F135" s="85"/>
      <c r="G135" s="86"/>
      <c r="H135" s="87"/>
      <c r="I135" s="84"/>
      <c r="J135" s="84"/>
      <c r="K135" s="69"/>
      <c r="L135" s="67"/>
      <c r="M135" s="67"/>
      <c r="N135" s="67"/>
    </row>
    <row r="136">
      <c r="A136" s="67"/>
      <c r="B136" s="84"/>
      <c r="C136" s="84"/>
      <c r="D136" s="84"/>
      <c r="E136" s="85"/>
      <c r="F136" s="85"/>
      <c r="G136" s="86"/>
      <c r="H136" s="87"/>
      <c r="I136" s="84"/>
      <c r="J136" s="84"/>
      <c r="K136" s="69"/>
      <c r="L136" s="67"/>
      <c r="M136" s="67"/>
      <c r="N136" s="67"/>
    </row>
    <row r="137">
      <c r="A137" s="67"/>
      <c r="B137" s="84"/>
      <c r="C137" s="84"/>
      <c r="D137" s="84"/>
      <c r="E137" s="85"/>
      <c r="F137" s="85"/>
      <c r="G137" s="86"/>
      <c r="H137" s="87"/>
      <c r="I137" s="84"/>
      <c r="J137" s="84"/>
      <c r="K137" s="69"/>
      <c r="L137" s="67"/>
      <c r="M137" s="67"/>
      <c r="N137" s="67"/>
    </row>
    <row r="138">
      <c r="A138" s="67"/>
      <c r="B138" s="84"/>
      <c r="C138" s="84"/>
      <c r="D138" s="84"/>
      <c r="E138" s="85"/>
      <c r="F138" s="85"/>
      <c r="G138" s="86"/>
      <c r="H138" s="87"/>
      <c r="I138" s="84"/>
      <c r="J138" s="84"/>
      <c r="K138" s="69"/>
      <c r="L138" s="67"/>
      <c r="M138" s="67"/>
      <c r="N138" s="67"/>
    </row>
    <row r="139">
      <c r="A139" s="67"/>
      <c r="B139" s="84"/>
      <c r="C139" s="84"/>
      <c r="D139" s="84"/>
      <c r="E139" s="85"/>
      <c r="F139" s="85"/>
      <c r="G139" s="86"/>
      <c r="H139" s="87"/>
      <c r="I139" s="84"/>
      <c r="J139" s="84"/>
      <c r="K139" s="69"/>
      <c r="L139" s="67"/>
      <c r="M139" s="67"/>
      <c r="N139" s="67"/>
    </row>
    <row r="140">
      <c r="A140" s="67"/>
      <c r="B140" s="84"/>
      <c r="C140" s="84"/>
      <c r="D140" s="84"/>
      <c r="E140" s="85"/>
      <c r="F140" s="85"/>
      <c r="G140" s="86"/>
      <c r="H140" s="87"/>
      <c r="I140" s="84"/>
      <c r="J140" s="84"/>
      <c r="K140" s="69"/>
      <c r="L140" s="67"/>
      <c r="M140" s="67"/>
      <c r="N140" s="67"/>
    </row>
    <row r="141">
      <c r="A141" s="67"/>
      <c r="B141" s="84"/>
      <c r="C141" s="84"/>
      <c r="D141" s="84"/>
      <c r="E141" s="85"/>
      <c r="F141" s="85"/>
      <c r="G141" s="86"/>
      <c r="H141" s="87"/>
      <c r="I141" s="84"/>
      <c r="J141" s="84"/>
      <c r="K141" s="69"/>
      <c r="L141" s="67"/>
      <c r="M141" s="67"/>
      <c r="N141" s="67"/>
    </row>
    <row r="142">
      <c r="A142" s="67"/>
      <c r="B142" s="84"/>
      <c r="C142" s="84"/>
      <c r="D142" s="84"/>
      <c r="E142" s="85"/>
      <c r="F142" s="85"/>
      <c r="G142" s="86"/>
      <c r="H142" s="87"/>
      <c r="I142" s="84"/>
      <c r="J142" s="84"/>
      <c r="K142" s="69"/>
      <c r="L142" s="67"/>
      <c r="M142" s="67"/>
      <c r="N142" s="67"/>
    </row>
    <row r="143">
      <c r="A143" s="67"/>
      <c r="B143" s="84"/>
      <c r="C143" s="84"/>
      <c r="D143" s="84"/>
      <c r="E143" s="85"/>
      <c r="F143" s="85"/>
      <c r="G143" s="86"/>
      <c r="H143" s="87"/>
      <c r="I143" s="84"/>
      <c r="J143" s="84"/>
      <c r="K143" s="69"/>
      <c r="L143" s="67"/>
      <c r="M143" s="67"/>
      <c r="N143" s="67"/>
    </row>
    <row r="144">
      <c r="A144" s="67"/>
      <c r="B144" s="84"/>
      <c r="C144" s="84"/>
      <c r="D144" s="84"/>
      <c r="E144" s="85"/>
      <c r="F144" s="85"/>
      <c r="G144" s="86"/>
      <c r="H144" s="87"/>
      <c r="I144" s="84"/>
      <c r="J144" s="84"/>
      <c r="K144" s="69"/>
      <c r="L144" s="67"/>
      <c r="M144" s="67"/>
      <c r="N144" s="67"/>
    </row>
    <row r="145">
      <c r="A145" s="67"/>
      <c r="B145" s="84"/>
      <c r="C145" s="84"/>
      <c r="D145" s="84"/>
      <c r="E145" s="85"/>
      <c r="F145" s="85"/>
      <c r="G145" s="86"/>
      <c r="H145" s="87"/>
      <c r="I145" s="84"/>
      <c r="J145" s="84"/>
      <c r="K145" s="69"/>
      <c r="L145" s="67"/>
      <c r="M145" s="67"/>
      <c r="N145" s="67"/>
    </row>
    <row r="146">
      <c r="A146" s="67"/>
      <c r="B146" s="84"/>
      <c r="C146" s="84"/>
      <c r="D146" s="84"/>
      <c r="E146" s="85"/>
      <c r="F146" s="85"/>
      <c r="G146" s="86"/>
      <c r="H146" s="87"/>
      <c r="I146" s="84"/>
      <c r="J146" s="84"/>
      <c r="K146" s="69"/>
      <c r="L146" s="67"/>
      <c r="M146" s="67"/>
      <c r="N146" s="67"/>
    </row>
    <row r="147">
      <c r="A147" s="67"/>
      <c r="B147" s="84"/>
      <c r="C147" s="84"/>
      <c r="D147" s="84"/>
      <c r="E147" s="85"/>
      <c r="F147" s="85"/>
      <c r="G147" s="86"/>
      <c r="H147" s="87"/>
      <c r="I147" s="84"/>
      <c r="J147" s="84"/>
      <c r="K147" s="69"/>
      <c r="L147" s="67"/>
      <c r="M147" s="67"/>
      <c r="N147" s="67"/>
    </row>
    <row r="148">
      <c r="A148" s="67"/>
      <c r="B148" s="84"/>
      <c r="C148" s="84"/>
      <c r="D148" s="84"/>
      <c r="E148" s="85"/>
      <c r="F148" s="85"/>
      <c r="G148" s="86"/>
      <c r="H148" s="87"/>
      <c r="I148" s="84"/>
      <c r="J148" s="84"/>
      <c r="K148" s="69"/>
      <c r="L148" s="67"/>
      <c r="M148" s="67"/>
      <c r="N148" s="67"/>
    </row>
    <row r="149">
      <c r="A149" s="67"/>
      <c r="B149" s="84"/>
      <c r="C149" s="84"/>
      <c r="D149" s="84"/>
      <c r="E149" s="85"/>
      <c r="F149" s="85"/>
      <c r="G149" s="86"/>
      <c r="H149" s="87"/>
      <c r="I149" s="84"/>
      <c r="J149" s="84"/>
      <c r="K149" s="69"/>
      <c r="L149" s="67"/>
      <c r="M149" s="67"/>
      <c r="N149" s="67"/>
    </row>
    <row r="150">
      <c r="A150" s="67"/>
      <c r="B150" s="84"/>
      <c r="C150" s="84"/>
      <c r="D150" s="84"/>
      <c r="E150" s="85"/>
      <c r="F150" s="85"/>
      <c r="G150" s="86"/>
      <c r="H150" s="87"/>
      <c r="I150" s="84"/>
      <c r="J150" s="84"/>
      <c r="K150" s="69"/>
      <c r="L150" s="67"/>
      <c r="M150" s="67"/>
      <c r="N150" s="67"/>
    </row>
    <row r="151">
      <c r="A151" s="67"/>
      <c r="B151" s="84"/>
      <c r="C151" s="84"/>
      <c r="D151" s="84"/>
      <c r="E151" s="85"/>
      <c r="F151" s="85"/>
      <c r="G151" s="86"/>
      <c r="H151" s="87"/>
      <c r="I151" s="84"/>
      <c r="J151" s="84"/>
      <c r="K151" s="69"/>
      <c r="L151" s="67"/>
      <c r="M151" s="67"/>
      <c r="N151" s="67"/>
    </row>
    <row r="152">
      <c r="A152" s="67"/>
      <c r="B152" s="84"/>
      <c r="C152" s="84"/>
      <c r="D152" s="84"/>
      <c r="E152" s="85"/>
      <c r="F152" s="85"/>
      <c r="G152" s="86"/>
      <c r="H152" s="87"/>
      <c r="I152" s="84"/>
      <c r="J152" s="84"/>
      <c r="K152" s="69"/>
      <c r="L152" s="67"/>
      <c r="M152" s="67"/>
      <c r="N152" s="67"/>
    </row>
    <row r="153">
      <c r="A153" s="67"/>
      <c r="B153" s="84"/>
      <c r="C153" s="84"/>
      <c r="D153" s="84"/>
      <c r="E153" s="85"/>
      <c r="F153" s="85"/>
      <c r="G153" s="86"/>
      <c r="H153" s="87"/>
      <c r="I153" s="84"/>
      <c r="J153" s="84"/>
      <c r="K153" s="69"/>
      <c r="L153" s="67"/>
      <c r="M153" s="67"/>
      <c r="N153" s="67"/>
    </row>
    <row r="154">
      <c r="A154" s="67"/>
      <c r="B154" s="84"/>
      <c r="C154" s="84"/>
      <c r="D154" s="84"/>
      <c r="E154" s="85"/>
      <c r="F154" s="85"/>
      <c r="G154" s="86"/>
      <c r="H154" s="87"/>
      <c r="I154" s="84"/>
      <c r="J154" s="84"/>
      <c r="K154" s="69"/>
      <c r="L154" s="67"/>
      <c r="M154" s="67"/>
      <c r="N154" s="67"/>
    </row>
    <row r="155">
      <c r="A155" s="67"/>
      <c r="B155" s="84"/>
      <c r="C155" s="84"/>
      <c r="D155" s="84"/>
      <c r="E155" s="85"/>
      <c r="F155" s="85"/>
      <c r="G155" s="86"/>
      <c r="H155" s="87"/>
      <c r="I155" s="84"/>
      <c r="J155" s="84"/>
      <c r="K155" s="69"/>
      <c r="L155" s="67"/>
      <c r="M155" s="67"/>
      <c r="N155" s="67"/>
    </row>
    <row r="156">
      <c r="A156" s="67"/>
      <c r="B156" s="84"/>
      <c r="C156" s="84"/>
      <c r="D156" s="84"/>
      <c r="E156" s="85"/>
      <c r="F156" s="85"/>
      <c r="G156" s="86"/>
      <c r="H156" s="87"/>
      <c r="I156" s="84"/>
      <c r="J156" s="84"/>
      <c r="K156" s="69"/>
      <c r="L156" s="67"/>
      <c r="M156" s="67"/>
      <c r="N156" s="67"/>
    </row>
    <row r="157">
      <c r="A157" s="67"/>
      <c r="B157" s="84"/>
      <c r="C157" s="84"/>
      <c r="D157" s="84"/>
      <c r="E157" s="85"/>
      <c r="F157" s="85"/>
      <c r="G157" s="86"/>
      <c r="H157" s="87"/>
      <c r="I157" s="84"/>
      <c r="J157" s="84"/>
      <c r="K157" s="69"/>
      <c r="L157" s="67"/>
      <c r="M157" s="67"/>
      <c r="N157" s="67"/>
    </row>
    <row r="158">
      <c r="A158" s="67"/>
      <c r="B158" s="84"/>
      <c r="C158" s="84"/>
      <c r="D158" s="84"/>
      <c r="E158" s="85"/>
      <c r="F158" s="85"/>
      <c r="G158" s="86"/>
      <c r="H158" s="87"/>
      <c r="I158" s="84"/>
      <c r="J158" s="84"/>
      <c r="K158" s="69"/>
      <c r="L158" s="67"/>
      <c r="M158" s="67"/>
      <c r="N158" s="67"/>
    </row>
    <row r="159">
      <c r="A159" s="67"/>
      <c r="B159" s="84"/>
      <c r="C159" s="84"/>
      <c r="D159" s="84"/>
      <c r="E159" s="85"/>
      <c r="F159" s="85"/>
      <c r="G159" s="86"/>
      <c r="H159" s="87"/>
      <c r="I159" s="84"/>
      <c r="J159" s="84"/>
      <c r="K159" s="69"/>
      <c r="L159" s="67"/>
      <c r="M159" s="67"/>
      <c r="N159" s="67"/>
    </row>
    <row r="160">
      <c r="A160" s="67"/>
      <c r="B160" s="84"/>
      <c r="C160" s="84"/>
      <c r="D160" s="84"/>
      <c r="E160" s="85"/>
      <c r="F160" s="85"/>
      <c r="G160" s="86"/>
      <c r="H160" s="87"/>
      <c r="I160" s="84"/>
      <c r="J160" s="84"/>
      <c r="K160" s="69"/>
      <c r="L160" s="67"/>
      <c r="M160" s="67"/>
      <c r="N160" s="67"/>
    </row>
    <row r="161">
      <c r="A161" s="67"/>
      <c r="B161" s="84"/>
      <c r="C161" s="84"/>
      <c r="D161" s="84"/>
      <c r="E161" s="85"/>
      <c r="F161" s="85"/>
      <c r="G161" s="86"/>
      <c r="H161" s="87"/>
      <c r="I161" s="84"/>
      <c r="J161" s="84"/>
      <c r="K161" s="69"/>
      <c r="L161" s="67"/>
      <c r="M161" s="67"/>
      <c r="N161" s="67"/>
    </row>
    <row r="162">
      <c r="A162" s="67"/>
      <c r="B162" s="84"/>
      <c r="C162" s="84"/>
      <c r="D162" s="84"/>
      <c r="E162" s="85"/>
      <c r="F162" s="85"/>
      <c r="G162" s="86"/>
      <c r="H162" s="87"/>
      <c r="I162" s="84"/>
      <c r="J162" s="84"/>
      <c r="K162" s="69"/>
      <c r="L162" s="67"/>
      <c r="M162" s="67"/>
      <c r="N162" s="67"/>
    </row>
    <row r="163">
      <c r="A163" s="67"/>
      <c r="B163" s="84"/>
      <c r="C163" s="84"/>
      <c r="D163" s="84"/>
      <c r="E163" s="85"/>
      <c r="F163" s="85"/>
      <c r="G163" s="86"/>
      <c r="H163" s="87"/>
      <c r="I163" s="84"/>
      <c r="J163" s="84"/>
      <c r="K163" s="69"/>
      <c r="L163" s="67"/>
      <c r="M163" s="67"/>
      <c r="N163" s="67"/>
    </row>
    <row r="164">
      <c r="A164" s="67"/>
      <c r="B164" s="84"/>
      <c r="C164" s="84"/>
      <c r="D164" s="84"/>
      <c r="E164" s="85"/>
      <c r="F164" s="85"/>
      <c r="G164" s="86"/>
      <c r="H164" s="87"/>
      <c r="I164" s="84"/>
      <c r="J164" s="84"/>
      <c r="K164" s="69"/>
      <c r="L164" s="67"/>
      <c r="M164" s="67"/>
      <c r="N164" s="67"/>
    </row>
    <row r="165">
      <c r="A165" s="67"/>
      <c r="B165" s="84"/>
      <c r="C165" s="84"/>
      <c r="D165" s="84"/>
      <c r="E165" s="85"/>
      <c r="F165" s="85"/>
      <c r="G165" s="86"/>
      <c r="H165" s="87"/>
      <c r="I165" s="84"/>
      <c r="J165" s="84"/>
      <c r="K165" s="69"/>
      <c r="L165" s="67"/>
      <c r="M165" s="67"/>
      <c r="N165" s="67"/>
    </row>
    <row r="166">
      <c r="A166" s="67"/>
      <c r="B166" s="84"/>
      <c r="C166" s="84"/>
      <c r="D166" s="84"/>
      <c r="E166" s="85"/>
      <c r="F166" s="85"/>
      <c r="G166" s="86"/>
      <c r="H166" s="87"/>
      <c r="I166" s="84"/>
      <c r="J166" s="84"/>
      <c r="K166" s="69"/>
      <c r="L166" s="67"/>
      <c r="M166" s="67"/>
      <c r="N166" s="67"/>
    </row>
    <row r="167">
      <c r="A167" s="67"/>
      <c r="B167" s="84"/>
      <c r="C167" s="84"/>
      <c r="D167" s="84"/>
      <c r="E167" s="85"/>
      <c r="F167" s="85"/>
      <c r="G167" s="86"/>
      <c r="H167" s="87"/>
      <c r="I167" s="84"/>
      <c r="J167" s="84"/>
      <c r="K167" s="69"/>
      <c r="L167" s="67"/>
      <c r="M167" s="67"/>
      <c r="N167" s="67"/>
    </row>
    <row r="168">
      <c r="A168" s="67"/>
      <c r="B168" s="84"/>
      <c r="C168" s="84"/>
      <c r="D168" s="84"/>
      <c r="E168" s="85"/>
      <c r="F168" s="85"/>
      <c r="G168" s="86"/>
      <c r="H168" s="87"/>
      <c r="I168" s="84"/>
      <c r="J168" s="84"/>
      <c r="K168" s="69"/>
      <c r="L168" s="67"/>
      <c r="M168" s="67"/>
      <c r="N168" s="67"/>
    </row>
    <row r="169">
      <c r="A169" s="67"/>
      <c r="B169" s="84"/>
      <c r="C169" s="84"/>
      <c r="D169" s="84"/>
      <c r="E169" s="85"/>
      <c r="F169" s="85"/>
      <c r="G169" s="86"/>
      <c r="H169" s="87"/>
      <c r="I169" s="84"/>
      <c r="J169" s="84"/>
      <c r="K169" s="69"/>
      <c r="L169" s="67"/>
      <c r="M169" s="67"/>
      <c r="N169" s="67"/>
    </row>
    <row r="170">
      <c r="A170" s="67"/>
      <c r="B170" s="84"/>
      <c r="C170" s="84"/>
      <c r="D170" s="84"/>
      <c r="E170" s="85"/>
      <c r="F170" s="85"/>
      <c r="G170" s="86"/>
      <c r="H170" s="87"/>
      <c r="I170" s="84"/>
      <c r="J170" s="84"/>
      <c r="K170" s="69"/>
      <c r="L170" s="67"/>
      <c r="M170" s="67"/>
      <c r="N170" s="67"/>
    </row>
    <row r="171">
      <c r="A171" s="67"/>
      <c r="B171" s="84"/>
      <c r="C171" s="84"/>
      <c r="D171" s="84"/>
      <c r="E171" s="85"/>
      <c r="F171" s="85"/>
      <c r="G171" s="86"/>
      <c r="H171" s="87"/>
      <c r="I171" s="84"/>
      <c r="J171" s="84"/>
      <c r="K171" s="69"/>
      <c r="L171" s="67"/>
      <c r="M171" s="67"/>
      <c r="N171" s="67"/>
    </row>
    <row r="172">
      <c r="A172" s="67"/>
      <c r="B172" s="84"/>
      <c r="C172" s="84"/>
      <c r="D172" s="84"/>
      <c r="E172" s="85"/>
      <c r="F172" s="85"/>
      <c r="G172" s="86"/>
      <c r="H172" s="87"/>
      <c r="I172" s="84"/>
      <c r="J172" s="84"/>
      <c r="K172" s="69"/>
      <c r="L172" s="67"/>
      <c r="M172" s="67"/>
      <c r="N172" s="67"/>
    </row>
    <row r="173">
      <c r="A173" s="67"/>
      <c r="B173" s="84"/>
      <c r="C173" s="84"/>
      <c r="D173" s="84"/>
      <c r="E173" s="85"/>
      <c r="F173" s="85"/>
      <c r="G173" s="86"/>
      <c r="H173" s="87"/>
      <c r="I173" s="84"/>
      <c r="J173" s="84"/>
      <c r="K173" s="69"/>
      <c r="L173" s="67"/>
      <c r="M173" s="67"/>
      <c r="N173" s="67"/>
    </row>
    <row r="174">
      <c r="A174" s="67"/>
      <c r="B174" s="84"/>
      <c r="C174" s="84"/>
      <c r="D174" s="84"/>
      <c r="E174" s="85"/>
      <c r="F174" s="85"/>
      <c r="G174" s="86"/>
      <c r="H174" s="87"/>
      <c r="I174" s="84"/>
      <c r="J174" s="84"/>
      <c r="K174" s="69"/>
      <c r="L174" s="67"/>
      <c r="M174" s="67"/>
      <c r="N174" s="67"/>
    </row>
    <row r="175">
      <c r="A175" s="67"/>
      <c r="B175" s="84"/>
      <c r="C175" s="84"/>
      <c r="D175" s="84"/>
      <c r="E175" s="85"/>
      <c r="F175" s="85"/>
      <c r="G175" s="86"/>
      <c r="H175" s="87"/>
      <c r="I175" s="84"/>
      <c r="J175" s="84"/>
      <c r="K175" s="69"/>
      <c r="L175" s="67"/>
      <c r="M175" s="67"/>
      <c r="N175" s="67"/>
    </row>
    <row r="176">
      <c r="A176" s="67"/>
      <c r="B176" s="84"/>
      <c r="C176" s="84"/>
      <c r="D176" s="84"/>
      <c r="E176" s="85"/>
      <c r="F176" s="85"/>
      <c r="G176" s="86"/>
      <c r="H176" s="87"/>
      <c r="I176" s="84"/>
      <c r="J176" s="84"/>
      <c r="K176" s="69"/>
      <c r="L176" s="67"/>
      <c r="M176" s="67"/>
      <c r="N176" s="67"/>
    </row>
    <row r="177">
      <c r="A177" s="67"/>
      <c r="B177" s="84"/>
      <c r="C177" s="84"/>
      <c r="D177" s="84"/>
      <c r="E177" s="85"/>
      <c r="F177" s="85"/>
      <c r="G177" s="86"/>
      <c r="H177" s="87"/>
      <c r="I177" s="84"/>
      <c r="J177" s="84"/>
      <c r="K177" s="69"/>
      <c r="L177" s="67"/>
      <c r="M177" s="67"/>
      <c r="N177" s="67"/>
    </row>
    <row r="178">
      <c r="A178" s="67"/>
      <c r="B178" s="84"/>
      <c r="C178" s="84"/>
      <c r="D178" s="84"/>
      <c r="E178" s="85"/>
      <c r="F178" s="85"/>
      <c r="G178" s="86"/>
      <c r="H178" s="87"/>
      <c r="I178" s="84"/>
      <c r="J178" s="84"/>
      <c r="K178" s="69"/>
      <c r="L178" s="67"/>
      <c r="M178" s="67"/>
      <c r="N178" s="67"/>
    </row>
    <row r="179">
      <c r="A179" s="67"/>
      <c r="B179" s="84"/>
      <c r="C179" s="84"/>
      <c r="D179" s="84"/>
      <c r="E179" s="85"/>
      <c r="F179" s="85"/>
      <c r="G179" s="86"/>
      <c r="H179" s="87"/>
      <c r="I179" s="84"/>
      <c r="J179" s="84"/>
      <c r="K179" s="69"/>
      <c r="L179" s="67"/>
      <c r="M179" s="67"/>
      <c r="N179" s="67"/>
    </row>
    <row r="180">
      <c r="A180" s="67"/>
      <c r="B180" s="84"/>
      <c r="C180" s="84"/>
      <c r="D180" s="84"/>
      <c r="E180" s="85"/>
      <c r="F180" s="85"/>
      <c r="G180" s="86"/>
      <c r="H180" s="87"/>
      <c r="I180" s="84"/>
      <c r="J180" s="84"/>
      <c r="K180" s="69"/>
      <c r="L180" s="67"/>
      <c r="M180" s="67"/>
      <c r="N180" s="67"/>
    </row>
    <row r="181">
      <c r="A181" s="67"/>
      <c r="B181" s="84"/>
      <c r="C181" s="84"/>
      <c r="D181" s="84"/>
      <c r="E181" s="85"/>
      <c r="F181" s="85"/>
      <c r="G181" s="86"/>
      <c r="H181" s="87"/>
      <c r="I181" s="84"/>
      <c r="J181" s="84"/>
      <c r="K181" s="69"/>
      <c r="L181" s="67"/>
      <c r="M181" s="67"/>
      <c r="N181" s="67"/>
    </row>
    <row r="182">
      <c r="A182" s="67"/>
      <c r="B182" s="84"/>
      <c r="C182" s="84"/>
      <c r="D182" s="84"/>
      <c r="E182" s="85"/>
      <c r="F182" s="85"/>
      <c r="G182" s="86"/>
      <c r="H182" s="87"/>
      <c r="I182" s="84"/>
      <c r="J182" s="84"/>
      <c r="K182" s="69"/>
      <c r="L182" s="67"/>
      <c r="M182" s="67"/>
      <c r="N182" s="67"/>
    </row>
    <row r="183">
      <c r="A183" s="67"/>
      <c r="B183" s="84"/>
      <c r="C183" s="84"/>
      <c r="D183" s="84"/>
      <c r="E183" s="85"/>
      <c r="F183" s="85"/>
      <c r="G183" s="86"/>
      <c r="H183" s="87"/>
      <c r="I183" s="84"/>
      <c r="J183" s="84"/>
      <c r="K183" s="69"/>
      <c r="L183" s="67"/>
      <c r="M183" s="67"/>
      <c r="N183" s="67"/>
    </row>
    <row r="184">
      <c r="A184" s="67"/>
      <c r="B184" s="84"/>
      <c r="C184" s="84"/>
      <c r="D184" s="84"/>
      <c r="E184" s="85"/>
      <c r="F184" s="85"/>
      <c r="G184" s="86"/>
      <c r="H184" s="87"/>
      <c r="I184" s="84"/>
      <c r="J184" s="84"/>
      <c r="K184" s="69"/>
      <c r="L184" s="67"/>
      <c r="M184" s="67"/>
      <c r="N184" s="67"/>
    </row>
    <row r="185">
      <c r="A185" s="67"/>
      <c r="B185" s="84"/>
      <c r="C185" s="84"/>
      <c r="D185" s="84"/>
      <c r="E185" s="85"/>
      <c r="F185" s="85"/>
      <c r="G185" s="86"/>
      <c r="H185" s="87"/>
      <c r="I185" s="84"/>
      <c r="J185" s="84"/>
      <c r="K185" s="69"/>
      <c r="L185" s="67"/>
      <c r="M185" s="67"/>
      <c r="N185" s="67"/>
    </row>
    <row r="186">
      <c r="A186" s="67"/>
      <c r="B186" s="84"/>
      <c r="C186" s="84"/>
      <c r="D186" s="84"/>
      <c r="E186" s="85"/>
      <c r="F186" s="85"/>
      <c r="G186" s="86"/>
      <c r="H186" s="87"/>
      <c r="I186" s="84"/>
      <c r="J186" s="84"/>
      <c r="K186" s="69"/>
      <c r="L186" s="67"/>
      <c r="M186" s="67"/>
      <c r="N186" s="67"/>
    </row>
    <row r="187">
      <c r="A187" s="67"/>
      <c r="B187" s="84"/>
      <c r="C187" s="84"/>
      <c r="D187" s="84"/>
      <c r="E187" s="85"/>
      <c r="F187" s="85"/>
      <c r="G187" s="86"/>
      <c r="H187" s="87"/>
      <c r="I187" s="84"/>
      <c r="J187" s="84"/>
      <c r="K187" s="69"/>
      <c r="L187" s="67"/>
      <c r="M187" s="67"/>
      <c r="N187" s="67"/>
    </row>
    <row r="188">
      <c r="A188" s="67"/>
      <c r="B188" s="84"/>
      <c r="C188" s="84"/>
      <c r="D188" s="84"/>
      <c r="E188" s="85"/>
      <c r="F188" s="85"/>
      <c r="G188" s="86"/>
      <c r="H188" s="87"/>
      <c r="I188" s="84"/>
      <c r="J188" s="84"/>
      <c r="K188" s="69"/>
      <c r="L188" s="67"/>
      <c r="M188" s="67"/>
      <c r="N188" s="67"/>
    </row>
    <row r="189">
      <c r="A189" s="67"/>
      <c r="B189" s="84"/>
      <c r="C189" s="84"/>
      <c r="D189" s="84"/>
      <c r="E189" s="85"/>
      <c r="F189" s="85"/>
      <c r="G189" s="86"/>
      <c r="H189" s="87"/>
      <c r="I189" s="84"/>
      <c r="J189" s="84"/>
      <c r="K189" s="69"/>
      <c r="L189" s="67"/>
      <c r="M189" s="67"/>
      <c r="N189" s="67"/>
    </row>
    <row r="190">
      <c r="A190" s="67"/>
      <c r="B190" s="84"/>
      <c r="C190" s="84"/>
      <c r="D190" s="84"/>
      <c r="E190" s="85"/>
      <c r="F190" s="85"/>
      <c r="G190" s="86"/>
      <c r="H190" s="87"/>
      <c r="I190" s="84"/>
      <c r="J190" s="84"/>
      <c r="K190" s="69"/>
      <c r="L190" s="67"/>
      <c r="M190" s="67"/>
      <c r="N190" s="67"/>
    </row>
    <row r="191">
      <c r="A191" s="67"/>
      <c r="B191" s="84"/>
      <c r="C191" s="84"/>
      <c r="D191" s="84"/>
      <c r="E191" s="85"/>
      <c r="F191" s="85"/>
      <c r="G191" s="86"/>
      <c r="H191" s="87"/>
      <c r="I191" s="84"/>
      <c r="J191" s="84"/>
      <c r="K191" s="69"/>
      <c r="L191" s="67"/>
      <c r="M191" s="67"/>
      <c r="N191" s="67"/>
    </row>
    <row r="192">
      <c r="A192" s="67"/>
      <c r="B192" s="84"/>
      <c r="C192" s="84"/>
      <c r="D192" s="84"/>
      <c r="E192" s="85"/>
      <c r="F192" s="85"/>
      <c r="G192" s="86"/>
      <c r="H192" s="87"/>
      <c r="I192" s="84"/>
      <c r="J192" s="84"/>
      <c r="K192" s="69"/>
      <c r="L192" s="67"/>
      <c r="M192" s="67"/>
      <c r="N192" s="67"/>
    </row>
    <row r="193">
      <c r="A193" s="67"/>
      <c r="B193" s="84"/>
      <c r="C193" s="84"/>
      <c r="D193" s="84"/>
      <c r="E193" s="85"/>
      <c r="F193" s="85"/>
      <c r="G193" s="86"/>
      <c r="H193" s="87"/>
      <c r="I193" s="84"/>
      <c r="J193" s="84"/>
      <c r="K193" s="69"/>
      <c r="L193" s="67"/>
      <c r="M193" s="67"/>
      <c r="N193" s="67"/>
    </row>
    <row r="194">
      <c r="A194" s="67"/>
      <c r="B194" s="84"/>
      <c r="C194" s="84"/>
      <c r="D194" s="84"/>
      <c r="E194" s="85"/>
      <c r="F194" s="85"/>
      <c r="G194" s="86"/>
      <c r="H194" s="87"/>
      <c r="I194" s="84"/>
      <c r="J194" s="84"/>
      <c r="K194" s="69"/>
      <c r="L194" s="67"/>
      <c r="M194" s="67"/>
      <c r="N194" s="67"/>
    </row>
    <row r="195">
      <c r="A195" s="67"/>
      <c r="B195" s="84"/>
      <c r="C195" s="84"/>
      <c r="D195" s="84"/>
      <c r="E195" s="85"/>
      <c r="F195" s="85"/>
      <c r="G195" s="86"/>
      <c r="H195" s="87"/>
      <c r="I195" s="84"/>
      <c r="J195" s="84"/>
      <c r="K195" s="69"/>
      <c r="L195" s="67"/>
      <c r="M195" s="67"/>
      <c r="N195" s="67"/>
    </row>
    <row r="196">
      <c r="A196" s="67"/>
      <c r="B196" s="84"/>
      <c r="C196" s="84"/>
      <c r="D196" s="84"/>
      <c r="E196" s="85"/>
      <c r="F196" s="85"/>
      <c r="G196" s="86"/>
      <c r="H196" s="87"/>
      <c r="I196" s="84"/>
      <c r="J196" s="84"/>
      <c r="K196" s="69"/>
      <c r="L196" s="67"/>
      <c r="M196" s="67"/>
      <c r="N196" s="67"/>
    </row>
    <row r="197">
      <c r="A197" s="67"/>
      <c r="B197" s="84"/>
      <c r="C197" s="84"/>
      <c r="D197" s="84"/>
      <c r="E197" s="85"/>
      <c r="F197" s="85"/>
      <c r="G197" s="86"/>
      <c r="H197" s="87"/>
      <c r="I197" s="84"/>
      <c r="J197" s="84"/>
      <c r="K197" s="69"/>
      <c r="L197" s="67"/>
      <c r="M197" s="67"/>
      <c r="N197" s="67"/>
    </row>
    <row r="198">
      <c r="A198" s="67"/>
      <c r="B198" s="84"/>
      <c r="C198" s="84"/>
      <c r="D198" s="84"/>
      <c r="E198" s="85"/>
      <c r="F198" s="85"/>
      <c r="G198" s="86"/>
      <c r="H198" s="87"/>
      <c r="I198" s="84"/>
      <c r="J198" s="84"/>
      <c r="K198" s="69"/>
      <c r="L198" s="67"/>
      <c r="M198" s="67"/>
      <c r="N198" s="67"/>
    </row>
    <row r="199">
      <c r="A199" s="67"/>
      <c r="B199" s="84"/>
      <c r="C199" s="84"/>
      <c r="D199" s="84"/>
      <c r="E199" s="85"/>
      <c r="F199" s="85"/>
      <c r="G199" s="86"/>
      <c r="H199" s="87"/>
      <c r="I199" s="84"/>
      <c r="J199" s="84"/>
      <c r="K199" s="69"/>
      <c r="L199" s="67"/>
      <c r="M199" s="67"/>
      <c r="N199" s="67"/>
    </row>
    <row r="200">
      <c r="A200" s="67"/>
      <c r="B200" s="84"/>
      <c r="C200" s="84"/>
      <c r="D200" s="84"/>
      <c r="E200" s="85"/>
      <c r="F200" s="85"/>
      <c r="G200" s="86"/>
      <c r="H200" s="87"/>
      <c r="I200" s="84"/>
      <c r="J200" s="84"/>
      <c r="K200" s="69"/>
      <c r="L200" s="67"/>
      <c r="M200" s="67"/>
      <c r="N200" s="67"/>
    </row>
    <row r="201">
      <c r="A201" s="67"/>
      <c r="B201" s="84"/>
      <c r="C201" s="84"/>
      <c r="D201" s="84"/>
      <c r="E201" s="85"/>
      <c r="F201" s="85"/>
      <c r="G201" s="86"/>
      <c r="H201" s="87"/>
      <c r="I201" s="84"/>
      <c r="J201" s="84"/>
      <c r="K201" s="69"/>
      <c r="L201" s="67"/>
      <c r="M201" s="67"/>
      <c r="N201" s="67"/>
    </row>
    <row r="202">
      <c r="A202" s="67"/>
      <c r="B202" s="84"/>
      <c r="C202" s="84"/>
      <c r="D202" s="84"/>
      <c r="E202" s="85"/>
      <c r="F202" s="85"/>
      <c r="G202" s="86"/>
      <c r="H202" s="87"/>
      <c r="I202" s="84"/>
      <c r="J202" s="84"/>
      <c r="K202" s="69"/>
      <c r="L202" s="67"/>
      <c r="M202" s="67"/>
      <c r="N202" s="67"/>
    </row>
    <row r="203">
      <c r="A203" s="67"/>
      <c r="B203" s="84"/>
      <c r="C203" s="84"/>
      <c r="D203" s="84"/>
      <c r="E203" s="85"/>
      <c r="F203" s="85"/>
      <c r="G203" s="86"/>
      <c r="H203" s="87"/>
      <c r="I203" s="84"/>
      <c r="J203" s="84"/>
      <c r="K203" s="69"/>
      <c r="L203" s="67"/>
      <c r="M203" s="67"/>
      <c r="N203" s="67"/>
    </row>
    <row r="204">
      <c r="A204" s="67"/>
      <c r="B204" s="84"/>
      <c r="C204" s="84"/>
      <c r="D204" s="84"/>
      <c r="E204" s="85"/>
      <c r="F204" s="85"/>
      <c r="G204" s="86"/>
      <c r="H204" s="87"/>
      <c r="I204" s="84"/>
      <c r="J204" s="84"/>
      <c r="K204" s="69"/>
      <c r="L204" s="67"/>
      <c r="M204" s="67"/>
      <c r="N204" s="67"/>
    </row>
    <row r="205">
      <c r="A205" s="67"/>
      <c r="B205" s="84"/>
      <c r="C205" s="84"/>
      <c r="D205" s="84"/>
      <c r="E205" s="85"/>
      <c r="F205" s="85"/>
      <c r="G205" s="86"/>
      <c r="H205" s="87"/>
      <c r="I205" s="84"/>
      <c r="J205" s="84"/>
      <c r="K205" s="69"/>
      <c r="L205" s="67"/>
      <c r="M205" s="67"/>
      <c r="N205" s="67"/>
    </row>
    <row r="206">
      <c r="A206" s="67"/>
      <c r="B206" s="84"/>
      <c r="C206" s="84"/>
      <c r="D206" s="84"/>
      <c r="E206" s="85"/>
      <c r="F206" s="85"/>
      <c r="G206" s="86"/>
      <c r="H206" s="87"/>
      <c r="I206" s="84"/>
      <c r="J206" s="84"/>
      <c r="K206" s="69"/>
      <c r="L206" s="67"/>
      <c r="M206" s="67"/>
      <c r="N206" s="67"/>
    </row>
    <row r="207">
      <c r="A207" s="67"/>
      <c r="B207" s="84"/>
      <c r="C207" s="84"/>
      <c r="D207" s="84"/>
      <c r="E207" s="85"/>
      <c r="F207" s="85"/>
      <c r="G207" s="86"/>
      <c r="H207" s="87"/>
      <c r="I207" s="84"/>
      <c r="J207" s="84"/>
      <c r="K207" s="69"/>
      <c r="L207" s="67"/>
      <c r="M207" s="67"/>
      <c r="N207" s="67"/>
    </row>
    <row r="208">
      <c r="A208" s="67"/>
      <c r="B208" s="84"/>
      <c r="C208" s="84"/>
      <c r="D208" s="84"/>
      <c r="E208" s="85"/>
      <c r="F208" s="85"/>
      <c r="G208" s="86"/>
      <c r="H208" s="87"/>
      <c r="I208" s="84"/>
      <c r="J208" s="84"/>
      <c r="K208" s="69"/>
      <c r="L208" s="67"/>
      <c r="M208" s="67"/>
      <c r="N208" s="67"/>
    </row>
    <row r="209">
      <c r="A209" s="67"/>
      <c r="B209" s="84"/>
      <c r="C209" s="84"/>
      <c r="D209" s="84"/>
      <c r="E209" s="85"/>
      <c r="F209" s="85"/>
      <c r="G209" s="86"/>
      <c r="H209" s="87"/>
      <c r="I209" s="84"/>
      <c r="J209" s="84"/>
      <c r="K209" s="69"/>
      <c r="L209" s="67"/>
      <c r="M209" s="67"/>
      <c r="N209" s="67"/>
    </row>
    <row r="210">
      <c r="A210" s="67"/>
      <c r="B210" s="84"/>
      <c r="C210" s="84"/>
      <c r="D210" s="84"/>
      <c r="E210" s="85"/>
      <c r="F210" s="85"/>
      <c r="G210" s="86"/>
      <c r="H210" s="87"/>
      <c r="I210" s="84"/>
      <c r="J210" s="84"/>
      <c r="K210" s="69"/>
      <c r="L210" s="67"/>
      <c r="M210" s="67"/>
      <c r="N210" s="67"/>
    </row>
    <row r="211">
      <c r="A211" s="67"/>
      <c r="B211" s="84"/>
      <c r="C211" s="84"/>
      <c r="D211" s="84"/>
      <c r="E211" s="85"/>
      <c r="F211" s="85"/>
      <c r="G211" s="86"/>
      <c r="H211" s="87"/>
      <c r="I211" s="84"/>
      <c r="J211" s="84"/>
      <c r="K211" s="69"/>
      <c r="L211" s="67"/>
      <c r="M211" s="67"/>
      <c r="N211" s="67"/>
    </row>
    <row r="212">
      <c r="A212" s="67"/>
      <c r="B212" s="84"/>
      <c r="C212" s="84"/>
      <c r="D212" s="84"/>
      <c r="E212" s="85"/>
      <c r="F212" s="85"/>
      <c r="G212" s="86"/>
      <c r="H212" s="87"/>
      <c r="I212" s="84"/>
      <c r="J212" s="84"/>
      <c r="K212" s="69"/>
      <c r="L212" s="67"/>
      <c r="M212" s="67"/>
      <c r="N212" s="67"/>
    </row>
    <row r="213">
      <c r="A213" s="67"/>
      <c r="B213" s="84"/>
      <c r="C213" s="84"/>
      <c r="D213" s="84"/>
      <c r="E213" s="85"/>
      <c r="F213" s="85"/>
      <c r="G213" s="86"/>
      <c r="H213" s="87"/>
      <c r="I213" s="84"/>
      <c r="J213" s="84"/>
      <c r="K213" s="69"/>
      <c r="L213" s="67"/>
      <c r="M213" s="67"/>
      <c r="N213" s="67"/>
    </row>
    <row r="214">
      <c r="A214" s="67"/>
      <c r="B214" s="84"/>
      <c r="C214" s="84"/>
      <c r="D214" s="84"/>
      <c r="E214" s="85"/>
      <c r="F214" s="85"/>
      <c r="G214" s="86"/>
      <c r="H214" s="87"/>
      <c r="I214" s="84"/>
      <c r="J214" s="84"/>
      <c r="K214" s="69"/>
      <c r="L214" s="67"/>
      <c r="M214" s="67"/>
      <c r="N214" s="67"/>
    </row>
    <row r="215">
      <c r="A215" s="67"/>
      <c r="B215" s="84"/>
      <c r="C215" s="84"/>
      <c r="D215" s="84"/>
      <c r="E215" s="85"/>
      <c r="F215" s="85"/>
      <c r="G215" s="86"/>
      <c r="H215" s="87"/>
      <c r="I215" s="84"/>
      <c r="J215" s="84"/>
      <c r="K215" s="69"/>
      <c r="L215" s="67"/>
      <c r="M215" s="67"/>
      <c r="N215" s="67"/>
    </row>
    <row r="216">
      <c r="A216" s="67"/>
      <c r="B216" s="84"/>
      <c r="C216" s="84"/>
      <c r="D216" s="84"/>
      <c r="E216" s="85"/>
      <c r="F216" s="85"/>
      <c r="G216" s="86"/>
      <c r="H216" s="87"/>
      <c r="I216" s="84"/>
      <c r="J216" s="84"/>
      <c r="K216" s="69"/>
      <c r="L216" s="67"/>
      <c r="M216" s="67"/>
      <c r="N216" s="67"/>
    </row>
    <row r="217">
      <c r="A217" s="67"/>
      <c r="B217" s="84"/>
      <c r="C217" s="84"/>
      <c r="D217" s="84"/>
      <c r="E217" s="85"/>
      <c r="F217" s="85"/>
      <c r="G217" s="86"/>
      <c r="H217" s="87"/>
      <c r="I217" s="84"/>
      <c r="J217" s="84"/>
      <c r="K217" s="69"/>
      <c r="L217" s="67"/>
      <c r="M217" s="67"/>
      <c r="N217" s="67"/>
    </row>
    <row r="218">
      <c r="A218" s="67"/>
      <c r="B218" s="84"/>
      <c r="C218" s="84"/>
      <c r="D218" s="84"/>
      <c r="E218" s="85"/>
      <c r="F218" s="85"/>
      <c r="G218" s="86"/>
      <c r="H218" s="87"/>
      <c r="I218" s="84"/>
      <c r="J218" s="84"/>
      <c r="K218" s="69"/>
      <c r="L218" s="67"/>
      <c r="M218" s="67"/>
      <c r="N218" s="67"/>
    </row>
    <row r="219">
      <c r="A219" s="67"/>
      <c r="B219" s="84"/>
      <c r="C219" s="84"/>
      <c r="D219" s="84"/>
      <c r="E219" s="85"/>
      <c r="F219" s="85"/>
      <c r="G219" s="86"/>
      <c r="H219" s="87"/>
      <c r="I219" s="84"/>
      <c r="J219" s="84"/>
      <c r="K219" s="69"/>
      <c r="L219" s="67"/>
      <c r="M219" s="67"/>
      <c r="N219" s="67"/>
    </row>
    <row r="220">
      <c r="A220" s="67"/>
      <c r="B220" s="84"/>
      <c r="C220" s="84"/>
      <c r="D220" s="84"/>
      <c r="E220" s="85"/>
      <c r="F220" s="85"/>
      <c r="G220" s="86"/>
      <c r="H220" s="87"/>
      <c r="I220" s="84"/>
      <c r="J220" s="84"/>
      <c r="K220" s="69"/>
      <c r="L220" s="67"/>
      <c r="M220" s="67"/>
      <c r="N220" s="67"/>
    </row>
    <row r="221">
      <c r="A221" s="67"/>
      <c r="B221" s="84"/>
      <c r="C221" s="84"/>
      <c r="D221" s="84"/>
      <c r="E221" s="85"/>
      <c r="F221" s="85"/>
      <c r="G221" s="86"/>
      <c r="H221" s="87"/>
      <c r="I221" s="84"/>
      <c r="J221" s="84"/>
      <c r="K221" s="69"/>
      <c r="L221" s="67"/>
      <c r="M221" s="67"/>
      <c r="N221" s="67"/>
    </row>
    <row r="222">
      <c r="A222" s="67"/>
      <c r="B222" s="84"/>
      <c r="C222" s="84"/>
      <c r="D222" s="84"/>
      <c r="E222" s="85"/>
      <c r="F222" s="85"/>
      <c r="G222" s="86"/>
      <c r="H222" s="87"/>
      <c r="I222" s="84"/>
      <c r="J222" s="84"/>
      <c r="K222" s="69"/>
      <c r="L222" s="67"/>
      <c r="M222" s="67"/>
      <c r="N222" s="67"/>
    </row>
    <row r="223">
      <c r="A223" s="67"/>
      <c r="B223" s="84"/>
      <c r="C223" s="84"/>
      <c r="D223" s="84"/>
      <c r="E223" s="85"/>
      <c r="F223" s="85"/>
      <c r="G223" s="86"/>
      <c r="H223" s="87"/>
      <c r="I223" s="84"/>
      <c r="J223" s="84"/>
      <c r="K223" s="69"/>
      <c r="L223" s="67"/>
      <c r="M223" s="67"/>
      <c r="N223" s="67"/>
    </row>
    <row r="224">
      <c r="A224" s="67"/>
      <c r="B224" s="84"/>
      <c r="C224" s="84"/>
      <c r="D224" s="84"/>
      <c r="E224" s="85"/>
      <c r="F224" s="85"/>
      <c r="G224" s="86"/>
      <c r="H224" s="87"/>
      <c r="I224" s="84"/>
      <c r="J224" s="84"/>
      <c r="K224" s="69"/>
      <c r="L224" s="67"/>
      <c r="M224" s="67"/>
      <c r="N224" s="67"/>
    </row>
    <row r="225">
      <c r="A225" s="67"/>
      <c r="B225" s="84"/>
      <c r="C225" s="84"/>
      <c r="D225" s="84"/>
      <c r="E225" s="85"/>
      <c r="F225" s="85"/>
      <c r="G225" s="86"/>
      <c r="H225" s="87"/>
      <c r="I225" s="84"/>
      <c r="J225" s="84"/>
      <c r="K225" s="69"/>
      <c r="L225" s="67"/>
      <c r="M225" s="67"/>
      <c r="N225" s="67"/>
    </row>
    <row r="226">
      <c r="A226" s="67"/>
      <c r="B226" s="84"/>
      <c r="C226" s="84"/>
      <c r="D226" s="84"/>
      <c r="E226" s="85"/>
      <c r="F226" s="85"/>
      <c r="G226" s="86"/>
      <c r="H226" s="87"/>
      <c r="I226" s="84"/>
      <c r="J226" s="84"/>
      <c r="K226" s="69"/>
      <c r="L226" s="67"/>
      <c r="M226" s="67"/>
      <c r="N226" s="67"/>
    </row>
    <row r="227">
      <c r="A227" s="67"/>
      <c r="B227" s="84"/>
      <c r="C227" s="84"/>
      <c r="D227" s="84"/>
      <c r="E227" s="85"/>
      <c r="F227" s="85"/>
      <c r="G227" s="86"/>
      <c r="H227" s="87"/>
      <c r="I227" s="84"/>
      <c r="J227" s="84"/>
      <c r="K227" s="69"/>
      <c r="L227" s="67"/>
      <c r="M227" s="67"/>
      <c r="N227" s="67"/>
    </row>
    <row r="228">
      <c r="A228" s="67"/>
      <c r="B228" s="84"/>
      <c r="C228" s="84"/>
      <c r="D228" s="84"/>
      <c r="E228" s="85"/>
      <c r="F228" s="85"/>
      <c r="G228" s="86"/>
      <c r="H228" s="87"/>
      <c r="I228" s="84"/>
      <c r="J228" s="84"/>
      <c r="K228" s="69"/>
      <c r="L228" s="67"/>
      <c r="M228" s="67"/>
      <c r="N228" s="67"/>
    </row>
    <row r="229">
      <c r="A229" s="67"/>
      <c r="B229" s="84"/>
      <c r="C229" s="84"/>
      <c r="D229" s="84"/>
      <c r="E229" s="85"/>
      <c r="F229" s="85"/>
      <c r="G229" s="86"/>
      <c r="H229" s="87"/>
      <c r="I229" s="84"/>
      <c r="J229" s="84"/>
      <c r="K229" s="69"/>
      <c r="L229" s="67"/>
      <c r="M229" s="67"/>
      <c r="N229" s="67"/>
    </row>
    <row r="230">
      <c r="A230" s="67"/>
      <c r="B230" s="84"/>
      <c r="C230" s="84"/>
      <c r="D230" s="84"/>
      <c r="E230" s="85"/>
      <c r="F230" s="85"/>
      <c r="G230" s="86"/>
      <c r="H230" s="87"/>
      <c r="I230" s="84"/>
      <c r="J230" s="84"/>
      <c r="K230" s="69"/>
      <c r="L230" s="67"/>
      <c r="M230" s="67"/>
      <c r="N230" s="67"/>
    </row>
    <row r="231">
      <c r="A231" s="67"/>
      <c r="B231" s="84"/>
      <c r="C231" s="84"/>
      <c r="D231" s="84"/>
      <c r="E231" s="85"/>
      <c r="F231" s="85"/>
      <c r="G231" s="86"/>
      <c r="H231" s="87"/>
      <c r="I231" s="84"/>
      <c r="J231" s="84"/>
      <c r="K231" s="69"/>
      <c r="L231" s="67"/>
      <c r="M231" s="67"/>
      <c r="N231" s="67"/>
    </row>
    <row r="232">
      <c r="A232" s="67"/>
      <c r="B232" s="84"/>
      <c r="C232" s="84"/>
      <c r="D232" s="84"/>
      <c r="E232" s="85"/>
      <c r="F232" s="85"/>
      <c r="G232" s="86"/>
      <c r="H232" s="87"/>
      <c r="I232" s="84"/>
      <c r="J232" s="84"/>
      <c r="K232" s="69"/>
      <c r="L232" s="67"/>
      <c r="M232" s="67"/>
      <c r="N232" s="67"/>
    </row>
    <row r="233">
      <c r="A233" s="67"/>
      <c r="B233" s="84"/>
      <c r="C233" s="84"/>
      <c r="D233" s="84"/>
      <c r="E233" s="85"/>
      <c r="F233" s="85"/>
      <c r="G233" s="86"/>
      <c r="H233" s="87"/>
      <c r="I233" s="84"/>
      <c r="J233" s="84"/>
      <c r="K233" s="69"/>
      <c r="L233" s="67"/>
      <c r="M233" s="67"/>
      <c r="N233" s="67"/>
    </row>
    <row r="234">
      <c r="A234" s="67"/>
      <c r="B234" s="84"/>
      <c r="C234" s="84"/>
      <c r="D234" s="84"/>
      <c r="E234" s="85"/>
      <c r="F234" s="85"/>
      <c r="G234" s="86"/>
      <c r="H234" s="87"/>
      <c r="I234" s="84"/>
      <c r="J234" s="84"/>
      <c r="K234" s="69"/>
      <c r="L234" s="67"/>
      <c r="M234" s="67"/>
      <c r="N234" s="67"/>
    </row>
    <row r="235">
      <c r="A235" s="67"/>
      <c r="B235" s="84"/>
      <c r="C235" s="84"/>
      <c r="D235" s="84"/>
      <c r="E235" s="85"/>
      <c r="F235" s="85"/>
      <c r="G235" s="86"/>
      <c r="H235" s="87"/>
      <c r="I235" s="84"/>
      <c r="J235" s="84"/>
      <c r="K235" s="69"/>
      <c r="L235" s="67"/>
      <c r="M235" s="67"/>
      <c r="N235" s="67"/>
    </row>
    <row r="236">
      <c r="A236" s="67"/>
      <c r="B236" s="84"/>
      <c r="C236" s="84"/>
      <c r="D236" s="84"/>
      <c r="E236" s="85"/>
      <c r="F236" s="85"/>
      <c r="G236" s="86"/>
      <c r="H236" s="87"/>
      <c r="I236" s="84"/>
      <c r="J236" s="84"/>
      <c r="K236" s="69"/>
      <c r="L236" s="67"/>
      <c r="M236" s="67"/>
      <c r="N236" s="67"/>
    </row>
    <row r="237">
      <c r="A237" s="67"/>
      <c r="B237" s="84"/>
      <c r="C237" s="84"/>
      <c r="D237" s="84"/>
      <c r="E237" s="85"/>
      <c r="F237" s="85"/>
      <c r="G237" s="86"/>
      <c r="H237" s="87"/>
      <c r="I237" s="84"/>
      <c r="J237" s="84"/>
      <c r="K237" s="69"/>
      <c r="L237" s="67"/>
      <c r="M237" s="67"/>
      <c r="N237" s="67"/>
    </row>
    <row r="238">
      <c r="A238" s="67"/>
      <c r="B238" s="84"/>
      <c r="C238" s="84"/>
      <c r="D238" s="84"/>
      <c r="E238" s="85"/>
      <c r="F238" s="85"/>
      <c r="G238" s="86"/>
      <c r="H238" s="87"/>
      <c r="I238" s="84"/>
      <c r="J238" s="84"/>
      <c r="K238" s="69"/>
      <c r="L238" s="67"/>
      <c r="M238" s="67"/>
      <c r="N238" s="67"/>
    </row>
    <row r="239">
      <c r="A239" s="67"/>
      <c r="B239" s="84"/>
      <c r="C239" s="84"/>
      <c r="D239" s="84"/>
      <c r="E239" s="85"/>
      <c r="F239" s="85"/>
      <c r="G239" s="86"/>
      <c r="H239" s="87"/>
      <c r="I239" s="84"/>
      <c r="J239" s="84"/>
      <c r="K239" s="69"/>
      <c r="L239" s="67"/>
      <c r="M239" s="67"/>
      <c r="N239" s="67"/>
    </row>
    <row r="240">
      <c r="A240" s="67"/>
      <c r="B240" s="84"/>
      <c r="C240" s="84"/>
      <c r="D240" s="84"/>
      <c r="E240" s="85"/>
      <c r="F240" s="85"/>
      <c r="G240" s="86"/>
      <c r="H240" s="87"/>
      <c r="I240" s="84"/>
      <c r="J240" s="84"/>
      <c r="K240" s="69"/>
      <c r="L240" s="67"/>
      <c r="M240" s="67"/>
      <c r="N240" s="67"/>
    </row>
    <row r="241">
      <c r="A241" s="67"/>
      <c r="B241" s="84"/>
      <c r="C241" s="84"/>
      <c r="D241" s="84"/>
      <c r="E241" s="85"/>
      <c r="F241" s="85"/>
      <c r="G241" s="86"/>
      <c r="H241" s="87"/>
      <c r="I241" s="84"/>
      <c r="J241" s="84"/>
      <c r="K241" s="69"/>
      <c r="L241" s="67"/>
      <c r="M241" s="67"/>
      <c r="N241" s="67"/>
    </row>
    <row r="242">
      <c r="A242" s="67"/>
      <c r="B242" s="84"/>
      <c r="C242" s="84"/>
      <c r="D242" s="84"/>
      <c r="E242" s="85"/>
      <c r="F242" s="85"/>
      <c r="G242" s="86"/>
      <c r="H242" s="87"/>
      <c r="I242" s="84"/>
      <c r="J242" s="84"/>
      <c r="K242" s="69"/>
      <c r="L242" s="67"/>
      <c r="M242" s="67"/>
      <c r="N242" s="67"/>
    </row>
    <row r="243">
      <c r="A243" s="67"/>
      <c r="B243" s="84"/>
      <c r="C243" s="84"/>
      <c r="D243" s="84"/>
      <c r="E243" s="85"/>
      <c r="F243" s="85"/>
      <c r="G243" s="86"/>
      <c r="H243" s="87"/>
      <c r="I243" s="84"/>
      <c r="J243" s="84"/>
      <c r="K243" s="69"/>
      <c r="L243" s="67"/>
      <c r="M243" s="67"/>
      <c r="N243" s="67"/>
    </row>
    <row r="244">
      <c r="A244" s="67"/>
      <c r="B244" s="84"/>
      <c r="C244" s="84"/>
      <c r="D244" s="84"/>
      <c r="E244" s="85"/>
      <c r="F244" s="85"/>
      <c r="G244" s="86"/>
      <c r="H244" s="87"/>
      <c r="I244" s="84"/>
      <c r="J244" s="84"/>
      <c r="K244" s="69"/>
      <c r="L244" s="67"/>
      <c r="M244" s="67"/>
      <c r="N244" s="67"/>
    </row>
    <row r="245">
      <c r="A245" s="67"/>
      <c r="B245" s="84"/>
      <c r="C245" s="84"/>
      <c r="D245" s="84"/>
      <c r="E245" s="85"/>
      <c r="F245" s="85"/>
      <c r="G245" s="86"/>
      <c r="H245" s="87"/>
      <c r="I245" s="84"/>
      <c r="J245" s="84"/>
      <c r="K245" s="69"/>
      <c r="L245" s="67"/>
      <c r="M245" s="67"/>
      <c r="N245" s="67"/>
    </row>
    <row r="246">
      <c r="A246" s="67"/>
      <c r="B246" s="84"/>
      <c r="C246" s="84"/>
      <c r="D246" s="84"/>
      <c r="E246" s="85"/>
      <c r="F246" s="85"/>
      <c r="G246" s="86"/>
      <c r="H246" s="87"/>
      <c r="I246" s="84"/>
      <c r="J246" s="84"/>
      <c r="K246" s="69"/>
      <c r="L246" s="67"/>
      <c r="M246" s="67"/>
      <c r="N246" s="67"/>
    </row>
    <row r="247">
      <c r="A247" s="67"/>
      <c r="B247" s="84"/>
      <c r="C247" s="84"/>
      <c r="D247" s="84"/>
      <c r="E247" s="85"/>
      <c r="F247" s="85"/>
      <c r="G247" s="86"/>
      <c r="H247" s="87"/>
      <c r="I247" s="84"/>
      <c r="J247" s="84"/>
      <c r="K247" s="69"/>
      <c r="L247" s="67"/>
      <c r="M247" s="67"/>
      <c r="N247" s="67"/>
    </row>
    <row r="248">
      <c r="A248" s="67"/>
      <c r="B248" s="84"/>
      <c r="C248" s="84"/>
      <c r="D248" s="84"/>
      <c r="E248" s="85"/>
      <c r="F248" s="85"/>
      <c r="G248" s="86"/>
      <c r="H248" s="87"/>
      <c r="I248" s="84"/>
      <c r="J248" s="84"/>
      <c r="K248" s="69"/>
      <c r="L248" s="67"/>
      <c r="M248" s="67"/>
      <c r="N248" s="67"/>
    </row>
    <row r="249">
      <c r="A249" s="67"/>
      <c r="B249" s="84"/>
      <c r="C249" s="84"/>
      <c r="D249" s="84"/>
      <c r="E249" s="85"/>
      <c r="F249" s="85"/>
      <c r="G249" s="86"/>
      <c r="H249" s="87"/>
      <c r="I249" s="84"/>
      <c r="J249" s="84"/>
      <c r="K249" s="69"/>
      <c r="L249" s="67"/>
      <c r="M249" s="67"/>
      <c r="N249" s="67"/>
    </row>
    <row r="250">
      <c r="A250" s="67"/>
      <c r="B250" s="84"/>
      <c r="C250" s="84"/>
      <c r="D250" s="84"/>
      <c r="E250" s="85"/>
      <c r="F250" s="85"/>
      <c r="G250" s="86"/>
      <c r="H250" s="87"/>
      <c r="I250" s="84"/>
      <c r="J250" s="84"/>
      <c r="K250" s="69"/>
      <c r="L250" s="67"/>
      <c r="M250" s="67"/>
      <c r="N250" s="67"/>
    </row>
    <row r="251">
      <c r="A251" s="67"/>
      <c r="B251" s="84"/>
      <c r="C251" s="84"/>
      <c r="D251" s="84"/>
      <c r="E251" s="85"/>
      <c r="F251" s="85"/>
      <c r="G251" s="86"/>
      <c r="H251" s="87"/>
      <c r="I251" s="84"/>
      <c r="J251" s="84"/>
      <c r="K251" s="69"/>
      <c r="L251" s="67"/>
      <c r="M251" s="67"/>
      <c r="N251" s="67"/>
    </row>
    <row r="252">
      <c r="A252" s="67"/>
      <c r="B252" s="84"/>
      <c r="C252" s="84"/>
      <c r="D252" s="84"/>
      <c r="E252" s="85"/>
      <c r="F252" s="85"/>
      <c r="G252" s="86"/>
      <c r="H252" s="87"/>
      <c r="I252" s="84"/>
      <c r="J252" s="84"/>
      <c r="K252" s="69"/>
      <c r="L252" s="67"/>
      <c r="M252" s="67"/>
      <c r="N252" s="67"/>
    </row>
    <row r="253">
      <c r="A253" s="67"/>
      <c r="B253" s="84"/>
      <c r="C253" s="84"/>
      <c r="D253" s="84"/>
      <c r="E253" s="85"/>
      <c r="F253" s="85"/>
      <c r="G253" s="86"/>
      <c r="H253" s="87"/>
      <c r="I253" s="84"/>
      <c r="J253" s="84"/>
      <c r="K253" s="69"/>
      <c r="L253" s="67"/>
      <c r="M253" s="67"/>
      <c r="N253" s="67"/>
    </row>
    <row r="254">
      <c r="A254" s="67"/>
      <c r="B254" s="84"/>
      <c r="C254" s="84"/>
      <c r="D254" s="84"/>
      <c r="E254" s="85"/>
      <c r="F254" s="85"/>
      <c r="G254" s="86"/>
      <c r="H254" s="87"/>
      <c r="I254" s="84"/>
      <c r="J254" s="84"/>
      <c r="K254" s="69"/>
      <c r="L254" s="67"/>
      <c r="M254" s="67"/>
      <c r="N254" s="67"/>
    </row>
    <row r="255">
      <c r="A255" s="67"/>
      <c r="B255" s="84"/>
      <c r="C255" s="84"/>
      <c r="D255" s="84"/>
      <c r="E255" s="85"/>
      <c r="F255" s="85"/>
      <c r="G255" s="86"/>
      <c r="H255" s="87"/>
      <c r="I255" s="84"/>
      <c r="J255" s="84"/>
      <c r="K255" s="69"/>
      <c r="L255" s="67"/>
      <c r="M255" s="67"/>
      <c r="N255" s="67"/>
    </row>
    <row r="256">
      <c r="A256" s="67"/>
      <c r="B256" s="84"/>
      <c r="C256" s="84"/>
      <c r="D256" s="84"/>
      <c r="E256" s="85"/>
      <c r="F256" s="85"/>
      <c r="G256" s="86"/>
      <c r="H256" s="87"/>
      <c r="I256" s="84"/>
      <c r="J256" s="84"/>
      <c r="K256" s="69"/>
      <c r="L256" s="67"/>
      <c r="M256" s="67"/>
      <c r="N256" s="67"/>
    </row>
    <row r="257">
      <c r="A257" s="67"/>
      <c r="B257" s="84"/>
      <c r="C257" s="84"/>
      <c r="D257" s="84"/>
      <c r="E257" s="85"/>
      <c r="F257" s="85"/>
      <c r="G257" s="86"/>
      <c r="H257" s="87"/>
      <c r="I257" s="84"/>
      <c r="J257" s="84"/>
      <c r="K257" s="69"/>
      <c r="L257" s="67"/>
      <c r="M257" s="67"/>
      <c r="N257" s="67"/>
    </row>
    <row r="258">
      <c r="A258" s="67"/>
      <c r="B258" s="84"/>
      <c r="C258" s="84"/>
      <c r="D258" s="84"/>
      <c r="E258" s="85"/>
      <c r="F258" s="85"/>
      <c r="G258" s="86"/>
      <c r="H258" s="87"/>
      <c r="I258" s="84"/>
      <c r="J258" s="84"/>
      <c r="K258" s="69"/>
      <c r="L258" s="67"/>
      <c r="M258" s="67"/>
      <c r="N258" s="67"/>
    </row>
    <row r="259">
      <c r="A259" s="67"/>
      <c r="B259" s="84"/>
      <c r="C259" s="84"/>
      <c r="D259" s="84"/>
      <c r="E259" s="85"/>
      <c r="F259" s="85"/>
      <c r="G259" s="86"/>
      <c r="H259" s="87"/>
      <c r="I259" s="84"/>
      <c r="J259" s="84"/>
      <c r="K259" s="69"/>
      <c r="L259" s="67"/>
      <c r="M259" s="67"/>
      <c r="N259" s="67"/>
    </row>
    <row r="260">
      <c r="A260" s="67"/>
      <c r="B260" s="84"/>
      <c r="C260" s="84"/>
      <c r="D260" s="84"/>
      <c r="E260" s="85"/>
      <c r="F260" s="85"/>
      <c r="G260" s="86"/>
      <c r="H260" s="87"/>
      <c r="I260" s="84"/>
      <c r="J260" s="84"/>
      <c r="K260" s="69"/>
      <c r="L260" s="67"/>
      <c r="M260" s="67"/>
      <c r="N260" s="67"/>
    </row>
    <row r="261">
      <c r="A261" s="67"/>
      <c r="B261" s="84"/>
      <c r="C261" s="84"/>
      <c r="D261" s="84"/>
      <c r="E261" s="85"/>
      <c r="F261" s="85"/>
      <c r="G261" s="86"/>
      <c r="H261" s="87"/>
      <c r="I261" s="84"/>
      <c r="J261" s="84"/>
      <c r="K261" s="69"/>
      <c r="L261" s="67"/>
      <c r="M261" s="67"/>
      <c r="N261" s="67"/>
    </row>
    <row r="262">
      <c r="A262" s="67"/>
      <c r="B262" s="84"/>
      <c r="C262" s="84"/>
      <c r="D262" s="84"/>
      <c r="E262" s="85"/>
      <c r="F262" s="85"/>
      <c r="G262" s="86"/>
      <c r="H262" s="87"/>
      <c r="I262" s="84"/>
      <c r="J262" s="84"/>
      <c r="K262" s="69"/>
      <c r="L262" s="67"/>
      <c r="M262" s="67"/>
      <c r="N262" s="67"/>
    </row>
    <row r="263">
      <c r="A263" s="67"/>
      <c r="B263" s="84"/>
      <c r="C263" s="84"/>
      <c r="D263" s="84"/>
      <c r="E263" s="85"/>
      <c r="F263" s="85"/>
      <c r="G263" s="86"/>
      <c r="H263" s="87"/>
      <c r="I263" s="84"/>
      <c r="J263" s="84"/>
      <c r="K263" s="69"/>
      <c r="L263" s="67"/>
      <c r="M263" s="67"/>
      <c r="N263" s="67"/>
    </row>
    <row r="264">
      <c r="A264" s="67"/>
      <c r="B264" s="84"/>
      <c r="C264" s="84"/>
      <c r="D264" s="84"/>
      <c r="E264" s="85"/>
      <c r="F264" s="85"/>
      <c r="G264" s="86"/>
      <c r="H264" s="87"/>
      <c r="I264" s="84"/>
      <c r="J264" s="84"/>
      <c r="K264" s="69"/>
      <c r="L264" s="67"/>
      <c r="M264" s="67"/>
      <c r="N264" s="67"/>
    </row>
    <row r="265">
      <c r="A265" s="67"/>
      <c r="B265" s="84"/>
      <c r="C265" s="84"/>
      <c r="D265" s="84"/>
      <c r="E265" s="85"/>
      <c r="F265" s="85"/>
      <c r="G265" s="86"/>
      <c r="H265" s="87"/>
      <c r="I265" s="84"/>
      <c r="J265" s="84"/>
      <c r="K265" s="69"/>
      <c r="L265" s="67"/>
      <c r="M265" s="67"/>
      <c r="N265" s="67"/>
    </row>
    <row r="266">
      <c r="A266" s="67"/>
      <c r="B266" s="84"/>
      <c r="C266" s="84"/>
      <c r="D266" s="84"/>
      <c r="E266" s="85"/>
      <c r="F266" s="85"/>
      <c r="G266" s="86"/>
      <c r="H266" s="87"/>
      <c r="I266" s="84"/>
      <c r="J266" s="84"/>
      <c r="K266" s="69"/>
      <c r="L266" s="67"/>
      <c r="M266" s="67"/>
      <c r="N266" s="67"/>
    </row>
    <row r="267">
      <c r="A267" s="67"/>
      <c r="B267" s="84"/>
      <c r="C267" s="84"/>
      <c r="D267" s="84"/>
      <c r="E267" s="85"/>
      <c r="F267" s="85"/>
      <c r="G267" s="86"/>
      <c r="H267" s="87"/>
      <c r="I267" s="84"/>
      <c r="J267" s="84"/>
      <c r="K267" s="69"/>
      <c r="L267" s="67"/>
      <c r="M267" s="67"/>
      <c r="N267" s="67"/>
    </row>
    <row r="268">
      <c r="A268" s="67"/>
      <c r="B268" s="84"/>
      <c r="C268" s="84"/>
      <c r="D268" s="84"/>
      <c r="E268" s="85"/>
      <c r="F268" s="85"/>
      <c r="G268" s="86"/>
      <c r="H268" s="87"/>
      <c r="I268" s="84"/>
      <c r="J268" s="84"/>
      <c r="K268" s="69"/>
      <c r="L268" s="67"/>
      <c r="M268" s="67"/>
      <c r="N268" s="67"/>
    </row>
    <row r="269">
      <c r="A269" s="67"/>
      <c r="B269" s="84"/>
      <c r="C269" s="84"/>
      <c r="D269" s="84"/>
      <c r="E269" s="85"/>
      <c r="F269" s="85"/>
      <c r="G269" s="86"/>
      <c r="H269" s="87"/>
      <c r="I269" s="84"/>
      <c r="J269" s="84"/>
      <c r="K269" s="69"/>
      <c r="L269" s="67"/>
      <c r="M269" s="67"/>
      <c r="N269" s="67"/>
    </row>
    <row r="270">
      <c r="A270" s="67"/>
      <c r="B270" s="84"/>
      <c r="C270" s="84"/>
      <c r="D270" s="84"/>
      <c r="E270" s="85"/>
      <c r="F270" s="85"/>
      <c r="G270" s="86"/>
      <c r="H270" s="87"/>
      <c r="I270" s="84"/>
      <c r="J270" s="84"/>
      <c r="K270" s="69"/>
      <c r="L270" s="67"/>
      <c r="M270" s="67"/>
      <c r="N270" s="67"/>
    </row>
    <row r="271">
      <c r="A271" s="67"/>
      <c r="B271" s="84"/>
      <c r="C271" s="84"/>
      <c r="D271" s="84"/>
      <c r="E271" s="85"/>
      <c r="F271" s="85"/>
      <c r="G271" s="86"/>
      <c r="H271" s="87"/>
      <c r="I271" s="84"/>
      <c r="J271" s="84"/>
      <c r="K271" s="69"/>
      <c r="L271" s="67"/>
      <c r="M271" s="67"/>
      <c r="N271" s="67"/>
    </row>
    <row r="272">
      <c r="A272" s="67"/>
      <c r="B272" s="84"/>
      <c r="C272" s="84"/>
      <c r="D272" s="84"/>
      <c r="E272" s="85"/>
      <c r="F272" s="85"/>
      <c r="G272" s="86"/>
      <c r="H272" s="87"/>
      <c r="I272" s="84"/>
      <c r="J272" s="84"/>
      <c r="K272" s="69"/>
      <c r="L272" s="67"/>
      <c r="M272" s="67"/>
      <c r="N272" s="67"/>
    </row>
    <row r="273">
      <c r="A273" s="67"/>
      <c r="B273" s="84"/>
      <c r="C273" s="84"/>
      <c r="D273" s="84"/>
      <c r="E273" s="85"/>
      <c r="F273" s="85"/>
      <c r="G273" s="86"/>
      <c r="H273" s="87"/>
      <c r="I273" s="84"/>
      <c r="J273" s="84"/>
      <c r="K273" s="69"/>
      <c r="L273" s="67"/>
      <c r="M273" s="67"/>
      <c r="N273" s="67"/>
    </row>
    <row r="274">
      <c r="A274" s="67"/>
      <c r="B274" s="84"/>
      <c r="C274" s="84"/>
      <c r="D274" s="84"/>
      <c r="E274" s="85"/>
      <c r="F274" s="85"/>
      <c r="G274" s="86"/>
      <c r="H274" s="87"/>
      <c r="I274" s="84"/>
      <c r="J274" s="84"/>
      <c r="K274" s="69"/>
      <c r="L274" s="67"/>
      <c r="M274" s="67"/>
      <c r="N274" s="67"/>
    </row>
    <row r="275">
      <c r="A275" s="67"/>
      <c r="B275" s="84"/>
      <c r="C275" s="84"/>
      <c r="D275" s="84"/>
      <c r="E275" s="85"/>
      <c r="F275" s="85"/>
      <c r="G275" s="86"/>
      <c r="H275" s="87"/>
      <c r="I275" s="84"/>
      <c r="J275" s="84"/>
      <c r="K275" s="69"/>
      <c r="L275" s="67"/>
      <c r="M275" s="67"/>
      <c r="N275" s="67"/>
    </row>
    <row r="276">
      <c r="A276" s="67"/>
      <c r="B276" s="84"/>
      <c r="C276" s="84"/>
      <c r="D276" s="84"/>
      <c r="E276" s="85"/>
      <c r="F276" s="85"/>
      <c r="G276" s="86"/>
      <c r="H276" s="87"/>
      <c r="I276" s="84"/>
      <c r="J276" s="84"/>
      <c r="K276" s="69"/>
      <c r="L276" s="67"/>
      <c r="M276" s="67"/>
      <c r="N276" s="67"/>
    </row>
    <row r="277">
      <c r="A277" s="67"/>
      <c r="B277" s="84"/>
      <c r="C277" s="84"/>
      <c r="D277" s="84"/>
      <c r="E277" s="85"/>
      <c r="F277" s="85"/>
      <c r="G277" s="86"/>
      <c r="H277" s="87"/>
      <c r="I277" s="84"/>
      <c r="J277" s="84"/>
      <c r="K277" s="69"/>
      <c r="L277" s="67"/>
      <c r="M277" s="67"/>
      <c r="N277" s="67"/>
    </row>
    <row r="278">
      <c r="A278" s="67"/>
      <c r="B278" s="84"/>
      <c r="C278" s="84"/>
      <c r="D278" s="84"/>
      <c r="E278" s="85"/>
      <c r="F278" s="85"/>
      <c r="G278" s="86"/>
      <c r="H278" s="87"/>
      <c r="I278" s="84"/>
      <c r="J278" s="84"/>
      <c r="K278" s="69"/>
      <c r="L278" s="67"/>
      <c r="M278" s="67"/>
      <c r="N278" s="67"/>
    </row>
    <row r="279">
      <c r="A279" s="67"/>
      <c r="B279" s="84"/>
      <c r="C279" s="84"/>
      <c r="D279" s="84"/>
      <c r="E279" s="85"/>
      <c r="F279" s="85"/>
      <c r="G279" s="86"/>
      <c r="H279" s="87"/>
      <c r="I279" s="84"/>
      <c r="J279" s="84"/>
      <c r="K279" s="69"/>
      <c r="L279" s="67"/>
      <c r="M279" s="67"/>
      <c r="N279" s="67"/>
    </row>
    <row r="280">
      <c r="A280" s="67"/>
      <c r="B280" s="84"/>
      <c r="C280" s="84"/>
      <c r="D280" s="84"/>
      <c r="E280" s="85"/>
      <c r="F280" s="85"/>
      <c r="G280" s="86"/>
      <c r="H280" s="87"/>
      <c r="I280" s="84"/>
      <c r="J280" s="84"/>
      <c r="K280" s="69"/>
      <c r="L280" s="67"/>
      <c r="M280" s="67"/>
      <c r="N280" s="67"/>
    </row>
    <row r="281">
      <c r="A281" s="67"/>
      <c r="B281" s="84"/>
      <c r="C281" s="84"/>
      <c r="D281" s="84"/>
      <c r="E281" s="85"/>
      <c r="F281" s="85"/>
      <c r="G281" s="86"/>
      <c r="H281" s="87"/>
      <c r="I281" s="84"/>
      <c r="J281" s="84"/>
      <c r="K281" s="69"/>
      <c r="L281" s="67"/>
      <c r="M281" s="67"/>
      <c r="N281" s="67"/>
    </row>
    <row r="282">
      <c r="A282" s="67"/>
      <c r="B282" s="84"/>
      <c r="C282" s="84"/>
      <c r="D282" s="84"/>
      <c r="E282" s="85"/>
      <c r="F282" s="85"/>
      <c r="G282" s="86"/>
      <c r="H282" s="87"/>
      <c r="I282" s="84"/>
      <c r="J282" s="84"/>
      <c r="K282" s="69"/>
      <c r="L282" s="67"/>
      <c r="M282" s="67"/>
      <c r="N282" s="67"/>
    </row>
    <row r="283">
      <c r="A283" s="67"/>
      <c r="B283" s="84"/>
      <c r="C283" s="84"/>
      <c r="D283" s="84"/>
      <c r="E283" s="85"/>
      <c r="F283" s="85"/>
      <c r="G283" s="86"/>
      <c r="H283" s="87"/>
      <c r="I283" s="84"/>
      <c r="J283" s="84"/>
      <c r="K283" s="69"/>
      <c r="L283" s="67"/>
      <c r="M283" s="67"/>
      <c r="N283" s="67"/>
    </row>
    <row r="284">
      <c r="A284" s="67"/>
      <c r="B284" s="84"/>
      <c r="C284" s="84"/>
      <c r="D284" s="84"/>
      <c r="E284" s="85"/>
      <c r="F284" s="85"/>
      <c r="G284" s="86"/>
      <c r="H284" s="87"/>
      <c r="I284" s="84"/>
      <c r="J284" s="84"/>
      <c r="K284" s="69"/>
      <c r="L284" s="67"/>
      <c r="M284" s="67"/>
      <c r="N284" s="67"/>
    </row>
    <row r="285">
      <c r="A285" s="67"/>
      <c r="B285" s="84"/>
      <c r="C285" s="84"/>
      <c r="D285" s="84"/>
      <c r="E285" s="85"/>
      <c r="F285" s="85"/>
      <c r="G285" s="86"/>
      <c r="H285" s="87"/>
      <c r="I285" s="84"/>
      <c r="J285" s="84"/>
      <c r="K285" s="69"/>
      <c r="L285" s="67"/>
      <c r="M285" s="67"/>
      <c r="N285" s="67"/>
    </row>
    <row r="286">
      <c r="A286" s="67"/>
      <c r="B286" s="84"/>
      <c r="C286" s="84"/>
      <c r="D286" s="84"/>
      <c r="E286" s="85"/>
      <c r="F286" s="85"/>
      <c r="G286" s="86"/>
      <c r="H286" s="87"/>
      <c r="I286" s="84"/>
      <c r="J286" s="84"/>
      <c r="K286" s="69"/>
      <c r="L286" s="67"/>
      <c r="M286" s="67"/>
      <c r="N286" s="67"/>
    </row>
    <row r="287">
      <c r="A287" s="67"/>
      <c r="B287" s="84"/>
      <c r="C287" s="84"/>
      <c r="D287" s="84"/>
      <c r="E287" s="85"/>
      <c r="F287" s="85"/>
      <c r="G287" s="86"/>
      <c r="H287" s="87"/>
      <c r="I287" s="84"/>
      <c r="J287" s="84"/>
      <c r="K287" s="69"/>
      <c r="L287" s="67"/>
      <c r="M287" s="67"/>
      <c r="N287" s="67"/>
    </row>
    <row r="288">
      <c r="A288" s="67"/>
      <c r="B288" s="84"/>
      <c r="C288" s="84"/>
      <c r="D288" s="84"/>
      <c r="E288" s="85"/>
      <c r="F288" s="85"/>
      <c r="G288" s="86"/>
      <c r="H288" s="87"/>
      <c r="I288" s="84"/>
      <c r="J288" s="84"/>
      <c r="K288" s="69"/>
      <c r="L288" s="67"/>
      <c r="M288" s="67"/>
      <c r="N288" s="67"/>
    </row>
    <row r="289">
      <c r="A289" s="67"/>
      <c r="B289" s="84"/>
      <c r="C289" s="84"/>
      <c r="D289" s="84"/>
      <c r="E289" s="85"/>
      <c r="F289" s="85"/>
      <c r="G289" s="86"/>
      <c r="H289" s="87"/>
      <c r="I289" s="84"/>
      <c r="J289" s="84"/>
      <c r="K289" s="69"/>
      <c r="L289" s="67"/>
      <c r="M289" s="67"/>
      <c r="N289" s="67"/>
    </row>
    <row r="290">
      <c r="A290" s="67"/>
      <c r="B290" s="84"/>
      <c r="C290" s="84"/>
      <c r="D290" s="84"/>
      <c r="E290" s="85"/>
      <c r="F290" s="85"/>
      <c r="G290" s="86"/>
      <c r="H290" s="87"/>
      <c r="I290" s="84"/>
      <c r="J290" s="84"/>
      <c r="K290" s="69"/>
      <c r="L290" s="67"/>
      <c r="M290" s="67"/>
      <c r="N290" s="67"/>
    </row>
    <row r="291">
      <c r="A291" s="67"/>
      <c r="B291" s="84"/>
      <c r="C291" s="84"/>
      <c r="D291" s="84"/>
      <c r="E291" s="85"/>
      <c r="F291" s="85"/>
      <c r="G291" s="86"/>
      <c r="H291" s="87"/>
      <c r="I291" s="84"/>
      <c r="J291" s="84"/>
      <c r="K291" s="69"/>
      <c r="L291" s="67"/>
      <c r="M291" s="67"/>
      <c r="N291" s="67"/>
    </row>
    <row r="292">
      <c r="A292" s="67"/>
      <c r="B292" s="84"/>
      <c r="C292" s="84"/>
      <c r="D292" s="84"/>
      <c r="E292" s="85"/>
      <c r="F292" s="85"/>
      <c r="G292" s="86"/>
      <c r="H292" s="87"/>
      <c r="I292" s="84"/>
      <c r="J292" s="84"/>
      <c r="K292" s="69"/>
      <c r="L292" s="67"/>
      <c r="M292" s="67"/>
      <c r="N292" s="67"/>
    </row>
    <row r="293">
      <c r="A293" s="67"/>
      <c r="B293" s="84"/>
      <c r="C293" s="84"/>
      <c r="D293" s="84"/>
      <c r="E293" s="85"/>
      <c r="F293" s="85"/>
      <c r="G293" s="86"/>
      <c r="H293" s="87"/>
      <c r="I293" s="84"/>
      <c r="J293" s="84"/>
      <c r="K293" s="69"/>
      <c r="L293" s="67"/>
      <c r="M293" s="67"/>
      <c r="N293" s="67"/>
    </row>
    <row r="294">
      <c r="A294" s="67"/>
      <c r="B294" s="84"/>
      <c r="C294" s="84"/>
      <c r="D294" s="84"/>
      <c r="E294" s="85"/>
      <c r="F294" s="85"/>
      <c r="G294" s="86"/>
      <c r="H294" s="87"/>
      <c r="I294" s="84"/>
      <c r="J294" s="84"/>
      <c r="K294" s="69"/>
      <c r="L294" s="67"/>
      <c r="M294" s="67"/>
      <c r="N294" s="67"/>
    </row>
    <row r="295">
      <c r="A295" s="67"/>
      <c r="B295" s="84"/>
      <c r="C295" s="84"/>
      <c r="D295" s="84"/>
      <c r="E295" s="85"/>
      <c r="F295" s="85"/>
      <c r="G295" s="86"/>
      <c r="H295" s="87"/>
      <c r="I295" s="84"/>
      <c r="J295" s="84"/>
      <c r="K295" s="69"/>
      <c r="L295" s="67"/>
      <c r="M295" s="67"/>
      <c r="N295" s="67"/>
    </row>
    <row r="296">
      <c r="A296" s="67"/>
      <c r="B296" s="84"/>
      <c r="C296" s="84"/>
      <c r="D296" s="84"/>
      <c r="E296" s="85"/>
      <c r="F296" s="85"/>
      <c r="G296" s="86"/>
      <c r="H296" s="87"/>
      <c r="I296" s="84"/>
      <c r="J296" s="84"/>
      <c r="K296" s="69"/>
      <c r="L296" s="67"/>
      <c r="M296" s="67"/>
      <c r="N296" s="67"/>
    </row>
    <row r="297">
      <c r="A297" s="67"/>
      <c r="B297" s="84"/>
      <c r="C297" s="84"/>
      <c r="D297" s="84"/>
      <c r="E297" s="85"/>
      <c r="F297" s="85"/>
      <c r="G297" s="86"/>
      <c r="H297" s="87"/>
      <c r="I297" s="84"/>
      <c r="J297" s="84"/>
      <c r="K297" s="69"/>
      <c r="L297" s="67"/>
      <c r="M297" s="67"/>
      <c r="N297" s="67"/>
    </row>
    <row r="298">
      <c r="A298" s="67"/>
      <c r="B298" s="84"/>
      <c r="C298" s="84"/>
      <c r="D298" s="84"/>
      <c r="E298" s="85"/>
      <c r="F298" s="85"/>
      <c r="G298" s="86"/>
      <c r="H298" s="87"/>
      <c r="I298" s="84"/>
      <c r="J298" s="84"/>
      <c r="K298" s="69"/>
      <c r="L298" s="67"/>
      <c r="M298" s="67"/>
      <c r="N298" s="67"/>
    </row>
    <row r="299">
      <c r="A299" s="67"/>
      <c r="B299" s="84"/>
      <c r="C299" s="84"/>
      <c r="D299" s="84"/>
      <c r="E299" s="85"/>
      <c r="F299" s="85"/>
      <c r="G299" s="86"/>
      <c r="H299" s="87"/>
      <c r="I299" s="84"/>
      <c r="J299" s="84"/>
      <c r="K299" s="69"/>
      <c r="L299" s="67"/>
      <c r="M299" s="67"/>
      <c r="N299" s="67"/>
    </row>
    <row r="300">
      <c r="A300" s="67"/>
      <c r="B300" s="84"/>
      <c r="C300" s="84"/>
      <c r="D300" s="84"/>
      <c r="E300" s="85"/>
      <c r="F300" s="85"/>
      <c r="G300" s="86"/>
      <c r="H300" s="87"/>
      <c r="I300" s="84"/>
      <c r="J300" s="84"/>
      <c r="K300" s="69"/>
      <c r="L300" s="67"/>
      <c r="M300" s="67"/>
      <c r="N300" s="67"/>
    </row>
    <row r="301">
      <c r="A301" s="67"/>
      <c r="B301" s="84"/>
      <c r="C301" s="84"/>
      <c r="D301" s="84"/>
      <c r="E301" s="85"/>
      <c r="F301" s="85"/>
      <c r="G301" s="86"/>
      <c r="H301" s="87"/>
      <c r="I301" s="84"/>
      <c r="J301" s="84"/>
      <c r="K301" s="69"/>
      <c r="L301" s="67"/>
      <c r="M301" s="67"/>
      <c r="N301" s="67"/>
    </row>
    <row r="302">
      <c r="A302" s="67"/>
      <c r="B302" s="84"/>
      <c r="C302" s="84"/>
      <c r="D302" s="84"/>
      <c r="E302" s="85"/>
      <c r="F302" s="85"/>
      <c r="G302" s="86"/>
      <c r="H302" s="87"/>
      <c r="I302" s="84"/>
      <c r="J302" s="84"/>
      <c r="K302" s="69"/>
      <c r="L302" s="67"/>
      <c r="M302" s="67"/>
      <c r="N302" s="67"/>
    </row>
    <row r="303">
      <c r="A303" s="67"/>
      <c r="B303" s="84"/>
      <c r="C303" s="84"/>
      <c r="D303" s="84"/>
      <c r="E303" s="85"/>
      <c r="F303" s="85"/>
      <c r="G303" s="86"/>
      <c r="H303" s="87"/>
      <c r="I303" s="84"/>
      <c r="J303" s="84"/>
      <c r="K303" s="69"/>
      <c r="L303" s="67"/>
      <c r="M303" s="67"/>
      <c r="N303" s="67"/>
    </row>
    <row r="304">
      <c r="A304" s="67"/>
      <c r="B304" s="84"/>
      <c r="C304" s="84"/>
      <c r="D304" s="84"/>
      <c r="E304" s="85"/>
      <c r="F304" s="85"/>
      <c r="G304" s="86"/>
      <c r="H304" s="87"/>
      <c r="I304" s="84"/>
      <c r="J304" s="84"/>
      <c r="K304" s="69"/>
      <c r="L304" s="67"/>
      <c r="M304" s="67"/>
      <c r="N304" s="67"/>
    </row>
    <row r="305">
      <c r="A305" s="67"/>
      <c r="B305" s="84"/>
      <c r="C305" s="84"/>
      <c r="D305" s="84"/>
      <c r="E305" s="85"/>
      <c r="F305" s="85"/>
      <c r="G305" s="86"/>
      <c r="H305" s="87"/>
      <c r="I305" s="84"/>
      <c r="J305" s="84"/>
      <c r="K305" s="69"/>
      <c r="L305" s="67"/>
      <c r="M305" s="67"/>
      <c r="N305" s="67"/>
    </row>
    <row r="306">
      <c r="A306" s="67"/>
      <c r="B306" s="84"/>
      <c r="C306" s="84"/>
      <c r="D306" s="84"/>
      <c r="E306" s="85"/>
      <c r="F306" s="85"/>
      <c r="G306" s="86"/>
      <c r="H306" s="87"/>
      <c r="I306" s="84"/>
      <c r="J306" s="84"/>
      <c r="K306" s="69"/>
      <c r="L306" s="67"/>
      <c r="M306" s="67"/>
      <c r="N306" s="67"/>
    </row>
    <row r="307">
      <c r="A307" s="67"/>
      <c r="B307" s="84"/>
      <c r="C307" s="84"/>
      <c r="D307" s="84"/>
      <c r="E307" s="85"/>
      <c r="F307" s="85"/>
      <c r="G307" s="86"/>
      <c r="H307" s="87"/>
      <c r="I307" s="84"/>
      <c r="J307" s="84"/>
      <c r="K307" s="69"/>
      <c r="L307" s="67"/>
      <c r="M307" s="67"/>
      <c r="N307" s="67"/>
    </row>
    <row r="308">
      <c r="A308" s="67"/>
      <c r="B308" s="84"/>
      <c r="C308" s="84"/>
      <c r="D308" s="84"/>
      <c r="E308" s="85"/>
      <c r="F308" s="85"/>
      <c r="G308" s="86"/>
      <c r="H308" s="87"/>
      <c r="I308" s="84"/>
      <c r="J308" s="84"/>
      <c r="K308" s="69"/>
      <c r="L308" s="67"/>
      <c r="M308" s="67"/>
      <c r="N308" s="67"/>
    </row>
    <row r="309">
      <c r="A309" s="67"/>
      <c r="B309" s="84"/>
      <c r="C309" s="84"/>
      <c r="D309" s="84"/>
      <c r="E309" s="85"/>
      <c r="F309" s="85"/>
      <c r="G309" s="86"/>
      <c r="H309" s="87"/>
      <c r="I309" s="84"/>
      <c r="J309" s="84"/>
      <c r="K309" s="69"/>
      <c r="L309" s="67"/>
      <c r="M309" s="67"/>
      <c r="N309" s="67"/>
    </row>
    <row r="310">
      <c r="A310" s="67"/>
      <c r="B310" s="84"/>
      <c r="C310" s="84"/>
      <c r="D310" s="84"/>
      <c r="E310" s="85"/>
      <c r="F310" s="85"/>
      <c r="G310" s="86"/>
      <c r="H310" s="87"/>
      <c r="I310" s="84"/>
      <c r="J310" s="84"/>
      <c r="K310" s="69"/>
      <c r="L310" s="67"/>
      <c r="M310" s="67"/>
      <c r="N310" s="67"/>
    </row>
    <row r="311">
      <c r="A311" s="67"/>
      <c r="B311" s="84"/>
      <c r="C311" s="84"/>
      <c r="D311" s="84"/>
      <c r="E311" s="85"/>
      <c r="F311" s="85"/>
      <c r="G311" s="86"/>
      <c r="H311" s="87"/>
      <c r="I311" s="84"/>
      <c r="J311" s="84"/>
      <c r="K311" s="69"/>
      <c r="L311" s="67"/>
      <c r="M311" s="67"/>
      <c r="N311" s="67"/>
    </row>
    <row r="312">
      <c r="A312" s="67"/>
      <c r="B312" s="84"/>
      <c r="C312" s="84"/>
      <c r="D312" s="84"/>
      <c r="E312" s="85"/>
      <c r="F312" s="85"/>
      <c r="G312" s="86"/>
      <c r="H312" s="87"/>
      <c r="I312" s="84"/>
      <c r="J312" s="84"/>
      <c r="K312" s="69"/>
      <c r="L312" s="67"/>
      <c r="M312" s="67"/>
      <c r="N312" s="67"/>
    </row>
    <row r="313">
      <c r="A313" s="67"/>
      <c r="B313" s="84"/>
      <c r="C313" s="84"/>
      <c r="D313" s="84"/>
      <c r="E313" s="85"/>
      <c r="F313" s="85"/>
      <c r="G313" s="86"/>
      <c r="H313" s="87"/>
      <c r="I313" s="84"/>
      <c r="J313" s="84"/>
      <c r="K313" s="69"/>
      <c r="L313" s="67"/>
      <c r="M313" s="67"/>
      <c r="N313" s="67"/>
    </row>
    <row r="314">
      <c r="A314" s="67"/>
      <c r="B314" s="84"/>
      <c r="C314" s="84"/>
      <c r="D314" s="84"/>
      <c r="E314" s="85"/>
      <c r="F314" s="85"/>
      <c r="G314" s="86"/>
      <c r="H314" s="87"/>
      <c r="I314" s="84"/>
      <c r="J314" s="84"/>
      <c r="K314" s="69"/>
      <c r="L314" s="67"/>
      <c r="M314" s="67"/>
      <c r="N314" s="67"/>
    </row>
    <row r="315">
      <c r="A315" s="67"/>
      <c r="B315" s="84"/>
      <c r="C315" s="84"/>
      <c r="D315" s="84"/>
      <c r="E315" s="85"/>
      <c r="F315" s="85"/>
      <c r="G315" s="86"/>
      <c r="H315" s="87"/>
      <c r="I315" s="84"/>
      <c r="J315" s="84"/>
      <c r="K315" s="69"/>
      <c r="L315" s="67"/>
      <c r="M315" s="67"/>
      <c r="N315" s="67"/>
    </row>
    <row r="316">
      <c r="A316" s="67"/>
      <c r="B316" s="84"/>
      <c r="C316" s="84"/>
      <c r="D316" s="84"/>
      <c r="E316" s="85"/>
      <c r="F316" s="85"/>
      <c r="G316" s="86"/>
      <c r="H316" s="87"/>
      <c r="I316" s="84"/>
      <c r="J316" s="84"/>
      <c r="K316" s="69"/>
      <c r="L316" s="67"/>
      <c r="M316" s="67"/>
      <c r="N316" s="67"/>
    </row>
    <row r="317">
      <c r="A317" s="67"/>
      <c r="B317" s="84"/>
      <c r="C317" s="84"/>
      <c r="D317" s="84"/>
      <c r="E317" s="85"/>
      <c r="F317" s="85"/>
      <c r="G317" s="86"/>
      <c r="H317" s="87"/>
      <c r="I317" s="84"/>
      <c r="J317" s="84"/>
      <c r="K317" s="69"/>
      <c r="L317" s="67"/>
      <c r="M317" s="67"/>
      <c r="N317" s="67"/>
    </row>
    <row r="318">
      <c r="A318" s="67"/>
      <c r="B318" s="84"/>
      <c r="C318" s="84"/>
      <c r="D318" s="84"/>
      <c r="E318" s="85"/>
      <c r="F318" s="85"/>
      <c r="G318" s="86"/>
      <c r="H318" s="87"/>
      <c r="I318" s="84"/>
      <c r="J318" s="84"/>
      <c r="K318" s="69"/>
      <c r="L318" s="67"/>
      <c r="M318" s="67"/>
      <c r="N318" s="67"/>
    </row>
    <row r="319">
      <c r="A319" s="67"/>
      <c r="B319" s="84"/>
      <c r="C319" s="84"/>
      <c r="D319" s="84"/>
      <c r="E319" s="85"/>
      <c r="F319" s="85"/>
      <c r="G319" s="86"/>
      <c r="H319" s="87"/>
      <c r="I319" s="84"/>
      <c r="J319" s="84"/>
      <c r="K319" s="69"/>
      <c r="L319" s="67"/>
      <c r="M319" s="67"/>
      <c r="N319" s="67"/>
    </row>
    <row r="320">
      <c r="A320" s="67"/>
      <c r="B320" s="84"/>
      <c r="C320" s="84"/>
      <c r="D320" s="84"/>
      <c r="E320" s="85"/>
      <c r="F320" s="85"/>
      <c r="G320" s="86"/>
      <c r="H320" s="87"/>
      <c r="I320" s="84"/>
      <c r="J320" s="84"/>
      <c r="K320" s="69"/>
      <c r="L320" s="67"/>
      <c r="M320" s="67"/>
      <c r="N320" s="67"/>
    </row>
    <row r="321">
      <c r="A321" s="67"/>
      <c r="B321" s="84"/>
      <c r="C321" s="84"/>
      <c r="D321" s="84"/>
      <c r="E321" s="85"/>
      <c r="F321" s="85"/>
      <c r="G321" s="86"/>
      <c r="H321" s="87"/>
      <c r="I321" s="84"/>
      <c r="J321" s="84"/>
      <c r="K321" s="69"/>
      <c r="L321" s="67"/>
      <c r="M321" s="67"/>
      <c r="N321" s="67"/>
    </row>
    <row r="322">
      <c r="A322" s="67"/>
      <c r="B322" s="84"/>
      <c r="C322" s="84"/>
      <c r="D322" s="84"/>
      <c r="E322" s="85"/>
      <c r="F322" s="85"/>
      <c r="G322" s="86"/>
      <c r="H322" s="87"/>
      <c r="I322" s="84"/>
      <c r="J322" s="84"/>
      <c r="K322" s="69"/>
      <c r="L322" s="67"/>
      <c r="M322" s="67"/>
      <c r="N322" s="67"/>
    </row>
    <row r="323">
      <c r="A323" s="67"/>
      <c r="B323" s="84"/>
      <c r="C323" s="84"/>
      <c r="D323" s="84"/>
      <c r="E323" s="85"/>
      <c r="F323" s="85"/>
      <c r="G323" s="86"/>
      <c r="H323" s="87"/>
      <c r="I323" s="84"/>
      <c r="J323" s="84"/>
      <c r="K323" s="69"/>
      <c r="L323" s="67"/>
      <c r="M323" s="67"/>
      <c r="N323" s="67"/>
    </row>
    <row r="324">
      <c r="A324" s="67"/>
      <c r="B324" s="84"/>
      <c r="C324" s="84"/>
      <c r="D324" s="84"/>
      <c r="E324" s="85"/>
      <c r="F324" s="85"/>
      <c r="G324" s="86"/>
      <c r="H324" s="87"/>
      <c r="I324" s="84"/>
      <c r="J324" s="84"/>
      <c r="K324" s="69"/>
      <c r="L324" s="67"/>
      <c r="M324" s="67"/>
      <c r="N324" s="67"/>
    </row>
    <row r="325">
      <c r="A325" s="67"/>
      <c r="B325" s="84"/>
      <c r="C325" s="84"/>
      <c r="D325" s="84"/>
      <c r="E325" s="85"/>
      <c r="F325" s="85"/>
      <c r="G325" s="86"/>
      <c r="H325" s="87"/>
      <c r="I325" s="84"/>
      <c r="J325" s="84"/>
      <c r="K325" s="69"/>
      <c r="L325" s="67"/>
      <c r="M325" s="67"/>
      <c r="N325" s="67"/>
    </row>
    <row r="326">
      <c r="A326" s="67"/>
      <c r="B326" s="84"/>
      <c r="C326" s="84"/>
      <c r="D326" s="84"/>
      <c r="E326" s="85"/>
      <c r="F326" s="85"/>
      <c r="G326" s="86"/>
      <c r="H326" s="87"/>
      <c r="I326" s="84"/>
      <c r="J326" s="84"/>
      <c r="K326" s="69"/>
      <c r="L326" s="67"/>
      <c r="M326" s="67"/>
      <c r="N326" s="67"/>
    </row>
    <row r="327">
      <c r="A327" s="67"/>
      <c r="B327" s="84"/>
      <c r="C327" s="84"/>
      <c r="D327" s="84"/>
      <c r="E327" s="85"/>
      <c r="F327" s="85"/>
      <c r="G327" s="86"/>
      <c r="H327" s="87"/>
      <c r="I327" s="84"/>
      <c r="J327" s="84"/>
      <c r="K327" s="69"/>
      <c r="L327" s="67"/>
      <c r="M327" s="67"/>
      <c r="N327" s="67"/>
    </row>
    <row r="328">
      <c r="A328" s="67"/>
      <c r="B328" s="84"/>
      <c r="C328" s="84"/>
      <c r="D328" s="84"/>
      <c r="E328" s="85"/>
      <c r="F328" s="85"/>
      <c r="G328" s="86"/>
      <c r="H328" s="87"/>
      <c r="I328" s="84"/>
      <c r="J328" s="84"/>
      <c r="K328" s="69"/>
      <c r="L328" s="67"/>
      <c r="M328" s="67"/>
      <c r="N328" s="67"/>
    </row>
    <row r="329">
      <c r="A329" s="67"/>
      <c r="B329" s="84"/>
      <c r="C329" s="84"/>
      <c r="D329" s="84"/>
      <c r="E329" s="85"/>
      <c r="F329" s="85"/>
      <c r="G329" s="86"/>
      <c r="H329" s="87"/>
      <c r="I329" s="84"/>
      <c r="J329" s="84"/>
      <c r="K329" s="69"/>
      <c r="L329" s="67"/>
      <c r="M329" s="67"/>
      <c r="N329" s="67"/>
    </row>
    <row r="330">
      <c r="A330" s="67"/>
      <c r="B330" s="84"/>
      <c r="C330" s="84"/>
      <c r="D330" s="84"/>
      <c r="E330" s="85"/>
      <c r="F330" s="85"/>
      <c r="G330" s="86"/>
      <c r="H330" s="87"/>
      <c r="I330" s="84"/>
      <c r="J330" s="84"/>
      <c r="K330" s="69"/>
      <c r="L330" s="67"/>
      <c r="M330" s="67"/>
      <c r="N330" s="67"/>
    </row>
    <row r="331">
      <c r="A331" s="67"/>
      <c r="B331" s="84"/>
      <c r="C331" s="84"/>
      <c r="D331" s="84"/>
      <c r="E331" s="85"/>
      <c r="F331" s="85"/>
      <c r="G331" s="86"/>
      <c r="H331" s="87"/>
      <c r="I331" s="84"/>
      <c r="J331" s="84"/>
      <c r="K331" s="69"/>
      <c r="L331" s="67"/>
      <c r="M331" s="67"/>
      <c r="N331" s="67"/>
    </row>
    <row r="332">
      <c r="A332" s="67"/>
      <c r="B332" s="84"/>
      <c r="C332" s="84"/>
      <c r="D332" s="84"/>
      <c r="E332" s="85"/>
      <c r="F332" s="85"/>
      <c r="G332" s="86"/>
      <c r="H332" s="87"/>
      <c r="I332" s="84"/>
      <c r="J332" s="84"/>
      <c r="K332" s="69"/>
      <c r="L332" s="67"/>
      <c r="M332" s="67"/>
      <c r="N332" s="67"/>
    </row>
    <row r="333">
      <c r="A333" s="67"/>
      <c r="B333" s="84"/>
      <c r="C333" s="84"/>
      <c r="D333" s="84"/>
      <c r="E333" s="85"/>
      <c r="F333" s="85"/>
      <c r="G333" s="86"/>
      <c r="H333" s="87"/>
      <c r="I333" s="84"/>
      <c r="J333" s="84"/>
      <c r="K333" s="69"/>
      <c r="L333" s="67"/>
      <c r="M333" s="67"/>
      <c r="N333" s="67"/>
    </row>
    <row r="334">
      <c r="A334" s="67"/>
      <c r="B334" s="84"/>
      <c r="C334" s="84"/>
      <c r="D334" s="84"/>
      <c r="E334" s="85"/>
      <c r="F334" s="85"/>
      <c r="G334" s="86"/>
      <c r="H334" s="87"/>
      <c r="I334" s="84"/>
      <c r="J334" s="84"/>
      <c r="K334" s="69"/>
      <c r="L334" s="67"/>
      <c r="M334" s="67"/>
      <c r="N334" s="67"/>
    </row>
    <row r="335">
      <c r="A335" s="67"/>
      <c r="B335" s="84"/>
      <c r="C335" s="84"/>
      <c r="D335" s="84"/>
      <c r="E335" s="85"/>
      <c r="F335" s="85"/>
      <c r="G335" s="86"/>
      <c r="H335" s="87"/>
      <c r="I335" s="84"/>
      <c r="J335" s="84"/>
      <c r="K335" s="69"/>
      <c r="L335" s="67"/>
      <c r="M335" s="67"/>
      <c r="N335" s="67"/>
    </row>
    <row r="336">
      <c r="A336" s="67"/>
      <c r="B336" s="84"/>
      <c r="C336" s="84"/>
      <c r="D336" s="84"/>
      <c r="E336" s="85"/>
      <c r="F336" s="85"/>
      <c r="G336" s="86"/>
      <c r="H336" s="87"/>
      <c r="I336" s="84"/>
      <c r="J336" s="84"/>
      <c r="K336" s="69"/>
      <c r="L336" s="67"/>
      <c r="M336" s="67"/>
      <c r="N336" s="67"/>
    </row>
    <row r="337">
      <c r="A337" s="67"/>
      <c r="B337" s="84"/>
      <c r="C337" s="84"/>
      <c r="D337" s="84"/>
      <c r="E337" s="85"/>
      <c r="F337" s="85"/>
      <c r="G337" s="86"/>
      <c r="H337" s="87"/>
      <c r="I337" s="84"/>
      <c r="J337" s="84"/>
      <c r="K337" s="69"/>
      <c r="L337" s="67"/>
      <c r="M337" s="67"/>
      <c r="N337" s="67"/>
    </row>
    <row r="338">
      <c r="A338" s="67"/>
      <c r="B338" s="84"/>
      <c r="C338" s="84"/>
      <c r="D338" s="84"/>
      <c r="E338" s="85"/>
      <c r="F338" s="85"/>
      <c r="G338" s="86"/>
      <c r="H338" s="87"/>
      <c r="I338" s="84"/>
      <c r="J338" s="84"/>
      <c r="K338" s="69"/>
      <c r="L338" s="67"/>
      <c r="M338" s="67"/>
      <c r="N338" s="67"/>
    </row>
    <row r="339">
      <c r="A339" s="67"/>
      <c r="B339" s="84"/>
      <c r="C339" s="84"/>
      <c r="D339" s="84"/>
      <c r="E339" s="85"/>
      <c r="F339" s="85"/>
      <c r="G339" s="86"/>
      <c r="H339" s="87"/>
      <c r="I339" s="84"/>
      <c r="J339" s="84"/>
      <c r="K339" s="69"/>
      <c r="L339" s="67"/>
      <c r="M339" s="67"/>
      <c r="N339" s="67"/>
    </row>
    <row r="340">
      <c r="A340" s="67"/>
      <c r="B340" s="84"/>
      <c r="C340" s="84"/>
      <c r="D340" s="84"/>
      <c r="E340" s="85"/>
      <c r="F340" s="85"/>
      <c r="G340" s="86"/>
      <c r="H340" s="87"/>
      <c r="I340" s="84"/>
      <c r="J340" s="84"/>
      <c r="K340" s="69"/>
      <c r="L340" s="67"/>
      <c r="M340" s="67"/>
      <c r="N340" s="67"/>
    </row>
    <row r="341">
      <c r="A341" s="67"/>
      <c r="B341" s="84"/>
      <c r="C341" s="84"/>
      <c r="D341" s="84"/>
      <c r="E341" s="85"/>
      <c r="F341" s="85"/>
      <c r="G341" s="86"/>
      <c r="H341" s="87"/>
      <c r="I341" s="84"/>
      <c r="J341" s="84"/>
      <c r="K341" s="69"/>
      <c r="L341" s="67"/>
      <c r="M341" s="67"/>
      <c r="N341" s="67"/>
    </row>
    <row r="342">
      <c r="A342" s="67"/>
      <c r="B342" s="84"/>
      <c r="C342" s="84"/>
      <c r="D342" s="84"/>
      <c r="E342" s="85"/>
      <c r="F342" s="85"/>
      <c r="G342" s="86"/>
      <c r="H342" s="87"/>
      <c r="I342" s="84"/>
      <c r="J342" s="84"/>
      <c r="K342" s="69"/>
      <c r="L342" s="67"/>
      <c r="M342" s="67"/>
      <c r="N342" s="67"/>
    </row>
    <row r="343">
      <c r="A343" s="67"/>
      <c r="B343" s="84"/>
      <c r="C343" s="84"/>
      <c r="D343" s="84"/>
      <c r="E343" s="85"/>
      <c r="F343" s="85"/>
      <c r="G343" s="86"/>
      <c r="H343" s="87"/>
      <c r="I343" s="84"/>
      <c r="J343" s="84"/>
      <c r="K343" s="69"/>
      <c r="L343" s="67"/>
      <c r="M343" s="67"/>
      <c r="N343" s="67"/>
    </row>
    <row r="344">
      <c r="A344" s="67"/>
      <c r="B344" s="84"/>
      <c r="C344" s="84"/>
      <c r="D344" s="84"/>
      <c r="E344" s="85"/>
      <c r="F344" s="85"/>
      <c r="G344" s="86"/>
      <c r="H344" s="87"/>
      <c r="I344" s="84"/>
      <c r="J344" s="84"/>
      <c r="K344" s="69"/>
      <c r="L344" s="67"/>
      <c r="M344" s="67"/>
      <c r="N344" s="67"/>
    </row>
    <row r="345">
      <c r="A345" s="67"/>
      <c r="B345" s="84"/>
      <c r="C345" s="84"/>
      <c r="D345" s="84"/>
      <c r="E345" s="85"/>
      <c r="F345" s="85"/>
      <c r="G345" s="86"/>
      <c r="H345" s="87"/>
      <c r="I345" s="84"/>
      <c r="J345" s="84"/>
      <c r="K345" s="69"/>
      <c r="L345" s="67"/>
      <c r="M345" s="67"/>
      <c r="N345" s="67"/>
    </row>
    <row r="346">
      <c r="A346" s="67"/>
      <c r="B346" s="84"/>
      <c r="C346" s="84"/>
      <c r="D346" s="84"/>
      <c r="E346" s="85"/>
      <c r="F346" s="85"/>
      <c r="G346" s="86"/>
      <c r="H346" s="87"/>
      <c r="I346" s="84"/>
      <c r="J346" s="84"/>
      <c r="K346" s="69"/>
      <c r="L346" s="67"/>
      <c r="M346" s="67"/>
      <c r="N346" s="67"/>
    </row>
    <row r="347">
      <c r="A347" s="67"/>
      <c r="B347" s="84"/>
      <c r="C347" s="84"/>
      <c r="D347" s="84"/>
      <c r="E347" s="85"/>
      <c r="F347" s="85"/>
      <c r="G347" s="86"/>
      <c r="H347" s="87"/>
      <c r="I347" s="84"/>
      <c r="J347" s="84"/>
      <c r="K347" s="69"/>
      <c r="L347" s="67"/>
      <c r="M347" s="67"/>
      <c r="N347" s="67"/>
    </row>
    <row r="348">
      <c r="A348" s="67"/>
      <c r="B348" s="84"/>
      <c r="C348" s="84"/>
      <c r="D348" s="84"/>
      <c r="E348" s="85"/>
      <c r="F348" s="85"/>
      <c r="G348" s="86"/>
      <c r="H348" s="87"/>
      <c r="I348" s="84"/>
      <c r="J348" s="84"/>
      <c r="K348" s="69"/>
      <c r="L348" s="67"/>
      <c r="M348" s="67"/>
      <c r="N348" s="67"/>
    </row>
    <row r="349">
      <c r="A349" s="67"/>
      <c r="B349" s="84"/>
      <c r="C349" s="84"/>
      <c r="D349" s="84"/>
      <c r="E349" s="85"/>
      <c r="F349" s="85"/>
      <c r="G349" s="86"/>
      <c r="H349" s="87"/>
      <c r="I349" s="84"/>
      <c r="J349" s="84"/>
      <c r="K349" s="69"/>
      <c r="L349" s="67"/>
      <c r="M349" s="67"/>
      <c r="N349" s="67"/>
    </row>
    <row r="350">
      <c r="A350" s="67"/>
      <c r="B350" s="84"/>
      <c r="C350" s="84"/>
      <c r="D350" s="84"/>
      <c r="E350" s="85"/>
      <c r="F350" s="85"/>
      <c r="G350" s="86"/>
      <c r="H350" s="87"/>
      <c r="I350" s="84"/>
      <c r="J350" s="84"/>
      <c r="K350" s="69"/>
      <c r="L350" s="67"/>
      <c r="M350" s="67"/>
      <c r="N350" s="67"/>
    </row>
    <row r="351">
      <c r="A351" s="67"/>
      <c r="B351" s="84"/>
      <c r="C351" s="84"/>
      <c r="D351" s="84"/>
      <c r="E351" s="85"/>
      <c r="F351" s="85"/>
      <c r="G351" s="86"/>
      <c r="H351" s="87"/>
      <c r="I351" s="84"/>
      <c r="J351" s="84"/>
      <c r="K351" s="69"/>
      <c r="L351" s="67"/>
      <c r="M351" s="67"/>
      <c r="N351" s="67"/>
    </row>
    <row r="352">
      <c r="A352" s="67"/>
      <c r="B352" s="84"/>
      <c r="C352" s="84"/>
      <c r="D352" s="84"/>
      <c r="E352" s="85"/>
      <c r="F352" s="85"/>
      <c r="G352" s="86"/>
      <c r="H352" s="87"/>
      <c r="I352" s="84"/>
      <c r="J352" s="84"/>
      <c r="K352" s="69"/>
      <c r="L352" s="67"/>
      <c r="M352" s="67"/>
      <c r="N352" s="67"/>
    </row>
    <row r="353">
      <c r="A353" s="67"/>
      <c r="B353" s="84"/>
      <c r="C353" s="84"/>
      <c r="D353" s="84"/>
      <c r="E353" s="85"/>
      <c r="F353" s="85"/>
      <c r="G353" s="86"/>
      <c r="H353" s="87"/>
      <c r="I353" s="84"/>
      <c r="J353" s="84"/>
      <c r="K353" s="69"/>
      <c r="L353" s="67"/>
      <c r="M353" s="67"/>
      <c r="N353" s="67"/>
    </row>
    <row r="354">
      <c r="A354" s="67"/>
      <c r="B354" s="84"/>
      <c r="C354" s="84"/>
      <c r="D354" s="84"/>
      <c r="E354" s="85"/>
      <c r="F354" s="85"/>
      <c r="G354" s="86"/>
      <c r="H354" s="87"/>
      <c r="I354" s="84"/>
      <c r="J354" s="84"/>
      <c r="K354" s="69"/>
      <c r="L354" s="67"/>
      <c r="M354" s="67"/>
      <c r="N354" s="67"/>
    </row>
    <row r="355">
      <c r="A355" s="67"/>
      <c r="B355" s="84"/>
      <c r="C355" s="84"/>
      <c r="D355" s="84"/>
      <c r="E355" s="85"/>
      <c r="F355" s="85"/>
      <c r="G355" s="86"/>
      <c r="H355" s="87"/>
      <c r="I355" s="84"/>
      <c r="J355" s="84"/>
      <c r="K355" s="69"/>
      <c r="L355" s="67"/>
      <c r="M355" s="67"/>
      <c r="N355" s="67"/>
    </row>
    <row r="356">
      <c r="A356" s="67"/>
      <c r="B356" s="84"/>
      <c r="C356" s="84"/>
      <c r="D356" s="84"/>
      <c r="E356" s="85"/>
      <c r="F356" s="85"/>
      <c r="G356" s="86"/>
      <c r="H356" s="87"/>
      <c r="I356" s="84"/>
      <c r="J356" s="84"/>
      <c r="K356" s="69"/>
      <c r="L356" s="67"/>
      <c r="M356" s="67"/>
      <c r="N356" s="67"/>
    </row>
    <row r="357">
      <c r="A357" s="67"/>
      <c r="B357" s="84"/>
      <c r="C357" s="84"/>
      <c r="D357" s="84"/>
      <c r="E357" s="85"/>
      <c r="F357" s="85"/>
      <c r="G357" s="86"/>
      <c r="H357" s="87"/>
      <c r="I357" s="84"/>
      <c r="J357" s="84"/>
      <c r="K357" s="69"/>
      <c r="L357" s="67"/>
      <c r="M357" s="67"/>
      <c r="N357" s="67"/>
    </row>
    <row r="358">
      <c r="A358" s="67"/>
      <c r="B358" s="84"/>
      <c r="C358" s="84"/>
      <c r="D358" s="84"/>
      <c r="E358" s="85"/>
      <c r="F358" s="85"/>
      <c r="G358" s="86"/>
      <c r="H358" s="87"/>
      <c r="I358" s="84"/>
      <c r="J358" s="84"/>
      <c r="K358" s="69"/>
      <c r="L358" s="67"/>
      <c r="M358" s="67"/>
      <c r="N358" s="67"/>
    </row>
    <row r="359">
      <c r="A359" s="67"/>
      <c r="B359" s="84"/>
      <c r="C359" s="84"/>
      <c r="D359" s="84"/>
      <c r="E359" s="85"/>
      <c r="F359" s="85"/>
      <c r="G359" s="86"/>
      <c r="H359" s="87"/>
      <c r="I359" s="84"/>
      <c r="J359" s="84"/>
      <c r="K359" s="69"/>
      <c r="L359" s="67"/>
      <c r="M359" s="67"/>
      <c r="N359" s="67"/>
    </row>
    <row r="360">
      <c r="A360" s="67"/>
      <c r="B360" s="84"/>
      <c r="C360" s="84"/>
      <c r="D360" s="84"/>
      <c r="E360" s="85"/>
      <c r="F360" s="85"/>
      <c r="G360" s="86"/>
      <c r="H360" s="87"/>
      <c r="I360" s="84"/>
      <c r="J360" s="84"/>
      <c r="K360" s="69"/>
      <c r="L360" s="67"/>
      <c r="M360" s="67"/>
      <c r="N360" s="67"/>
    </row>
    <row r="361">
      <c r="A361" s="67"/>
      <c r="B361" s="84"/>
      <c r="C361" s="84"/>
      <c r="D361" s="84"/>
      <c r="E361" s="85"/>
      <c r="F361" s="85"/>
      <c r="G361" s="86"/>
      <c r="H361" s="87"/>
      <c r="I361" s="84"/>
      <c r="J361" s="84"/>
      <c r="K361" s="69"/>
      <c r="L361" s="67"/>
      <c r="M361" s="67"/>
      <c r="N361" s="67"/>
    </row>
    <row r="362">
      <c r="A362" s="67"/>
      <c r="B362" s="84"/>
      <c r="C362" s="84"/>
      <c r="D362" s="84"/>
      <c r="E362" s="85"/>
      <c r="F362" s="85"/>
      <c r="G362" s="86"/>
      <c r="H362" s="87"/>
      <c r="I362" s="84"/>
      <c r="J362" s="84"/>
      <c r="K362" s="69"/>
      <c r="L362" s="67"/>
      <c r="M362" s="67"/>
      <c r="N362" s="67"/>
    </row>
    <row r="363">
      <c r="A363" s="67"/>
      <c r="B363" s="84"/>
      <c r="C363" s="84"/>
      <c r="D363" s="84"/>
      <c r="E363" s="85"/>
      <c r="F363" s="85"/>
      <c r="G363" s="86"/>
      <c r="H363" s="87"/>
      <c r="I363" s="84"/>
      <c r="J363" s="84"/>
      <c r="K363" s="69"/>
      <c r="L363" s="67"/>
      <c r="M363" s="67"/>
      <c r="N363" s="67"/>
    </row>
    <row r="364">
      <c r="A364" s="67"/>
      <c r="B364" s="84"/>
      <c r="C364" s="84"/>
      <c r="D364" s="84"/>
      <c r="E364" s="85"/>
      <c r="F364" s="85"/>
      <c r="G364" s="86"/>
      <c r="H364" s="87"/>
      <c r="I364" s="84"/>
      <c r="J364" s="84"/>
      <c r="K364" s="69"/>
      <c r="L364" s="67"/>
      <c r="M364" s="67"/>
      <c r="N364" s="67"/>
    </row>
    <row r="365">
      <c r="A365" s="67"/>
      <c r="B365" s="84"/>
      <c r="C365" s="84"/>
      <c r="D365" s="84"/>
      <c r="E365" s="85"/>
      <c r="F365" s="85"/>
      <c r="G365" s="86"/>
      <c r="H365" s="87"/>
      <c r="I365" s="84"/>
      <c r="J365" s="84"/>
      <c r="K365" s="69"/>
      <c r="L365" s="67"/>
      <c r="M365" s="67"/>
      <c r="N365" s="67"/>
    </row>
    <row r="366">
      <c r="A366" s="67"/>
      <c r="B366" s="84"/>
      <c r="C366" s="84"/>
      <c r="D366" s="84"/>
      <c r="E366" s="85"/>
      <c r="F366" s="85"/>
      <c r="G366" s="86"/>
      <c r="H366" s="87"/>
      <c r="I366" s="84"/>
      <c r="J366" s="84"/>
      <c r="K366" s="69"/>
      <c r="L366" s="67"/>
      <c r="M366" s="67"/>
      <c r="N366" s="67"/>
    </row>
    <row r="367">
      <c r="A367" s="67"/>
      <c r="B367" s="84"/>
      <c r="C367" s="84"/>
      <c r="D367" s="84"/>
      <c r="E367" s="85"/>
      <c r="F367" s="85"/>
      <c r="G367" s="86"/>
      <c r="H367" s="87"/>
      <c r="I367" s="84"/>
      <c r="J367" s="84"/>
      <c r="K367" s="69"/>
      <c r="L367" s="67"/>
      <c r="M367" s="67"/>
      <c r="N367" s="67"/>
    </row>
    <row r="368">
      <c r="A368" s="67"/>
      <c r="B368" s="84"/>
      <c r="C368" s="84"/>
      <c r="D368" s="84"/>
      <c r="E368" s="85"/>
      <c r="F368" s="85"/>
      <c r="G368" s="86"/>
      <c r="H368" s="87"/>
      <c r="I368" s="84"/>
      <c r="J368" s="84"/>
      <c r="K368" s="69"/>
      <c r="L368" s="67"/>
      <c r="M368" s="67"/>
      <c r="N368" s="67"/>
    </row>
    <row r="369">
      <c r="A369" s="67"/>
      <c r="B369" s="84"/>
      <c r="C369" s="84"/>
      <c r="D369" s="84"/>
      <c r="E369" s="85"/>
      <c r="F369" s="85"/>
      <c r="G369" s="86"/>
      <c r="H369" s="87"/>
      <c r="I369" s="84"/>
      <c r="J369" s="84"/>
      <c r="K369" s="69"/>
      <c r="L369" s="67"/>
      <c r="M369" s="67"/>
      <c r="N369" s="67"/>
    </row>
    <row r="370">
      <c r="A370" s="67"/>
      <c r="B370" s="84"/>
      <c r="C370" s="84"/>
      <c r="D370" s="84"/>
      <c r="E370" s="85"/>
      <c r="F370" s="85"/>
      <c r="G370" s="86"/>
      <c r="H370" s="87"/>
      <c r="I370" s="84"/>
      <c r="J370" s="84"/>
      <c r="K370" s="69"/>
      <c r="L370" s="67"/>
      <c r="M370" s="67"/>
      <c r="N370" s="67"/>
    </row>
    <row r="371">
      <c r="A371" s="67"/>
      <c r="B371" s="84"/>
      <c r="C371" s="84"/>
      <c r="D371" s="84"/>
      <c r="E371" s="85"/>
      <c r="F371" s="85"/>
      <c r="G371" s="86"/>
      <c r="H371" s="87"/>
      <c r="I371" s="84"/>
      <c r="J371" s="84"/>
      <c r="K371" s="69"/>
      <c r="L371" s="67"/>
      <c r="M371" s="67"/>
      <c r="N371" s="67"/>
    </row>
    <row r="372">
      <c r="A372" s="67"/>
      <c r="B372" s="84"/>
      <c r="C372" s="84"/>
      <c r="D372" s="84"/>
      <c r="E372" s="85"/>
      <c r="F372" s="85"/>
      <c r="G372" s="86"/>
      <c r="H372" s="87"/>
      <c r="I372" s="84"/>
      <c r="J372" s="84"/>
      <c r="K372" s="69"/>
      <c r="L372" s="67"/>
      <c r="M372" s="67"/>
      <c r="N372" s="67"/>
    </row>
    <row r="373">
      <c r="A373" s="67"/>
      <c r="B373" s="84"/>
      <c r="C373" s="84"/>
      <c r="D373" s="84"/>
      <c r="E373" s="85"/>
      <c r="F373" s="85"/>
      <c r="G373" s="86"/>
      <c r="H373" s="87"/>
      <c r="I373" s="84"/>
      <c r="J373" s="84"/>
      <c r="K373" s="69"/>
      <c r="L373" s="67"/>
      <c r="M373" s="67"/>
      <c r="N373" s="67"/>
    </row>
    <row r="374">
      <c r="A374" s="67"/>
      <c r="B374" s="84"/>
      <c r="C374" s="84"/>
      <c r="D374" s="84"/>
      <c r="E374" s="85"/>
      <c r="F374" s="85"/>
      <c r="G374" s="86"/>
      <c r="H374" s="87"/>
      <c r="I374" s="84"/>
      <c r="J374" s="84"/>
      <c r="K374" s="69"/>
      <c r="L374" s="67"/>
      <c r="M374" s="67"/>
      <c r="N374" s="67"/>
    </row>
    <row r="375">
      <c r="A375" s="67"/>
      <c r="B375" s="84"/>
      <c r="C375" s="84"/>
      <c r="D375" s="84"/>
      <c r="E375" s="85"/>
      <c r="F375" s="85"/>
      <c r="G375" s="86"/>
      <c r="H375" s="87"/>
      <c r="I375" s="84"/>
      <c r="J375" s="84"/>
      <c r="K375" s="69"/>
      <c r="L375" s="67"/>
      <c r="M375" s="67"/>
      <c r="N375" s="67"/>
    </row>
    <row r="376">
      <c r="A376" s="67"/>
      <c r="B376" s="84"/>
      <c r="C376" s="84"/>
      <c r="D376" s="84"/>
      <c r="E376" s="85"/>
      <c r="F376" s="85"/>
      <c r="G376" s="86"/>
      <c r="H376" s="87"/>
      <c r="I376" s="84"/>
      <c r="J376" s="84"/>
      <c r="K376" s="69"/>
      <c r="L376" s="67"/>
      <c r="M376" s="67"/>
      <c r="N376" s="67"/>
    </row>
    <row r="377">
      <c r="A377" s="67"/>
      <c r="B377" s="84"/>
      <c r="C377" s="84"/>
      <c r="D377" s="84"/>
      <c r="E377" s="85"/>
      <c r="F377" s="85"/>
      <c r="G377" s="86"/>
      <c r="H377" s="87"/>
      <c r="I377" s="84"/>
      <c r="J377" s="84"/>
      <c r="K377" s="69"/>
      <c r="L377" s="67"/>
      <c r="M377" s="67"/>
      <c r="N377" s="67"/>
    </row>
    <row r="378">
      <c r="A378" s="67"/>
      <c r="B378" s="84"/>
      <c r="C378" s="84"/>
      <c r="D378" s="84"/>
      <c r="E378" s="85"/>
      <c r="F378" s="85"/>
      <c r="G378" s="86"/>
      <c r="H378" s="87"/>
      <c r="I378" s="84"/>
      <c r="J378" s="84"/>
      <c r="K378" s="69"/>
      <c r="L378" s="67"/>
      <c r="M378" s="67"/>
      <c r="N378" s="67"/>
    </row>
    <row r="379">
      <c r="A379" s="67"/>
      <c r="B379" s="84"/>
      <c r="C379" s="84"/>
      <c r="D379" s="84"/>
      <c r="E379" s="85"/>
      <c r="F379" s="85"/>
      <c r="G379" s="86"/>
      <c r="H379" s="87"/>
      <c r="I379" s="84"/>
      <c r="J379" s="84"/>
      <c r="K379" s="69"/>
      <c r="L379" s="67"/>
      <c r="M379" s="67"/>
      <c r="N379" s="67"/>
    </row>
    <row r="380">
      <c r="A380" s="67"/>
      <c r="B380" s="84"/>
      <c r="C380" s="84"/>
      <c r="D380" s="84"/>
      <c r="E380" s="85"/>
      <c r="F380" s="85"/>
      <c r="G380" s="86"/>
      <c r="H380" s="87"/>
      <c r="I380" s="84"/>
      <c r="J380" s="84"/>
      <c r="K380" s="69"/>
      <c r="L380" s="67"/>
      <c r="M380" s="67"/>
      <c r="N380" s="67"/>
    </row>
    <row r="381">
      <c r="A381" s="67"/>
      <c r="B381" s="84"/>
      <c r="C381" s="84"/>
      <c r="D381" s="84"/>
      <c r="E381" s="85"/>
      <c r="F381" s="85"/>
      <c r="G381" s="86"/>
      <c r="H381" s="87"/>
      <c r="I381" s="84"/>
      <c r="J381" s="84"/>
      <c r="K381" s="69"/>
      <c r="L381" s="67"/>
      <c r="M381" s="67"/>
      <c r="N381" s="67"/>
    </row>
    <row r="382">
      <c r="A382" s="67"/>
      <c r="B382" s="84"/>
      <c r="C382" s="84"/>
      <c r="D382" s="84"/>
      <c r="E382" s="85"/>
      <c r="F382" s="85"/>
      <c r="G382" s="86"/>
      <c r="H382" s="87"/>
      <c r="I382" s="84"/>
      <c r="J382" s="84"/>
      <c r="K382" s="69"/>
      <c r="L382" s="67"/>
      <c r="M382" s="67"/>
      <c r="N382" s="67"/>
    </row>
    <row r="383">
      <c r="A383" s="67"/>
      <c r="B383" s="84"/>
      <c r="C383" s="84"/>
      <c r="D383" s="84"/>
      <c r="E383" s="85"/>
      <c r="F383" s="85"/>
      <c r="G383" s="86"/>
      <c r="H383" s="87"/>
      <c r="I383" s="84"/>
      <c r="J383" s="84"/>
      <c r="K383" s="69"/>
      <c r="L383" s="67"/>
      <c r="M383" s="67"/>
      <c r="N383" s="67"/>
    </row>
    <row r="384">
      <c r="A384" s="67"/>
      <c r="B384" s="84"/>
      <c r="C384" s="84"/>
      <c r="D384" s="84"/>
      <c r="E384" s="85"/>
      <c r="F384" s="85"/>
      <c r="G384" s="86"/>
      <c r="H384" s="87"/>
      <c r="I384" s="84"/>
      <c r="J384" s="84"/>
      <c r="K384" s="69"/>
      <c r="L384" s="67"/>
      <c r="M384" s="67"/>
      <c r="N384" s="67"/>
    </row>
    <row r="385">
      <c r="A385" s="67"/>
      <c r="B385" s="84"/>
      <c r="C385" s="84"/>
      <c r="D385" s="84"/>
      <c r="E385" s="85"/>
      <c r="F385" s="85"/>
      <c r="G385" s="86"/>
      <c r="H385" s="87"/>
      <c r="I385" s="84"/>
      <c r="J385" s="84"/>
      <c r="K385" s="69"/>
      <c r="L385" s="67"/>
      <c r="M385" s="67"/>
      <c r="N385" s="67"/>
    </row>
    <row r="386">
      <c r="A386" s="67"/>
      <c r="B386" s="84"/>
      <c r="C386" s="84"/>
      <c r="D386" s="84"/>
      <c r="E386" s="85"/>
      <c r="F386" s="85"/>
      <c r="G386" s="86"/>
      <c r="H386" s="87"/>
      <c r="I386" s="84"/>
      <c r="J386" s="84"/>
      <c r="K386" s="69"/>
      <c r="L386" s="67"/>
      <c r="M386" s="67"/>
      <c r="N386" s="67"/>
    </row>
    <row r="387">
      <c r="A387" s="67"/>
      <c r="B387" s="84"/>
      <c r="C387" s="84"/>
      <c r="D387" s="84"/>
      <c r="E387" s="85"/>
      <c r="F387" s="85"/>
      <c r="G387" s="86"/>
      <c r="H387" s="87"/>
      <c r="I387" s="84"/>
      <c r="J387" s="84"/>
      <c r="K387" s="69"/>
      <c r="L387" s="67"/>
      <c r="M387" s="67"/>
      <c r="N387" s="67"/>
    </row>
    <row r="388">
      <c r="A388" s="67"/>
      <c r="B388" s="84"/>
      <c r="C388" s="84"/>
      <c r="D388" s="84"/>
      <c r="E388" s="85"/>
      <c r="F388" s="85"/>
      <c r="G388" s="86"/>
      <c r="H388" s="87"/>
      <c r="I388" s="84"/>
      <c r="J388" s="84"/>
      <c r="K388" s="69"/>
      <c r="L388" s="67"/>
      <c r="M388" s="67"/>
      <c r="N388" s="67"/>
    </row>
    <row r="389">
      <c r="A389" s="67"/>
      <c r="B389" s="84"/>
      <c r="C389" s="84"/>
      <c r="D389" s="84"/>
      <c r="E389" s="85"/>
      <c r="F389" s="85"/>
      <c r="G389" s="86"/>
      <c r="H389" s="87"/>
      <c r="I389" s="84"/>
      <c r="J389" s="84"/>
      <c r="K389" s="69"/>
      <c r="L389" s="67"/>
      <c r="M389" s="67"/>
      <c r="N389" s="67"/>
    </row>
    <row r="390">
      <c r="A390" s="67"/>
      <c r="B390" s="84"/>
      <c r="C390" s="84"/>
      <c r="D390" s="84"/>
      <c r="E390" s="85"/>
      <c r="F390" s="85"/>
      <c r="G390" s="86"/>
      <c r="H390" s="87"/>
      <c r="I390" s="84"/>
      <c r="J390" s="84"/>
      <c r="K390" s="69"/>
      <c r="L390" s="67"/>
      <c r="M390" s="67"/>
      <c r="N390" s="67"/>
    </row>
    <row r="391">
      <c r="A391" s="67"/>
      <c r="B391" s="84"/>
      <c r="C391" s="84"/>
      <c r="D391" s="84"/>
      <c r="E391" s="85"/>
      <c r="F391" s="85"/>
      <c r="G391" s="86"/>
      <c r="H391" s="87"/>
      <c r="I391" s="84"/>
      <c r="J391" s="84"/>
      <c r="K391" s="69"/>
      <c r="L391" s="67"/>
      <c r="M391" s="67"/>
      <c r="N391" s="67"/>
    </row>
    <row r="392">
      <c r="A392" s="67"/>
      <c r="B392" s="84"/>
      <c r="C392" s="84"/>
      <c r="D392" s="84"/>
      <c r="E392" s="85"/>
      <c r="F392" s="85"/>
      <c r="G392" s="86"/>
      <c r="H392" s="87"/>
      <c r="I392" s="84"/>
      <c r="J392" s="84"/>
      <c r="K392" s="69"/>
      <c r="L392" s="67"/>
      <c r="M392" s="67"/>
      <c r="N392" s="67"/>
    </row>
    <row r="393">
      <c r="A393" s="67"/>
      <c r="B393" s="84"/>
      <c r="C393" s="84"/>
      <c r="D393" s="84"/>
      <c r="E393" s="85"/>
      <c r="F393" s="85"/>
      <c r="G393" s="86"/>
      <c r="H393" s="87"/>
      <c r="I393" s="84"/>
      <c r="J393" s="84"/>
      <c r="K393" s="69"/>
      <c r="L393" s="67"/>
      <c r="M393" s="67"/>
      <c r="N393" s="67"/>
    </row>
    <row r="394">
      <c r="A394" s="67"/>
      <c r="B394" s="84"/>
      <c r="C394" s="84"/>
      <c r="D394" s="84"/>
      <c r="E394" s="85"/>
      <c r="F394" s="85"/>
      <c r="G394" s="86"/>
      <c r="H394" s="87"/>
      <c r="I394" s="84"/>
      <c r="J394" s="84"/>
      <c r="K394" s="69"/>
      <c r="L394" s="67"/>
      <c r="M394" s="67"/>
      <c r="N394" s="67"/>
    </row>
    <row r="395">
      <c r="A395" s="67"/>
      <c r="B395" s="84"/>
      <c r="C395" s="84"/>
      <c r="D395" s="84"/>
      <c r="E395" s="85"/>
      <c r="F395" s="85"/>
      <c r="G395" s="86"/>
      <c r="H395" s="87"/>
      <c r="I395" s="84"/>
      <c r="J395" s="84"/>
      <c r="K395" s="69"/>
      <c r="L395" s="67"/>
      <c r="M395" s="67"/>
      <c r="N395" s="67"/>
    </row>
    <row r="396">
      <c r="A396" s="67"/>
      <c r="B396" s="84"/>
      <c r="C396" s="84"/>
      <c r="D396" s="84"/>
      <c r="E396" s="85"/>
      <c r="F396" s="85"/>
      <c r="G396" s="86"/>
      <c r="H396" s="87"/>
      <c r="I396" s="84"/>
      <c r="J396" s="84"/>
      <c r="K396" s="69"/>
      <c r="L396" s="67"/>
      <c r="M396" s="67"/>
      <c r="N396" s="67"/>
    </row>
    <row r="397">
      <c r="A397" s="67"/>
      <c r="B397" s="84"/>
      <c r="C397" s="84"/>
      <c r="D397" s="84"/>
      <c r="E397" s="85"/>
      <c r="F397" s="85"/>
      <c r="G397" s="86"/>
      <c r="H397" s="87"/>
      <c r="I397" s="84"/>
      <c r="J397" s="84"/>
      <c r="K397" s="69"/>
      <c r="L397" s="67"/>
      <c r="M397" s="67"/>
      <c r="N397" s="67"/>
    </row>
    <row r="398">
      <c r="A398" s="67"/>
      <c r="B398" s="84"/>
      <c r="C398" s="84"/>
      <c r="D398" s="84"/>
      <c r="E398" s="85"/>
      <c r="F398" s="85"/>
      <c r="G398" s="86"/>
      <c r="H398" s="87"/>
      <c r="I398" s="84"/>
      <c r="J398" s="84"/>
      <c r="K398" s="69"/>
      <c r="L398" s="67"/>
      <c r="M398" s="67"/>
      <c r="N398" s="67"/>
    </row>
    <row r="399">
      <c r="A399" s="67"/>
      <c r="B399" s="84"/>
      <c r="C399" s="84"/>
      <c r="D399" s="84"/>
      <c r="E399" s="85"/>
      <c r="F399" s="85"/>
      <c r="G399" s="86"/>
      <c r="H399" s="87"/>
      <c r="I399" s="84"/>
      <c r="J399" s="84"/>
      <c r="K399" s="69"/>
      <c r="L399" s="67"/>
      <c r="M399" s="67"/>
      <c r="N399" s="67"/>
    </row>
    <row r="400">
      <c r="A400" s="67"/>
      <c r="B400" s="84"/>
      <c r="C400" s="84"/>
      <c r="D400" s="84"/>
      <c r="E400" s="85"/>
      <c r="F400" s="85"/>
      <c r="G400" s="86"/>
      <c r="H400" s="87"/>
      <c r="I400" s="84"/>
      <c r="J400" s="84"/>
      <c r="K400" s="69"/>
      <c r="L400" s="67"/>
      <c r="M400" s="67"/>
      <c r="N400" s="67"/>
    </row>
    <row r="401">
      <c r="A401" s="67"/>
      <c r="B401" s="84"/>
      <c r="C401" s="84"/>
      <c r="D401" s="84"/>
      <c r="E401" s="85"/>
      <c r="F401" s="85"/>
      <c r="G401" s="86"/>
      <c r="H401" s="87"/>
      <c r="I401" s="84"/>
      <c r="J401" s="84"/>
      <c r="K401" s="69"/>
      <c r="L401" s="67"/>
      <c r="M401" s="67"/>
      <c r="N401" s="67"/>
    </row>
    <row r="402">
      <c r="A402" s="67"/>
      <c r="B402" s="84"/>
      <c r="C402" s="84"/>
      <c r="D402" s="84"/>
      <c r="E402" s="85"/>
      <c r="F402" s="85"/>
      <c r="G402" s="86"/>
      <c r="H402" s="87"/>
      <c r="I402" s="84"/>
      <c r="J402" s="84"/>
      <c r="K402" s="69"/>
      <c r="L402" s="67"/>
      <c r="M402" s="67"/>
      <c r="N402" s="67"/>
    </row>
    <row r="403">
      <c r="A403" s="67"/>
      <c r="B403" s="84"/>
      <c r="C403" s="84"/>
      <c r="D403" s="84"/>
      <c r="E403" s="85"/>
      <c r="F403" s="85"/>
      <c r="G403" s="86"/>
      <c r="H403" s="87"/>
      <c r="I403" s="84"/>
      <c r="J403" s="84"/>
      <c r="K403" s="69"/>
      <c r="L403" s="67"/>
      <c r="M403" s="67"/>
      <c r="N403" s="67"/>
    </row>
    <row r="404">
      <c r="A404" s="67"/>
      <c r="B404" s="84"/>
      <c r="C404" s="84"/>
      <c r="D404" s="84"/>
      <c r="E404" s="85"/>
      <c r="F404" s="85"/>
      <c r="G404" s="86"/>
      <c r="H404" s="87"/>
      <c r="I404" s="84"/>
      <c r="J404" s="84"/>
      <c r="K404" s="69"/>
      <c r="L404" s="67"/>
      <c r="M404" s="67"/>
      <c r="N404" s="67"/>
    </row>
    <row r="405">
      <c r="A405" s="67"/>
      <c r="B405" s="84"/>
      <c r="C405" s="84"/>
      <c r="D405" s="84"/>
      <c r="E405" s="85"/>
      <c r="F405" s="85"/>
      <c r="G405" s="86"/>
      <c r="H405" s="87"/>
      <c r="I405" s="84"/>
      <c r="J405" s="84"/>
      <c r="K405" s="69"/>
      <c r="L405" s="67"/>
      <c r="M405" s="67"/>
      <c r="N405" s="67"/>
    </row>
    <row r="406">
      <c r="A406" s="67"/>
      <c r="B406" s="84"/>
      <c r="C406" s="84"/>
      <c r="D406" s="84"/>
      <c r="E406" s="85"/>
      <c r="F406" s="85"/>
      <c r="G406" s="86"/>
      <c r="H406" s="87"/>
      <c r="I406" s="84"/>
      <c r="J406" s="84"/>
      <c r="K406" s="69"/>
      <c r="L406" s="67"/>
      <c r="M406" s="67"/>
      <c r="N406" s="67"/>
    </row>
    <row r="407">
      <c r="A407" s="67"/>
      <c r="B407" s="84"/>
      <c r="C407" s="84"/>
      <c r="D407" s="84"/>
      <c r="E407" s="85"/>
      <c r="F407" s="85"/>
      <c r="G407" s="86"/>
      <c r="H407" s="87"/>
      <c r="I407" s="84"/>
      <c r="J407" s="84"/>
      <c r="K407" s="69"/>
      <c r="L407" s="67"/>
      <c r="M407" s="67"/>
      <c r="N407" s="67"/>
    </row>
    <row r="408">
      <c r="A408" s="67"/>
      <c r="B408" s="84"/>
      <c r="C408" s="84"/>
      <c r="D408" s="84"/>
      <c r="E408" s="85"/>
      <c r="F408" s="85"/>
      <c r="G408" s="86"/>
      <c r="H408" s="87"/>
      <c r="I408" s="84"/>
      <c r="J408" s="84"/>
      <c r="K408" s="69"/>
      <c r="L408" s="67"/>
      <c r="M408" s="67"/>
      <c r="N408" s="67"/>
    </row>
    <row r="409">
      <c r="A409" s="67"/>
      <c r="B409" s="84"/>
      <c r="C409" s="84"/>
      <c r="D409" s="84"/>
      <c r="E409" s="85"/>
      <c r="F409" s="85"/>
      <c r="G409" s="86"/>
      <c r="H409" s="87"/>
      <c r="I409" s="84"/>
      <c r="J409" s="84"/>
      <c r="K409" s="69"/>
      <c r="L409" s="67"/>
      <c r="M409" s="67"/>
      <c r="N409" s="67"/>
    </row>
    <row r="410">
      <c r="A410" s="67"/>
      <c r="B410" s="84"/>
      <c r="C410" s="84"/>
      <c r="D410" s="84"/>
      <c r="E410" s="85"/>
      <c r="F410" s="85"/>
      <c r="G410" s="86"/>
      <c r="H410" s="87"/>
      <c r="I410" s="84"/>
      <c r="J410" s="84"/>
      <c r="K410" s="69"/>
      <c r="L410" s="67"/>
      <c r="M410" s="67"/>
      <c r="N410" s="67"/>
    </row>
    <row r="411">
      <c r="A411" s="67"/>
      <c r="B411" s="84"/>
      <c r="C411" s="84"/>
      <c r="D411" s="84"/>
      <c r="E411" s="85"/>
      <c r="F411" s="85"/>
      <c r="G411" s="86"/>
      <c r="H411" s="87"/>
      <c r="I411" s="84"/>
      <c r="J411" s="84"/>
      <c r="K411" s="69"/>
      <c r="L411" s="67"/>
      <c r="M411" s="67"/>
      <c r="N411" s="67"/>
    </row>
    <row r="412">
      <c r="A412" s="67"/>
      <c r="B412" s="84"/>
      <c r="C412" s="84"/>
      <c r="D412" s="84"/>
      <c r="E412" s="85"/>
      <c r="F412" s="85"/>
      <c r="G412" s="86"/>
      <c r="H412" s="87"/>
      <c r="I412" s="84"/>
      <c r="J412" s="84"/>
      <c r="K412" s="69"/>
      <c r="L412" s="67"/>
      <c r="M412" s="67"/>
      <c r="N412" s="67"/>
    </row>
    <row r="413">
      <c r="A413" s="67"/>
      <c r="B413" s="84"/>
      <c r="C413" s="84"/>
      <c r="D413" s="84"/>
      <c r="E413" s="85"/>
      <c r="F413" s="85"/>
      <c r="G413" s="86"/>
      <c r="H413" s="87"/>
      <c r="I413" s="84"/>
      <c r="J413" s="84"/>
      <c r="K413" s="69"/>
      <c r="L413" s="67"/>
      <c r="M413" s="67"/>
      <c r="N413" s="67"/>
    </row>
    <row r="414">
      <c r="A414" s="67"/>
      <c r="B414" s="84"/>
      <c r="C414" s="84"/>
      <c r="D414" s="84"/>
      <c r="E414" s="85"/>
      <c r="F414" s="85"/>
      <c r="G414" s="86"/>
      <c r="H414" s="87"/>
      <c r="I414" s="84"/>
      <c r="J414" s="84"/>
      <c r="K414" s="69"/>
      <c r="L414" s="67"/>
      <c r="M414" s="67"/>
      <c r="N414" s="67"/>
    </row>
    <row r="415">
      <c r="A415" s="67"/>
      <c r="B415" s="84"/>
      <c r="C415" s="84"/>
      <c r="D415" s="84"/>
      <c r="E415" s="85"/>
      <c r="F415" s="85"/>
      <c r="G415" s="86"/>
      <c r="H415" s="87"/>
      <c r="I415" s="84"/>
      <c r="J415" s="84"/>
      <c r="K415" s="69"/>
      <c r="L415" s="67"/>
      <c r="M415" s="67"/>
      <c r="N415" s="67"/>
    </row>
    <row r="416">
      <c r="A416" s="67"/>
      <c r="B416" s="84"/>
      <c r="C416" s="84"/>
      <c r="D416" s="84"/>
      <c r="E416" s="85"/>
      <c r="F416" s="85"/>
      <c r="G416" s="86"/>
      <c r="H416" s="87"/>
      <c r="I416" s="84"/>
      <c r="J416" s="84"/>
      <c r="K416" s="69"/>
      <c r="L416" s="67"/>
      <c r="M416" s="67"/>
      <c r="N416" s="67"/>
    </row>
    <row r="417">
      <c r="A417" s="67"/>
      <c r="B417" s="84"/>
      <c r="C417" s="84"/>
      <c r="D417" s="84"/>
      <c r="E417" s="85"/>
      <c r="F417" s="85"/>
      <c r="G417" s="86"/>
      <c r="H417" s="87"/>
      <c r="I417" s="84"/>
      <c r="J417" s="84"/>
      <c r="K417" s="69"/>
      <c r="L417" s="67"/>
      <c r="M417" s="67"/>
      <c r="N417" s="67"/>
    </row>
    <row r="418">
      <c r="A418" s="67"/>
      <c r="B418" s="84"/>
      <c r="C418" s="84"/>
      <c r="D418" s="84"/>
      <c r="E418" s="85"/>
      <c r="F418" s="85"/>
      <c r="G418" s="86"/>
      <c r="H418" s="87"/>
      <c r="I418" s="84"/>
      <c r="J418" s="84"/>
      <c r="K418" s="69"/>
      <c r="L418" s="67"/>
      <c r="M418" s="67"/>
      <c r="N418" s="67"/>
    </row>
    <row r="419">
      <c r="A419" s="67"/>
      <c r="B419" s="84"/>
      <c r="C419" s="84"/>
      <c r="D419" s="84"/>
      <c r="E419" s="85"/>
      <c r="F419" s="85"/>
      <c r="G419" s="86"/>
      <c r="H419" s="87"/>
      <c r="I419" s="84"/>
      <c r="J419" s="84"/>
      <c r="K419" s="69"/>
      <c r="L419" s="67"/>
      <c r="M419" s="67"/>
      <c r="N419" s="67"/>
    </row>
    <row r="420">
      <c r="A420" s="67"/>
      <c r="B420" s="84"/>
      <c r="C420" s="84"/>
      <c r="D420" s="84"/>
      <c r="E420" s="85"/>
      <c r="F420" s="85"/>
      <c r="G420" s="86"/>
      <c r="H420" s="87"/>
      <c r="I420" s="84"/>
      <c r="J420" s="84"/>
      <c r="K420" s="69"/>
      <c r="L420" s="67"/>
      <c r="M420" s="67"/>
      <c r="N420" s="67"/>
    </row>
    <row r="421">
      <c r="A421" s="67"/>
      <c r="B421" s="84"/>
      <c r="C421" s="84"/>
      <c r="D421" s="84"/>
      <c r="E421" s="85"/>
      <c r="F421" s="85"/>
      <c r="G421" s="86"/>
      <c r="H421" s="87"/>
      <c r="I421" s="84"/>
      <c r="J421" s="84"/>
      <c r="K421" s="69"/>
      <c r="L421" s="67"/>
      <c r="M421" s="67"/>
      <c r="N421" s="67"/>
    </row>
    <row r="422">
      <c r="A422" s="67"/>
      <c r="B422" s="84"/>
      <c r="C422" s="84"/>
      <c r="D422" s="84"/>
      <c r="E422" s="85"/>
      <c r="F422" s="85"/>
      <c r="G422" s="86"/>
      <c r="H422" s="87"/>
      <c r="I422" s="84"/>
      <c r="J422" s="84"/>
      <c r="K422" s="69"/>
      <c r="L422" s="67"/>
      <c r="M422" s="67"/>
      <c r="N422" s="67"/>
    </row>
    <row r="423">
      <c r="A423" s="67"/>
      <c r="B423" s="84"/>
      <c r="C423" s="84"/>
      <c r="D423" s="84"/>
      <c r="E423" s="85"/>
      <c r="F423" s="85"/>
      <c r="G423" s="86"/>
      <c r="H423" s="87"/>
      <c r="I423" s="84"/>
      <c r="J423" s="84"/>
      <c r="K423" s="69"/>
      <c r="L423" s="67"/>
      <c r="M423" s="67"/>
      <c r="N423" s="67"/>
    </row>
    <row r="424">
      <c r="A424" s="67"/>
      <c r="B424" s="84"/>
      <c r="C424" s="84"/>
      <c r="D424" s="84"/>
      <c r="E424" s="85"/>
      <c r="F424" s="85"/>
      <c r="G424" s="86"/>
      <c r="H424" s="87"/>
      <c r="I424" s="84"/>
      <c r="J424" s="84"/>
      <c r="K424" s="69"/>
      <c r="L424" s="67"/>
      <c r="M424" s="67"/>
      <c r="N424" s="67"/>
    </row>
    <row r="425">
      <c r="A425" s="67"/>
      <c r="B425" s="84"/>
      <c r="C425" s="84"/>
      <c r="D425" s="84"/>
      <c r="E425" s="85"/>
      <c r="F425" s="85"/>
      <c r="G425" s="86"/>
      <c r="H425" s="87"/>
      <c r="I425" s="84"/>
      <c r="J425" s="84"/>
      <c r="K425" s="69"/>
      <c r="L425" s="67"/>
      <c r="M425" s="67"/>
      <c r="N425" s="67"/>
    </row>
    <row r="426">
      <c r="A426" s="67"/>
      <c r="B426" s="84"/>
      <c r="C426" s="84"/>
      <c r="D426" s="84"/>
      <c r="E426" s="85"/>
      <c r="F426" s="85"/>
      <c r="G426" s="86"/>
      <c r="H426" s="87"/>
      <c r="I426" s="84"/>
      <c r="J426" s="84"/>
      <c r="K426" s="69"/>
      <c r="L426" s="67"/>
      <c r="M426" s="67"/>
      <c r="N426" s="67"/>
    </row>
    <row r="427">
      <c r="A427" s="67"/>
      <c r="B427" s="84"/>
      <c r="C427" s="84"/>
      <c r="D427" s="84"/>
      <c r="E427" s="85"/>
      <c r="F427" s="85"/>
      <c r="G427" s="86"/>
      <c r="H427" s="87"/>
      <c r="I427" s="84"/>
      <c r="J427" s="84"/>
      <c r="K427" s="69"/>
      <c r="L427" s="67"/>
      <c r="M427" s="67"/>
      <c r="N427" s="67"/>
    </row>
    <row r="428">
      <c r="A428" s="67"/>
      <c r="B428" s="84"/>
      <c r="C428" s="84"/>
      <c r="D428" s="84"/>
      <c r="E428" s="85"/>
      <c r="F428" s="85"/>
      <c r="G428" s="86"/>
      <c r="H428" s="87"/>
      <c r="I428" s="84"/>
      <c r="J428" s="84"/>
      <c r="K428" s="69"/>
      <c r="L428" s="67"/>
      <c r="M428" s="67"/>
      <c r="N428" s="67"/>
    </row>
    <row r="429">
      <c r="A429" s="67"/>
      <c r="B429" s="84"/>
      <c r="C429" s="84"/>
      <c r="D429" s="84"/>
      <c r="E429" s="85"/>
      <c r="F429" s="85"/>
      <c r="G429" s="86"/>
      <c r="H429" s="87"/>
      <c r="I429" s="84"/>
      <c r="J429" s="84"/>
      <c r="K429" s="69"/>
      <c r="L429" s="67"/>
      <c r="M429" s="67"/>
      <c r="N429" s="67"/>
    </row>
    <row r="430">
      <c r="A430" s="67"/>
      <c r="B430" s="84"/>
      <c r="C430" s="84"/>
      <c r="D430" s="84"/>
      <c r="E430" s="85"/>
      <c r="F430" s="85"/>
      <c r="G430" s="86"/>
      <c r="H430" s="87"/>
      <c r="I430" s="84"/>
      <c r="J430" s="84"/>
      <c r="K430" s="69"/>
      <c r="L430" s="67"/>
      <c r="M430" s="67"/>
      <c r="N430" s="67"/>
    </row>
    <row r="431">
      <c r="A431" s="67"/>
      <c r="B431" s="84"/>
      <c r="C431" s="84"/>
      <c r="D431" s="84"/>
      <c r="E431" s="85"/>
      <c r="F431" s="85"/>
      <c r="G431" s="86"/>
      <c r="H431" s="87"/>
      <c r="I431" s="84"/>
      <c r="J431" s="84"/>
      <c r="K431" s="69"/>
      <c r="L431" s="67"/>
      <c r="M431" s="67"/>
      <c r="N431" s="67"/>
    </row>
    <row r="432">
      <c r="A432" s="67"/>
      <c r="B432" s="84"/>
      <c r="C432" s="84"/>
      <c r="D432" s="84"/>
      <c r="E432" s="85"/>
      <c r="F432" s="85"/>
      <c r="G432" s="86"/>
      <c r="H432" s="87"/>
      <c r="I432" s="84"/>
      <c r="J432" s="84"/>
      <c r="K432" s="69"/>
      <c r="L432" s="67"/>
      <c r="M432" s="67"/>
      <c r="N432" s="67"/>
    </row>
    <row r="433">
      <c r="A433" s="67"/>
      <c r="B433" s="84"/>
      <c r="C433" s="84"/>
      <c r="D433" s="84"/>
      <c r="E433" s="85"/>
      <c r="F433" s="85"/>
      <c r="G433" s="86"/>
      <c r="H433" s="87"/>
      <c r="I433" s="84"/>
      <c r="J433" s="84"/>
      <c r="K433" s="69"/>
      <c r="L433" s="67"/>
      <c r="M433" s="67"/>
      <c r="N433" s="67"/>
    </row>
    <row r="434">
      <c r="A434" s="67"/>
      <c r="B434" s="84"/>
      <c r="C434" s="84"/>
      <c r="D434" s="84"/>
      <c r="E434" s="85"/>
      <c r="F434" s="85"/>
      <c r="G434" s="86"/>
      <c r="H434" s="87"/>
      <c r="I434" s="84"/>
      <c r="J434" s="84"/>
      <c r="K434" s="69"/>
      <c r="L434" s="67"/>
      <c r="M434" s="67"/>
      <c r="N434" s="67"/>
    </row>
    <row r="435">
      <c r="A435" s="67"/>
      <c r="B435" s="84"/>
      <c r="C435" s="84"/>
      <c r="D435" s="84"/>
      <c r="E435" s="85"/>
      <c r="F435" s="85"/>
      <c r="G435" s="86"/>
      <c r="H435" s="87"/>
      <c r="I435" s="84"/>
      <c r="J435" s="84"/>
      <c r="K435" s="69"/>
      <c r="L435" s="67"/>
      <c r="M435" s="67"/>
      <c r="N435" s="67"/>
    </row>
    <row r="436">
      <c r="A436" s="67"/>
      <c r="B436" s="84"/>
      <c r="C436" s="84"/>
      <c r="D436" s="84"/>
      <c r="E436" s="85"/>
      <c r="F436" s="85"/>
      <c r="G436" s="86"/>
      <c r="H436" s="87"/>
      <c r="I436" s="84"/>
      <c r="J436" s="84"/>
      <c r="K436" s="69"/>
      <c r="L436" s="67"/>
      <c r="M436" s="67"/>
      <c r="N436" s="67"/>
    </row>
    <row r="437">
      <c r="A437" s="67"/>
      <c r="B437" s="84"/>
      <c r="C437" s="84"/>
      <c r="D437" s="84"/>
      <c r="E437" s="85"/>
      <c r="F437" s="85"/>
      <c r="G437" s="86"/>
      <c r="H437" s="87"/>
      <c r="I437" s="84"/>
      <c r="J437" s="84"/>
      <c r="K437" s="69"/>
      <c r="L437" s="67"/>
      <c r="M437" s="67"/>
      <c r="N437" s="67"/>
    </row>
    <row r="438">
      <c r="A438" s="67"/>
      <c r="B438" s="84"/>
      <c r="C438" s="84"/>
      <c r="D438" s="84"/>
      <c r="E438" s="85"/>
      <c r="F438" s="85"/>
      <c r="G438" s="86"/>
      <c r="H438" s="87"/>
      <c r="I438" s="84"/>
      <c r="J438" s="84"/>
      <c r="K438" s="69"/>
      <c r="L438" s="67"/>
      <c r="M438" s="67"/>
      <c r="N438" s="67"/>
    </row>
    <row r="439">
      <c r="A439" s="67"/>
      <c r="B439" s="84"/>
      <c r="C439" s="84"/>
      <c r="D439" s="84"/>
      <c r="E439" s="85"/>
      <c r="F439" s="85"/>
      <c r="G439" s="86"/>
      <c r="H439" s="87"/>
      <c r="I439" s="84"/>
      <c r="J439" s="84"/>
      <c r="K439" s="69"/>
      <c r="L439" s="67"/>
      <c r="M439" s="67"/>
      <c r="N439" s="67"/>
    </row>
    <row r="440">
      <c r="A440" s="67"/>
      <c r="B440" s="84"/>
      <c r="C440" s="84"/>
      <c r="D440" s="84"/>
      <c r="E440" s="85"/>
      <c r="F440" s="85"/>
      <c r="G440" s="86"/>
      <c r="H440" s="87"/>
      <c r="I440" s="84"/>
      <c r="J440" s="84"/>
      <c r="K440" s="69"/>
      <c r="L440" s="67"/>
      <c r="M440" s="67"/>
      <c r="N440" s="67"/>
    </row>
    <row r="441">
      <c r="A441" s="67"/>
      <c r="B441" s="84"/>
      <c r="C441" s="84"/>
      <c r="D441" s="84"/>
      <c r="E441" s="85"/>
      <c r="F441" s="85"/>
      <c r="G441" s="86"/>
      <c r="H441" s="87"/>
      <c r="I441" s="84"/>
      <c r="J441" s="84"/>
      <c r="K441" s="69"/>
      <c r="L441" s="67"/>
      <c r="M441" s="67"/>
      <c r="N441" s="67"/>
    </row>
    <row r="442">
      <c r="A442" s="67"/>
      <c r="B442" s="84"/>
      <c r="C442" s="84"/>
      <c r="D442" s="84"/>
      <c r="E442" s="85"/>
      <c r="F442" s="85"/>
      <c r="G442" s="86"/>
      <c r="H442" s="87"/>
      <c r="I442" s="84"/>
      <c r="J442" s="84"/>
      <c r="K442" s="69"/>
      <c r="L442" s="67"/>
      <c r="M442" s="67"/>
      <c r="N442" s="67"/>
    </row>
    <row r="443">
      <c r="A443" s="67"/>
      <c r="B443" s="84"/>
      <c r="C443" s="84"/>
      <c r="D443" s="84"/>
      <c r="E443" s="85"/>
      <c r="F443" s="85"/>
      <c r="G443" s="86"/>
      <c r="H443" s="87"/>
      <c r="I443" s="84"/>
      <c r="J443" s="84"/>
      <c r="K443" s="69"/>
      <c r="L443" s="67"/>
      <c r="M443" s="67"/>
      <c r="N443" s="67"/>
    </row>
    <row r="444">
      <c r="A444" s="67"/>
      <c r="B444" s="84"/>
      <c r="C444" s="84"/>
      <c r="D444" s="84"/>
      <c r="E444" s="85"/>
      <c r="F444" s="85"/>
      <c r="G444" s="86"/>
      <c r="H444" s="87"/>
      <c r="I444" s="84"/>
      <c r="J444" s="84"/>
      <c r="K444" s="69"/>
      <c r="L444" s="67"/>
      <c r="M444" s="67"/>
      <c r="N444" s="67"/>
    </row>
    <row r="445">
      <c r="A445" s="67"/>
      <c r="B445" s="84"/>
      <c r="C445" s="84"/>
      <c r="D445" s="84"/>
      <c r="E445" s="85"/>
      <c r="F445" s="85"/>
      <c r="G445" s="86"/>
      <c r="H445" s="87"/>
      <c r="I445" s="84"/>
      <c r="J445" s="84"/>
      <c r="K445" s="69"/>
      <c r="L445" s="67"/>
      <c r="M445" s="67"/>
      <c r="N445" s="67"/>
    </row>
    <row r="446">
      <c r="A446" s="67"/>
      <c r="B446" s="84"/>
      <c r="C446" s="84"/>
      <c r="D446" s="84"/>
      <c r="E446" s="85"/>
      <c r="F446" s="85"/>
      <c r="G446" s="86"/>
      <c r="H446" s="87"/>
      <c r="I446" s="84"/>
      <c r="J446" s="84"/>
      <c r="K446" s="69"/>
      <c r="L446" s="67"/>
      <c r="M446" s="67"/>
      <c r="N446" s="67"/>
    </row>
    <row r="447">
      <c r="A447" s="67"/>
      <c r="B447" s="84"/>
      <c r="C447" s="84"/>
      <c r="D447" s="84"/>
      <c r="E447" s="85"/>
      <c r="F447" s="85"/>
      <c r="G447" s="86"/>
      <c r="H447" s="87"/>
      <c r="I447" s="84"/>
      <c r="J447" s="84"/>
      <c r="K447" s="69"/>
      <c r="L447" s="67"/>
      <c r="M447" s="67"/>
      <c r="N447" s="67"/>
    </row>
    <row r="448">
      <c r="A448" s="67"/>
      <c r="B448" s="84"/>
      <c r="C448" s="84"/>
      <c r="D448" s="84"/>
      <c r="E448" s="85"/>
      <c r="F448" s="85"/>
      <c r="G448" s="86"/>
      <c r="H448" s="87"/>
      <c r="I448" s="84"/>
      <c r="J448" s="84"/>
      <c r="K448" s="69"/>
      <c r="L448" s="67"/>
      <c r="M448" s="67"/>
      <c r="N448" s="67"/>
    </row>
    <row r="449">
      <c r="A449" s="67"/>
      <c r="B449" s="84"/>
      <c r="C449" s="84"/>
      <c r="D449" s="84"/>
      <c r="E449" s="85"/>
      <c r="F449" s="85"/>
      <c r="G449" s="86"/>
      <c r="H449" s="87"/>
      <c r="I449" s="84"/>
      <c r="J449" s="84"/>
      <c r="K449" s="69"/>
      <c r="L449" s="67"/>
      <c r="M449" s="67"/>
      <c r="N449" s="67"/>
    </row>
    <row r="450">
      <c r="A450" s="67"/>
      <c r="B450" s="84"/>
      <c r="C450" s="84"/>
      <c r="D450" s="84"/>
      <c r="E450" s="85"/>
      <c r="F450" s="85"/>
      <c r="G450" s="86"/>
      <c r="H450" s="87"/>
      <c r="I450" s="84"/>
      <c r="J450" s="84"/>
      <c r="K450" s="69"/>
      <c r="L450" s="67"/>
      <c r="M450" s="67"/>
      <c r="N450" s="67"/>
    </row>
    <row r="451">
      <c r="A451" s="67"/>
      <c r="B451" s="84"/>
      <c r="C451" s="84"/>
      <c r="D451" s="84"/>
      <c r="E451" s="85"/>
      <c r="F451" s="85"/>
      <c r="G451" s="86"/>
      <c r="H451" s="87"/>
      <c r="I451" s="84"/>
      <c r="J451" s="84"/>
      <c r="K451" s="69"/>
      <c r="L451" s="67"/>
      <c r="M451" s="67"/>
      <c r="N451" s="67"/>
    </row>
    <row r="452">
      <c r="A452" s="67"/>
      <c r="B452" s="84"/>
      <c r="C452" s="84"/>
      <c r="D452" s="84"/>
      <c r="E452" s="85"/>
      <c r="F452" s="85"/>
      <c r="G452" s="86"/>
      <c r="H452" s="87"/>
      <c r="I452" s="84"/>
      <c r="J452" s="84"/>
      <c r="K452" s="69"/>
      <c r="L452" s="67"/>
      <c r="M452" s="67"/>
      <c r="N452" s="67"/>
    </row>
    <row r="453">
      <c r="A453" s="67"/>
      <c r="B453" s="84"/>
      <c r="C453" s="84"/>
      <c r="D453" s="84"/>
      <c r="E453" s="85"/>
      <c r="F453" s="85"/>
      <c r="G453" s="86"/>
      <c r="H453" s="87"/>
      <c r="I453" s="84"/>
      <c r="J453" s="84"/>
      <c r="K453" s="69"/>
      <c r="L453" s="67"/>
      <c r="M453" s="67"/>
      <c r="N453" s="67"/>
    </row>
    <row r="454">
      <c r="A454" s="67"/>
      <c r="B454" s="84"/>
      <c r="C454" s="84"/>
      <c r="D454" s="84"/>
      <c r="E454" s="85"/>
      <c r="F454" s="85"/>
      <c r="G454" s="86"/>
      <c r="H454" s="87"/>
      <c r="I454" s="84"/>
      <c r="J454" s="84"/>
      <c r="K454" s="69"/>
      <c r="L454" s="67"/>
      <c r="M454" s="67"/>
      <c r="N454" s="67"/>
    </row>
    <row r="455">
      <c r="A455" s="67"/>
      <c r="B455" s="84"/>
      <c r="C455" s="84"/>
      <c r="D455" s="84"/>
      <c r="E455" s="85"/>
      <c r="F455" s="85"/>
      <c r="G455" s="86"/>
      <c r="H455" s="87"/>
      <c r="I455" s="84"/>
      <c r="J455" s="84"/>
      <c r="K455" s="69"/>
      <c r="L455" s="67"/>
      <c r="M455" s="67"/>
      <c r="N455" s="67"/>
    </row>
    <row r="456">
      <c r="A456" s="67"/>
      <c r="B456" s="84"/>
      <c r="C456" s="84"/>
      <c r="D456" s="84"/>
      <c r="E456" s="85"/>
      <c r="F456" s="85"/>
      <c r="G456" s="86"/>
      <c r="H456" s="87"/>
      <c r="I456" s="84"/>
      <c r="J456" s="84"/>
      <c r="K456" s="69"/>
      <c r="L456" s="67"/>
      <c r="M456" s="67"/>
      <c r="N456" s="67"/>
    </row>
    <row r="457">
      <c r="A457" s="67"/>
      <c r="B457" s="84"/>
      <c r="C457" s="84"/>
      <c r="D457" s="84"/>
      <c r="E457" s="85"/>
      <c r="F457" s="85"/>
      <c r="G457" s="86"/>
      <c r="H457" s="87"/>
      <c r="I457" s="84"/>
      <c r="J457" s="84"/>
      <c r="K457" s="69"/>
      <c r="L457" s="67"/>
      <c r="M457" s="67"/>
      <c r="N457" s="67"/>
    </row>
    <row r="458">
      <c r="A458" s="67"/>
      <c r="B458" s="84"/>
      <c r="C458" s="84"/>
      <c r="D458" s="84"/>
      <c r="E458" s="85"/>
      <c r="F458" s="85"/>
      <c r="G458" s="86"/>
      <c r="H458" s="87"/>
      <c r="I458" s="84"/>
      <c r="J458" s="84"/>
      <c r="K458" s="69"/>
      <c r="L458" s="67"/>
      <c r="M458" s="67"/>
      <c r="N458" s="67"/>
    </row>
    <row r="459">
      <c r="A459" s="67"/>
      <c r="B459" s="84"/>
      <c r="C459" s="84"/>
      <c r="D459" s="84"/>
      <c r="E459" s="85"/>
      <c r="F459" s="85"/>
      <c r="G459" s="86"/>
      <c r="H459" s="87"/>
      <c r="I459" s="84"/>
      <c r="J459" s="84"/>
      <c r="K459" s="69"/>
      <c r="L459" s="67"/>
      <c r="M459" s="67"/>
      <c r="N459" s="67"/>
    </row>
    <row r="460">
      <c r="A460" s="67"/>
      <c r="B460" s="84"/>
      <c r="C460" s="84"/>
      <c r="D460" s="84"/>
      <c r="E460" s="85"/>
      <c r="F460" s="85"/>
      <c r="G460" s="86"/>
      <c r="H460" s="87"/>
      <c r="I460" s="84"/>
      <c r="J460" s="84"/>
      <c r="K460" s="69"/>
      <c r="L460" s="67"/>
      <c r="M460" s="67"/>
      <c r="N460" s="67"/>
    </row>
    <row r="461">
      <c r="A461" s="67"/>
      <c r="B461" s="84"/>
      <c r="C461" s="84"/>
      <c r="D461" s="84"/>
      <c r="E461" s="85"/>
      <c r="F461" s="85"/>
      <c r="G461" s="86"/>
      <c r="H461" s="87"/>
      <c r="I461" s="84"/>
      <c r="J461" s="84"/>
      <c r="K461" s="69"/>
      <c r="L461" s="67"/>
      <c r="M461" s="67"/>
      <c r="N461" s="67"/>
    </row>
    <row r="462">
      <c r="A462" s="67"/>
      <c r="B462" s="84"/>
      <c r="C462" s="84"/>
      <c r="D462" s="84"/>
      <c r="E462" s="85"/>
      <c r="F462" s="85"/>
      <c r="G462" s="86"/>
      <c r="H462" s="87"/>
      <c r="I462" s="84"/>
      <c r="J462" s="84"/>
      <c r="K462" s="69"/>
      <c r="L462" s="67"/>
      <c r="M462" s="67"/>
      <c r="N462" s="67"/>
    </row>
    <row r="463">
      <c r="A463" s="67"/>
      <c r="B463" s="84"/>
      <c r="C463" s="84"/>
      <c r="D463" s="84"/>
      <c r="E463" s="85"/>
      <c r="F463" s="85"/>
      <c r="G463" s="86"/>
      <c r="H463" s="87"/>
      <c r="I463" s="84"/>
      <c r="J463" s="84"/>
      <c r="K463" s="69"/>
      <c r="L463" s="67"/>
      <c r="M463" s="67"/>
      <c r="N463" s="67"/>
    </row>
    <row r="464">
      <c r="A464" s="67"/>
      <c r="B464" s="84"/>
      <c r="C464" s="84"/>
      <c r="D464" s="84"/>
      <c r="E464" s="85"/>
      <c r="F464" s="85"/>
      <c r="G464" s="86"/>
      <c r="H464" s="87"/>
      <c r="I464" s="84"/>
      <c r="J464" s="84"/>
      <c r="K464" s="69"/>
      <c r="L464" s="67"/>
      <c r="M464" s="67"/>
      <c r="N464" s="67"/>
    </row>
    <row r="465">
      <c r="A465" s="67"/>
      <c r="B465" s="84"/>
      <c r="C465" s="84"/>
      <c r="D465" s="84"/>
      <c r="E465" s="85"/>
      <c r="F465" s="85"/>
      <c r="G465" s="86"/>
      <c r="H465" s="87"/>
      <c r="I465" s="84"/>
      <c r="J465" s="84"/>
      <c r="K465" s="69"/>
      <c r="L465" s="67"/>
      <c r="M465" s="67"/>
      <c r="N465" s="67"/>
    </row>
    <row r="466">
      <c r="A466" s="67"/>
      <c r="B466" s="84"/>
      <c r="C466" s="84"/>
      <c r="D466" s="84"/>
      <c r="E466" s="85"/>
      <c r="F466" s="85"/>
      <c r="G466" s="86"/>
      <c r="H466" s="87"/>
      <c r="I466" s="84"/>
      <c r="J466" s="84"/>
      <c r="K466" s="69"/>
      <c r="L466" s="67"/>
      <c r="M466" s="67"/>
      <c r="N466" s="67"/>
    </row>
    <row r="467">
      <c r="A467" s="67"/>
      <c r="B467" s="84"/>
      <c r="C467" s="84"/>
      <c r="D467" s="84"/>
      <c r="E467" s="85"/>
      <c r="F467" s="85"/>
      <c r="G467" s="86"/>
      <c r="H467" s="87"/>
      <c r="I467" s="84"/>
      <c r="J467" s="84"/>
      <c r="K467" s="69"/>
      <c r="L467" s="67"/>
      <c r="M467" s="67"/>
      <c r="N467" s="67"/>
    </row>
    <row r="468">
      <c r="A468" s="67"/>
      <c r="B468" s="84"/>
      <c r="C468" s="84"/>
      <c r="D468" s="84"/>
      <c r="E468" s="85"/>
      <c r="F468" s="85"/>
      <c r="G468" s="86"/>
      <c r="H468" s="87"/>
      <c r="I468" s="84"/>
      <c r="J468" s="84"/>
      <c r="K468" s="69"/>
      <c r="L468" s="67"/>
      <c r="M468" s="67"/>
      <c r="N468" s="67"/>
    </row>
    <row r="469">
      <c r="A469" s="67"/>
      <c r="B469" s="84"/>
      <c r="C469" s="84"/>
      <c r="D469" s="84"/>
      <c r="E469" s="85"/>
      <c r="F469" s="85"/>
      <c r="G469" s="86"/>
      <c r="H469" s="87"/>
      <c r="I469" s="84"/>
      <c r="J469" s="84"/>
      <c r="K469" s="69"/>
      <c r="L469" s="67"/>
      <c r="M469" s="67"/>
      <c r="N469" s="67"/>
    </row>
    <row r="470">
      <c r="A470" s="67"/>
      <c r="B470" s="84"/>
      <c r="C470" s="84"/>
      <c r="D470" s="84"/>
      <c r="E470" s="85"/>
      <c r="F470" s="85"/>
      <c r="G470" s="86"/>
      <c r="H470" s="87"/>
      <c r="I470" s="84"/>
      <c r="J470" s="84"/>
      <c r="K470" s="69"/>
      <c r="L470" s="67"/>
      <c r="M470" s="67"/>
      <c r="N470" s="67"/>
    </row>
    <row r="471">
      <c r="A471" s="67"/>
      <c r="B471" s="84"/>
      <c r="C471" s="84"/>
      <c r="D471" s="84"/>
      <c r="E471" s="85"/>
      <c r="F471" s="85"/>
      <c r="G471" s="86"/>
      <c r="H471" s="87"/>
      <c r="I471" s="84"/>
      <c r="J471" s="84"/>
      <c r="K471" s="69"/>
      <c r="L471" s="67"/>
      <c r="M471" s="67"/>
      <c r="N471" s="67"/>
    </row>
    <row r="472">
      <c r="A472" s="67"/>
      <c r="B472" s="84"/>
      <c r="C472" s="84"/>
      <c r="D472" s="84"/>
      <c r="E472" s="85"/>
      <c r="F472" s="85"/>
      <c r="G472" s="86"/>
      <c r="H472" s="87"/>
      <c r="I472" s="84"/>
      <c r="J472" s="84"/>
      <c r="K472" s="69"/>
      <c r="L472" s="67"/>
      <c r="M472" s="67"/>
      <c r="N472" s="67"/>
    </row>
    <row r="473">
      <c r="A473" s="67"/>
      <c r="B473" s="84"/>
      <c r="C473" s="84"/>
      <c r="D473" s="84"/>
      <c r="E473" s="85"/>
      <c r="F473" s="85"/>
      <c r="G473" s="86"/>
      <c r="H473" s="87"/>
      <c r="I473" s="84"/>
      <c r="J473" s="84"/>
      <c r="K473" s="69"/>
      <c r="L473" s="67"/>
      <c r="M473" s="67"/>
      <c r="N473" s="67"/>
    </row>
    <row r="474">
      <c r="A474" s="67"/>
      <c r="B474" s="84"/>
      <c r="C474" s="84"/>
      <c r="D474" s="84"/>
      <c r="E474" s="85"/>
      <c r="F474" s="85"/>
      <c r="G474" s="86"/>
      <c r="H474" s="87"/>
      <c r="I474" s="84"/>
      <c r="J474" s="84"/>
      <c r="K474" s="69"/>
      <c r="L474" s="67"/>
      <c r="M474" s="67"/>
      <c r="N474" s="67"/>
    </row>
    <row r="475">
      <c r="A475" s="67"/>
      <c r="B475" s="84"/>
      <c r="C475" s="84"/>
      <c r="D475" s="84"/>
      <c r="E475" s="85"/>
      <c r="F475" s="85"/>
      <c r="G475" s="86"/>
      <c r="H475" s="87"/>
      <c r="I475" s="84"/>
      <c r="J475" s="84"/>
      <c r="K475" s="69"/>
      <c r="L475" s="67"/>
      <c r="M475" s="67"/>
      <c r="N475" s="67"/>
    </row>
    <row r="476">
      <c r="A476" s="67"/>
      <c r="B476" s="84"/>
      <c r="C476" s="84"/>
      <c r="D476" s="84"/>
      <c r="E476" s="85"/>
      <c r="F476" s="85"/>
      <c r="G476" s="86"/>
      <c r="H476" s="87"/>
      <c r="I476" s="84"/>
      <c r="J476" s="84"/>
      <c r="K476" s="69"/>
      <c r="L476" s="67"/>
      <c r="M476" s="67"/>
      <c r="N476" s="67"/>
    </row>
    <row r="477">
      <c r="A477" s="67"/>
      <c r="B477" s="84"/>
      <c r="C477" s="84"/>
      <c r="D477" s="84"/>
      <c r="E477" s="85"/>
      <c r="F477" s="85"/>
      <c r="G477" s="86"/>
      <c r="H477" s="87"/>
      <c r="I477" s="84"/>
      <c r="J477" s="84"/>
      <c r="K477" s="69"/>
      <c r="L477" s="67"/>
      <c r="M477" s="67"/>
      <c r="N477" s="67"/>
    </row>
    <row r="478">
      <c r="A478" s="67"/>
      <c r="B478" s="84"/>
      <c r="C478" s="84"/>
      <c r="D478" s="84"/>
      <c r="E478" s="85"/>
      <c r="F478" s="85"/>
      <c r="G478" s="86"/>
      <c r="H478" s="87"/>
      <c r="I478" s="84"/>
      <c r="J478" s="84"/>
      <c r="K478" s="69"/>
      <c r="L478" s="67"/>
      <c r="M478" s="67"/>
      <c r="N478" s="67"/>
    </row>
    <row r="479">
      <c r="A479" s="67"/>
      <c r="B479" s="84"/>
      <c r="C479" s="84"/>
      <c r="D479" s="84"/>
      <c r="E479" s="85"/>
      <c r="F479" s="85"/>
      <c r="G479" s="86"/>
      <c r="H479" s="87"/>
      <c r="I479" s="84"/>
      <c r="J479" s="84"/>
      <c r="K479" s="69"/>
      <c r="L479" s="67"/>
      <c r="M479" s="67"/>
      <c r="N479" s="67"/>
    </row>
    <row r="480">
      <c r="A480" s="67"/>
      <c r="B480" s="84"/>
      <c r="C480" s="84"/>
      <c r="D480" s="84"/>
      <c r="E480" s="85"/>
      <c r="F480" s="85"/>
      <c r="G480" s="86"/>
      <c r="H480" s="87"/>
      <c r="I480" s="84"/>
      <c r="J480" s="84"/>
      <c r="K480" s="69"/>
      <c r="L480" s="67"/>
      <c r="M480" s="67"/>
      <c r="N480" s="67"/>
    </row>
    <row r="481">
      <c r="A481" s="67"/>
      <c r="B481" s="84"/>
      <c r="C481" s="84"/>
      <c r="D481" s="84"/>
      <c r="E481" s="85"/>
      <c r="F481" s="85"/>
      <c r="G481" s="86"/>
      <c r="H481" s="87"/>
      <c r="I481" s="84"/>
      <c r="J481" s="84"/>
      <c r="K481" s="69"/>
      <c r="L481" s="67"/>
      <c r="M481" s="67"/>
      <c r="N481" s="67"/>
    </row>
    <row r="482">
      <c r="A482" s="67"/>
      <c r="B482" s="84"/>
      <c r="C482" s="84"/>
      <c r="D482" s="84"/>
      <c r="E482" s="85"/>
      <c r="F482" s="85"/>
      <c r="G482" s="86"/>
      <c r="H482" s="87"/>
      <c r="I482" s="84"/>
      <c r="J482" s="84"/>
      <c r="K482" s="69"/>
      <c r="L482" s="67"/>
      <c r="M482" s="67"/>
      <c r="N482" s="67"/>
    </row>
    <row r="483">
      <c r="A483" s="67"/>
      <c r="B483" s="84"/>
      <c r="C483" s="84"/>
      <c r="D483" s="84"/>
      <c r="E483" s="85"/>
      <c r="F483" s="85"/>
      <c r="G483" s="86"/>
      <c r="H483" s="87"/>
      <c r="I483" s="84"/>
      <c r="J483" s="84"/>
      <c r="K483" s="69"/>
      <c r="L483" s="67"/>
      <c r="M483" s="67"/>
      <c r="N483" s="67"/>
    </row>
    <row r="484">
      <c r="A484" s="67"/>
      <c r="B484" s="84"/>
      <c r="C484" s="84"/>
      <c r="D484" s="84"/>
      <c r="E484" s="85"/>
      <c r="F484" s="85"/>
      <c r="G484" s="86"/>
      <c r="H484" s="87"/>
      <c r="I484" s="84"/>
      <c r="J484" s="84"/>
      <c r="K484" s="69"/>
      <c r="L484" s="67"/>
      <c r="M484" s="67"/>
      <c r="N484" s="67"/>
    </row>
    <row r="485">
      <c r="A485" s="67"/>
      <c r="B485" s="84"/>
      <c r="C485" s="84"/>
      <c r="D485" s="84"/>
      <c r="E485" s="85"/>
      <c r="F485" s="85"/>
      <c r="G485" s="86"/>
      <c r="H485" s="87"/>
      <c r="I485" s="84"/>
      <c r="J485" s="84"/>
      <c r="K485" s="69"/>
      <c r="L485" s="67"/>
      <c r="M485" s="67"/>
      <c r="N485" s="67"/>
    </row>
    <row r="486">
      <c r="A486" s="67"/>
      <c r="B486" s="84"/>
      <c r="C486" s="84"/>
      <c r="D486" s="84"/>
      <c r="E486" s="85"/>
      <c r="F486" s="85"/>
      <c r="G486" s="86"/>
      <c r="H486" s="87"/>
      <c r="I486" s="84"/>
      <c r="J486" s="84"/>
      <c r="K486" s="69"/>
      <c r="L486" s="67"/>
      <c r="M486" s="67"/>
      <c r="N486" s="67"/>
    </row>
    <row r="487">
      <c r="A487" s="67"/>
      <c r="B487" s="84"/>
      <c r="C487" s="84"/>
      <c r="D487" s="84"/>
      <c r="E487" s="85"/>
      <c r="F487" s="85"/>
      <c r="G487" s="86"/>
      <c r="H487" s="87"/>
      <c r="I487" s="84"/>
      <c r="J487" s="84"/>
      <c r="K487" s="69"/>
      <c r="L487" s="67"/>
      <c r="M487" s="67"/>
      <c r="N487" s="67"/>
    </row>
    <row r="488">
      <c r="A488" s="67"/>
      <c r="B488" s="84"/>
      <c r="C488" s="84"/>
      <c r="D488" s="84"/>
      <c r="E488" s="85"/>
      <c r="F488" s="85"/>
      <c r="G488" s="86"/>
      <c r="H488" s="87"/>
      <c r="I488" s="84"/>
      <c r="J488" s="84"/>
      <c r="K488" s="69"/>
      <c r="L488" s="67"/>
      <c r="M488" s="67"/>
      <c r="N488" s="67"/>
    </row>
    <row r="489">
      <c r="A489" s="67"/>
      <c r="B489" s="84"/>
      <c r="C489" s="84"/>
      <c r="D489" s="84"/>
      <c r="E489" s="85"/>
      <c r="F489" s="85"/>
      <c r="G489" s="86"/>
      <c r="H489" s="87"/>
      <c r="I489" s="84"/>
      <c r="J489" s="84"/>
      <c r="K489" s="69"/>
      <c r="L489" s="67"/>
      <c r="M489" s="67"/>
      <c r="N489" s="67"/>
    </row>
    <row r="490">
      <c r="A490" s="67"/>
      <c r="B490" s="84"/>
      <c r="C490" s="84"/>
      <c r="D490" s="84"/>
      <c r="E490" s="85"/>
      <c r="F490" s="85"/>
      <c r="G490" s="86"/>
      <c r="H490" s="87"/>
      <c r="I490" s="84"/>
      <c r="J490" s="84"/>
      <c r="K490" s="69"/>
      <c r="L490" s="67"/>
      <c r="M490" s="67"/>
      <c r="N490" s="67"/>
    </row>
    <row r="491">
      <c r="A491" s="67"/>
      <c r="B491" s="84"/>
      <c r="C491" s="84"/>
      <c r="D491" s="84"/>
      <c r="E491" s="85"/>
      <c r="F491" s="85"/>
      <c r="G491" s="86"/>
      <c r="H491" s="87"/>
      <c r="I491" s="84"/>
      <c r="J491" s="84"/>
      <c r="K491" s="69"/>
      <c r="L491" s="67"/>
      <c r="M491" s="67"/>
      <c r="N491" s="67"/>
    </row>
    <row r="492">
      <c r="A492" s="67"/>
      <c r="B492" s="84"/>
      <c r="C492" s="84"/>
      <c r="D492" s="84"/>
      <c r="E492" s="85"/>
      <c r="F492" s="85"/>
      <c r="G492" s="86"/>
      <c r="H492" s="87"/>
      <c r="I492" s="84"/>
      <c r="J492" s="84"/>
      <c r="K492" s="69"/>
      <c r="L492" s="67"/>
      <c r="M492" s="67"/>
      <c r="N492" s="67"/>
    </row>
    <row r="493">
      <c r="A493" s="67"/>
      <c r="B493" s="84"/>
      <c r="C493" s="84"/>
      <c r="D493" s="84"/>
      <c r="E493" s="85"/>
      <c r="F493" s="85"/>
      <c r="G493" s="86"/>
      <c r="H493" s="87"/>
      <c r="I493" s="84"/>
      <c r="J493" s="84"/>
      <c r="K493" s="69"/>
      <c r="L493" s="67"/>
      <c r="M493" s="67"/>
      <c r="N493" s="67"/>
    </row>
    <row r="494">
      <c r="A494" s="67"/>
      <c r="B494" s="84"/>
      <c r="C494" s="84"/>
      <c r="D494" s="84"/>
      <c r="E494" s="85"/>
      <c r="F494" s="85"/>
      <c r="G494" s="86"/>
      <c r="H494" s="87"/>
      <c r="I494" s="84"/>
      <c r="J494" s="84"/>
      <c r="K494" s="69"/>
      <c r="L494" s="67"/>
      <c r="M494" s="67"/>
      <c r="N494" s="67"/>
    </row>
    <row r="495">
      <c r="A495" s="67"/>
      <c r="B495" s="84"/>
      <c r="C495" s="84"/>
      <c r="D495" s="84"/>
      <c r="E495" s="85"/>
      <c r="F495" s="85"/>
      <c r="G495" s="86"/>
      <c r="H495" s="87"/>
      <c r="I495" s="84"/>
      <c r="J495" s="84"/>
      <c r="K495" s="69"/>
      <c r="L495" s="67"/>
      <c r="M495" s="67"/>
      <c r="N495" s="67"/>
    </row>
    <row r="496">
      <c r="A496" s="67"/>
      <c r="B496" s="84"/>
      <c r="C496" s="84"/>
      <c r="D496" s="84"/>
      <c r="E496" s="85"/>
      <c r="F496" s="85"/>
      <c r="G496" s="86"/>
      <c r="H496" s="87"/>
      <c r="I496" s="84"/>
      <c r="J496" s="84"/>
      <c r="K496" s="69"/>
      <c r="L496" s="67"/>
      <c r="M496" s="67"/>
      <c r="N496" s="67"/>
    </row>
    <row r="497">
      <c r="A497" s="67"/>
      <c r="B497" s="84"/>
      <c r="C497" s="84"/>
      <c r="D497" s="84"/>
      <c r="E497" s="85"/>
      <c r="F497" s="85"/>
      <c r="G497" s="86"/>
      <c r="H497" s="87"/>
      <c r="I497" s="84"/>
      <c r="J497" s="84"/>
      <c r="K497" s="69"/>
      <c r="L497" s="67"/>
      <c r="M497" s="67"/>
      <c r="N497" s="67"/>
    </row>
    <row r="498">
      <c r="A498" s="67"/>
      <c r="B498" s="84"/>
      <c r="C498" s="84"/>
      <c r="D498" s="84"/>
      <c r="E498" s="85"/>
      <c r="F498" s="85"/>
      <c r="G498" s="86"/>
      <c r="H498" s="87"/>
      <c r="I498" s="84"/>
      <c r="J498" s="84"/>
      <c r="K498" s="69"/>
      <c r="L498" s="67"/>
      <c r="M498" s="67"/>
      <c r="N498" s="67"/>
    </row>
    <row r="499">
      <c r="A499" s="67"/>
      <c r="B499" s="84"/>
      <c r="C499" s="84"/>
      <c r="D499" s="84"/>
      <c r="E499" s="85"/>
      <c r="F499" s="85"/>
      <c r="G499" s="86"/>
      <c r="H499" s="87"/>
      <c r="I499" s="84"/>
      <c r="J499" s="84"/>
      <c r="K499" s="69"/>
      <c r="L499" s="67"/>
      <c r="M499" s="67"/>
      <c r="N499" s="67"/>
    </row>
    <row r="500">
      <c r="A500" s="67"/>
      <c r="B500" s="84"/>
      <c r="C500" s="84"/>
      <c r="D500" s="84"/>
      <c r="E500" s="85"/>
      <c r="F500" s="85"/>
      <c r="G500" s="86"/>
      <c r="H500" s="87"/>
      <c r="I500" s="84"/>
      <c r="J500" s="84"/>
      <c r="K500" s="69"/>
      <c r="L500" s="67"/>
      <c r="M500" s="67"/>
      <c r="N500" s="67"/>
    </row>
    <row r="501">
      <c r="A501" s="67"/>
      <c r="B501" s="84"/>
      <c r="C501" s="84"/>
      <c r="D501" s="84"/>
      <c r="E501" s="85"/>
      <c r="F501" s="85"/>
      <c r="G501" s="86"/>
      <c r="H501" s="87"/>
      <c r="I501" s="84"/>
      <c r="J501" s="84"/>
      <c r="K501" s="69"/>
      <c r="L501" s="67"/>
      <c r="M501" s="67"/>
      <c r="N501" s="67"/>
    </row>
    <row r="502">
      <c r="A502" s="67"/>
      <c r="B502" s="84"/>
      <c r="C502" s="84"/>
      <c r="D502" s="84"/>
      <c r="E502" s="85"/>
      <c r="F502" s="85"/>
      <c r="G502" s="86"/>
      <c r="H502" s="87"/>
      <c r="I502" s="84"/>
      <c r="J502" s="84"/>
      <c r="K502" s="69"/>
      <c r="L502" s="67"/>
      <c r="M502" s="67"/>
      <c r="N502" s="67"/>
    </row>
    <row r="503">
      <c r="A503" s="67"/>
      <c r="B503" s="84"/>
      <c r="C503" s="84"/>
      <c r="D503" s="84"/>
      <c r="E503" s="85"/>
      <c r="F503" s="85"/>
      <c r="G503" s="86"/>
      <c r="H503" s="87"/>
      <c r="I503" s="84"/>
      <c r="J503" s="84"/>
      <c r="K503" s="69"/>
      <c r="L503" s="67"/>
      <c r="M503" s="67"/>
      <c r="N503" s="67"/>
    </row>
    <row r="504">
      <c r="A504" s="67"/>
      <c r="B504" s="84"/>
      <c r="C504" s="84"/>
      <c r="D504" s="84"/>
      <c r="E504" s="85"/>
      <c r="F504" s="85"/>
      <c r="G504" s="86"/>
      <c r="H504" s="87"/>
      <c r="I504" s="84"/>
      <c r="J504" s="84"/>
      <c r="K504" s="69"/>
      <c r="L504" s="67"/>
      <c r="M504" s="67"/>
      <c r="N504" s="67"/>
    </row>
    <row r="505">
      <c r="A505" s="67"/>
      <c r="B505" s="84"/>
      <c r="C505" s="84"/>
      <c r="D505" s="84"/>
      <c r="E505" s="85"/>
      <c r="F505" s="85"/>
      <c r="G505" s="86"/>
      <c r="H505" s="87"/>
      <c r="I505" s="84"/>
      <c r="J505" s="84"/>
      <c r="K505" s="69"/>
      <c r="L505" s="67"/>
      <c r="M505" s="67"/>
      <c r="N505" s="67"/>
    </row>
    <row r="506">
      <c r="A506" s="67"/>
      <c r="B506" s="84"/>
      <c r="C506" s="84"/>
      <c r="D506" s="84"/>
      <c r="E506" s="85"/>
      <c r="F506" s="85"/>
      <c r="G506" s="86"/>
      <c r="H506" s="87"/>
      <c r="I506" s="84"/>
      <c r="J506" s="84"/>
      <c r="K506" s="69"/>
      <c r="L506" s="67"/>
      <c r="M506" s="67"/>
      <c r="N506" s="67"/>
    </row>
    <row r="507">
      <c r="A507" s="67"/>
      <c r="B507" s="84"/>
      <c r="C507" s="84"/>
      <c r="D507" s="84"/>
      <c r="E507" s="85"/>
      <c r="F507" s="85"/>
      <c r="G507" s="86"/>
      <c r="H507" s="87"/>
      <c r="I507" s="84"/>
      <c r="J507" s="84"/>
      <c r="K507" s="69"/>
      <c r="L507" s="67"/>
      <c r="M507" s="67"/>
      <c r="N507" s="67"/>
    </row>
    <row r="508">
      <c r="A508" s="67"/>
      <c r="B508" s="84"/>
      <c r="C508" s="84"/>
      <c r="D508" s="84"/>
      <c r="E508" s="85"/>
      <c r="F508" s="85"/>
      <c r="G508" s="86"/>
      <c r="H508" s="87"/>
      <c r="I508" s="84"/>
      <c r="J508" s="84"/>
      <c r="K508" s="69"/>
      <c r="L508" s="67"/>
      <c r="M508" s="67"/>
      <c r="N508" s="67"/>
    </row>
    <row r="509">
      <c r="A509" s="67"/>
      <c r="B509" s="84"/>
      <c r="C509" s="84"/>
      <c r="D509" s="84"/>
      <c r="E509" s="85"/>
      <c r="F509" s="85"/>
      <c r="G509" s="86"/>
      <c r="H509" s="87"/>
      <c r="I509" s="84"/>
      <c r="J509" s="84"/>
      <c r="K509" s="69"/>
      <c r="L509" s="67"/>
      <c r="M509" s="67"/>
      <c r="N509" s="67"/>
    </row>
    <row r="510">
      <c r="A510" s="67"/>
      <c r="B510" s="84"/>
      <c r="C510" s="84"/>
      <c r="D510" s="84"/>
      <c r="E510" s="85"/>
      <c r="F510" s="85"/>
      <c r="G510" s="86"/>
      <c r="H510" s="87"/>
      <c r="I510" s="84"/>
      <c r="J510" s="84"/>
      <c r="K510" s="69"/>
      <c r="L510" s="67"/>
      <c r="M510" s="67"/>
      <c r="N510" s="67"/>
    </row>
    <row r="511">
      <c r="A511" s="67"/>
      <c r="B511" s="84"/>
      <c r="C511" s="84"/>
      <c r="D511" s="84"/>
      <c r="E511" s="85"/>
      <c r="F511" s="85"/>
      <c r="G511" s="86"/>
      <c r="H511" s="87"/>
      <c r="I511" s="84"/>
      <c r="J511" s="84"/>
      <c r="K511" s="69"/>
      <c r="L511" s="67"/>
      <c r="M511" s="67"/>
      <c r="N511" s="67"/>
    </row>
    <row r="512">
      <c r="A512" s="67"/>
      <c r="B512" s="84"/>
      <c r="C512" s="84"/>
      <c r="D512" s="84"/>
      <c r="E512" s="85"/>
      <c r="F512" s="85"/>
      <c r="G512" s="86"/>
      <c r="H512" s="87"/>
      <c r="I512" s="84"/>
      <c r="J512" s="84"/>
      <c r="K512" s="69"/>
      <c r="L512" s="67"/>
      <c r="M512" s="67"/>
      <c r="N512" s="67"/>
    </row>
    <row r="513">
      <c r="A513" s="67"/>
      <c r="B513" s="84"/>
      <c r="C513" s="84"/>
      <c r="D513" s="84"/>
      <c r="E513" s="85"/>
      <c r="F513" s="85"/>
      <c r="G513" s="86"/>
      <c r="H513" s="87"/>
      <c r="I513" s="84"/>
      <c r="J513" s="84"/>
      <c r="K513" s="69"/>
      <c r="L513" s="67"/>
      <c r="M513" s="67"/>
      <c r="N513" s="67"/>
    </row>
    <row r="514">
      <c r="A514" s="67"/>
      <c r="B514" s="84"/>
      <c r="C514" s="84"/>
      <c r="D514" s="84"/>
      <c r="E514" s="85"/>
      <c r="F514" s="85"/>
      <c r="G514" s="86"/>
      <c r="H514" s="87"/>
      <c r="I514" s="84"/>
      <c r="J514" s="84"/>
      <c r="K514" s="69"/>
      <c r="L514" s="67"/>
      <c r="M514" s="67"/>
      <c r="N514" s="67"/>
    </row>
    <row r="515">
      <c r="A515" s="67"/>
      <c r="B515" s="84"/>
      <c r="C515" s="84"/>
      <c r="D515" s="84"/>
      <c r="E515" s="85"/>
      <c r="F515" s="85"/>
      <c r="G515" s="86"/>
      <c r="H515" s="87"/>
      <c r="I515" s="84"/>
      <c r="J515" s="84"/>
      <c r="K515" s="69"/>
      <c r="L515" s="67"/>
      <c r="M515" s="67"/>
      <c r="N515" s="67"/>
    </row>
    <row r="516">
      <c r="A516" s="67"/>
      <c r="B516" s="84"/>
      <c r="C516" s="84"/>
      <c r="D516" s="84"/>
      <c r="E516" s="85"/>
      <c r="F516" s="85"/>
      <c r="G516" s="86"/>
      <c r="H516" s="87"/>
      <c r="I516" s="84"/>
      <c r="J516" s="84"/>
      <c r="K516" s="69"/>
      <c r="L516" s="67"/>
      <c r="M516" s="67"/>
      <c r="N516" s="67"/>
    </row>
    <row r="517">
      <c r="A517" s="67"/>
      <c r="B517" s="84"/>
      <c r="C517" s="84"/>
      <c r="D517" s="84"/>
      <c r="E517" s="85"/>
      <c r="F517" s="85"/>
      <c r="G517" s="86"/>
      <c r="H517" s="87"/>
      <c r="I517" s="84"/>
      <c r="J517" s="84"/>
      <c r="K517" s="69"/>
      <c r="L517" s="67"/>
      <c r="M517" s="67"/>
      <c r="N517" s="67"/>
    </row>
    <row r="518">
      <c r="A518" s="67"/>
      <c r="B518" s="84"/>
      <c r="C518" s="84"/>
      <c r="D518" s="84"/>
      <c r="E518" s="85"/>
      <c r="F518" s="85"/>
      <c r="G518" s="86"/>
      <c r="H518" s="87"/>
      <c r="I518" s="84"/>
      <c r="J518" s="84"/>
      <c r="K518" s="69"/>
      <c r="L518" s="67"/>
      <c r="M518" s="67"/>
      <c r="N518" s="67"/>
    </row>
    <row r="519">
      <c r="A519" s="67"/>
      <c r="B519" s="84"/>
      <c r="C519" s="84"/>
      <c r="D519" s="84"/>
      <c r="E519" s="85"/>
      <c r="F519" s="85"/>
      <c r="G519" s="86"/>
      <c r="H519" s="87"/>
      <c r="I519" s="84"/>
      <c r="J519" s="84"/>
      <c r="K519" s="69"/>
      <c r="L519" s="67"/>
      <c r="M519" s="67"/>
      <c r="N519" s="67"/>
    </row>
    <row r="520">
      <c r="A520" s="67"/>
      <c r="B520" s="84"/>
      <c r="C520" s="84"/>
      <c r="D520" s="84"/>
      <c r="E520" s="85"/>
      <c r="F520" s="85"/>
      <c r="G520" s="86"/>
      <c r="H520" s="87"/>
      <c r="I520" s="84"/>
      <c r="J520" s="84"/>
      <c r="K520" s="69"/>
      <c r="L520" s="67"/>
      <c r="M520" s="67"/>
      <c r="N520" s="67"/>
    </row>
    <row r="521">
      <c r="A521" s="67"/>
      <c r="B521" s="84"/>
      <c r="C521" s="84"/>
      <c r="D521" s="84"/>
      <c r="E521" s="85"/>
      <c r="F521" s="85"/>
      <c r="G521" s="86"/>
      <c r="H521" s="87"/>
      <c r="I521" s="84"/>
      <c r="J521" s="84"/>
      <c r="K521" s="69"/>
      <c r="L521" s="67"/>
      <c r="M521" s="67"/>
      <c r="N521" s="67"/>
    </row>
    <row r="522">
      <c r="A522" s="67"/>
      <c r="B522" s="84"/>
      <c r="C522" s="84"/>
      <c r="D522" s="84"/>
      <c r="E522" s="85"/>
      <c r="F522" s="85"/>
      <c r="G522" s="86"/>
      <c r="H522" s="87"/>
      <c r="I522" s="84"/>
      <c r="J522" s="84"/>
      <c r="K522" s="69"/>
      <c r="L522" s="67"/>
      <c r="M522" s="67"/>
      <c r="N522" s="67"/>
    </row>
    <row r="523">
      <c r="A523" s="67"/>
      <c r="B523" s="84"/>
      <c r="C523" s="84"/>
      <c r="D523" s="84"/>
      <c r="E523" s="85"/>
      <c r="F523" s="85"/>
      <c r="G523" s="86"/>
      <c r="H523" s="87"/>
      <c r="I523" s="84"/>
      <c r="J523" s="84"/>
      <c r="K523" s="69"/>
      <c r="L523" s="67"/>
      <c r="M523" s="67"/>
      <c r="N523" s="67"/>
    </row>
    <row r="524">
      <c r="A524" s="67"/>
      <c r="B524" s="84"/>
      <c r="C524" s="84"/>
      <c r="D524" s="84"/>
      <c r="E524" s="85"/>
      <c r="F524" s="85"/>
      <c r="G524" s="86"/>
      <c r="H524" s="87"/>
      <c r="I524" s="84"/>
      <c r="J524" s="84"/>
      <c r="K524" s="69"/>
      <c r="L524" s="67"/>
      <c r="M524" s="67"/>
      <c r="N524" s="67"/>
    </row>
    <row r="525">
      <c r="A525" s="67"/>
      <c r="B525" s="84"/>
      <c r="C525" s="84"/>
      <c r="D525" s="84"/>
      <c r="E525" s="85"/>
      <c r="F525" s="85"/>
      <c r="G525" s="86"/>
      <c r="H525" s="87"/>
      <c r="I525" s="84"/>
      <c r="J525" s="84"/>
      <c r="K525" s="69"/>
      <c r="L525" s="67"/>
      <c r="M525" s="67"/>
      <c r="N525" s="67"/>
    </row>
    <row r="526">
      <c r="A526" s="67"/>
      <c r="B526" s="84"/>
      <c r="C526" s="84"/>
      <c r="D526" s="84"/>
      <c r="E526" s="85"/>
      <c r="F526" s="85"/>
      <c r="G526" s="86"/>
      <c r="H526" s="87"/>
      <c r="I526" s="84"/>
      <c r="J526" s="84"/>
      <c r="K526" s="69"/>
      <c r="L526" s="67"/>
      <c r="M526" s="67"/>
      <c r="N526" s="67"/>
    </row>
    <row r="527">
      <c r="A527" s="67"/>
      <c r="B527" s="84"/>
      <c r="C527" s="84"/>
      <c r="D527" s="84"/>
      <c r="E527" s="85"/>
      <c r="F527" s="85"/>
      <c r="G527" s="86"/>
      <c r="H527" s="87"/>
      <c r="I527" s="84"/>
      <c r="J527" s="84"/>
      <c r="K527" s="69"/>
      <c r="L527" s="67"/>
      <c r="M527" s="67"/>
      <c r="N527" s="67"/>
    </row>
    <row r="528">
      <c r="A528" s="67"/>
      <c r="B528" s="84"/>
      <c r="C528" s="84"/>
      <c r="D528" s="84"/>
      <c r="E528" s="85"/>
      <c r="F528" s="85"/>
      <c r="G528" s="86"/>
      <c r="H528" s="87"/>
      <c r="I528" s="84"/>
      <c r="J528" s="84"/>
      <c r="K528" s="69"/>
      <c r="L528" s="67"/>
      <c r="M528" s="67"/>
      <c r="N528" s="67"/>
    </row>
    <row r="529">
      <c r="A529" s="67"/>
      <c r="B529" s="84"/>
      <c r="C529" s="84"/>
      <c r="D529" s="84"/>
      <c r="E529" s="85"/>
      <c r="F529" s="85"/>
      <c r="G529" s="86"/>
      <c r="H529" s="87"/>
      <c r="I529" s="84"/>
      <c r="J529" s="84"/>
      <c r="K529" s="69"/>
      <c r="L529" s="67"/>
      <c r="M529" s="67"/>
      <c r="N529" s="67"/>
    </row>
    <row r="530">
      <c r="A530" s="67"/>
      <c r="B530" s="84"/>
      <c r="C530" s="84"/>
      <c r="D530" s="84"/>
      <c r="E530" s="85"/>
      <c r="F530" s="85"/>
      <c r="G530" s="86"/>
      <c r="H530" s="87"/>
      <c r="I530" s="84"/>
      <c r="J530" s="84"/>
      <c r="K530" s="69"/>
      <c r="L530" s="67"/>
      <c r="M530" s="67"/>
      <c r="N530" s="67"/>
    </row>
    <row r="531">
      <c r="A531" s="67"/>
      <c r="B531" s="84"/>
      <c r="C531" s="84"/>
      <c r="D531" s="84"/>
      <c r="E531" s="85"/>
      <c r="F531" s="85"/>
      <c r="G531" s="86"/>
      <c r="H531" s="87"/>
      <c r="I531" s="84"/>
      <c r="J531" s="84"/>
      <c r="K531" s="69"/>
      <c r="L531" s="67"/>
      <c r="M531" s="67"/>
      <c r="N531" s="67"/>
    </row>
    <row r="532">
      <c r="A532" s="67"/>
      <c r="B532" s="84"/>
      <c r="C532" s="84"/>
      <c r="D532" s="84"/>
      <c r="E532" s="85"/>
      <c r="F532" s="85"/>
      <c r="G532" s="86"/>
      <c r="H532" s="87"/>
      <c r="I532" s="84"/>
      <c r="J532" s="84"/>
      <c r="K532" s="69"/>
      <c r="L532" s="67"/>
      <c r="M532" s="67"/>
      <c r="N532" s="67"/>
    </row>
    <row r="533">
      <c r="A533" s="67"/>
      <c r="B533" s="84"/>
      <c r="C533" s="84"/>
      <c r="D533" s="84"/>
      <c r="E533" s="85"/>
      <c r="F533" s="85"/>
      <c r="G533" s="86"/>
      <c r="H533" s="87"/>
      <c r="I533" s="84"/>
      <c r="J533" s="84"/>
      <c r="K533" s="69"/>
      <c r="L533" s="67"/>
      <c r="M533" s="67"/>
      <c r="N533" s="67"/>
    </row>
    <row r="534">
      <c r="A534" s="67"/>
      <c r="B534" s="84"/>
      <c r="C534" s="84"/>
      <c r="D534" s="84"/>
      <c r="E534" s="85"/>
      <c r="F534" s="85"/>
      <c r="G534" s="86"/>
      <c r="H534" s="87"/>
      <c r="I534" s="84"/>
      <c r="J534" s="84"/>
      <c r="K534" s="69"/>
      <c r="L534" s="67"/>
      <c r="M534" s="67"/>
      <c r="N534" s="67"/>
    </row>
    <row r="535">
      <c r="A535" s="67"/>
      <c r="B535" s="84"/>
      <c r="C535" s="84"/>
      <c r="D535" s="84"/>
      <c r="E535" s="85"/>
      <c r="F535" s="85"/>
      <c r="G535" s="86"/>
      <c r="H535" s="87"/>
      <c r="I535" s="84"/>
      <c r="J535" s="84"/>
      <c r="K535" s="69"/>
      <c r="L535" s="67"/>
      <c r="M535" s="67"/>
      <c r="N535" s="67"/>
    </row>
    <row r="536">
      <c r="A536" s="67"/>
      <c r="B536" s="84"/>
      <c r="C536" s="84"/>
      <c r="D536" s="84"/>
      <c r="E536" s="85"/>
      <c r="F536" s="85"/>
      <c r="G536" s="86"/>
      <c r="H536" s="87"/>
      <c r="I536" s="84"/>
      <c r="J536" s="84"/>
      <c r="K536" s="69"/>
      <c r="L536" s="67"/>
      <c r="M536" s="67"/>
      <c r="N536" s="67"/>
    </row>
    <row r="537">
      <c r="A537" s="67"/>
      <c r="B537" s="84"/>
      <c r="C537" s="84"/>
      <c r="D537" s="84"/>
      <c r="E537" s="85"/>
      <c r="F537" s="85"/>
      <c r="G537" s="86"/>
      <c r="H537" s="87"/>
      <c r="I537" s="84"/>
      <c r="J537" s="84"/>
      <c r="K537" s="69"/>
      <c r="L537" s="67"/>
      <c r="M537" s="67"/>
      <c r="N537" s="67"/>
    </row>
    <row r="538">
      <c r="A538" s="67"/>
      <c r="B538" s="84"/>
      <c r="C538" s="84"/>
      <c r="D538" s="84"/>
      <c r="E538" s="85"/>
      <c r="F538" s="85"/>
      <c r="G538" s="86"/>
      <c r="H538" s="87"/>
      <c r="I538" s="84"/>
      <c r="J538" s="84"/>
      <c r="K538" s="69"/>
      <c r="L538" s="67"/>
      <c r="M538" s="67"/>
      <c r="N538" s="67"/>
    </row>
    <row r="539">
      <c r="A539" s="67"/>
      <c r="B539" s="84"/>
      <c r="C539" s="84"/>
      <c r="D539" s="84"/>
      <c r="E539" s="85"/>
      <c r="F539" s="85"/>
      <c r="G539" s="86"/>
      <c r="H539" s="87"/>
      <c r="I539" s="84"/>
      <c r="J539" s="84"/>
      <c r="K539" s="69"/>
      <c r="L539" s="67"/>
      <c r="M539" s="67"/>
      <c r="N539" s="67"/>
    </row>
    <row r="540">
      <c r="A540" s="67"/>
      <c r="B540" s="84"/>
      <c r="C540" s="84"/>
      <c r="D540" s="84"/>
      <c r="E540" s="85"/>
      <c r="F540" s="85"/>
      <c r="G540" s="86"/>
      <c r="H540" s="87"/>
      <c r="I540" s="84"/>
      <c r="J540" s="84"/>
      <c r="K540" s="69"/>
      <c r="L540" s="67"/>
      <c r="M540" s="67"/>
      <c r="N540" s="67"/>
    </row>
    <row r="541">
      <c r="A541" s="67"/>
      <c r="B541" s="84"/>
      <c r="C541" s="84"/>
      <c r="D541" s="84"/>
      <c r="E541" s="85"/>
      <c r="F541" s="85"/>
      <c r="G541" s="86"/>
      <c r="H541" s="87"/>
      <c r="I541" s="84"/>
      <c r="J541" s="84"/>
      <c r="K541" s="69"/>
      <c r="L541" s="67"/>
      <c r="M541" s="67"/>
      <c r="N541" s="67"/>
    </row>
    <row r="542">
      <c r="A542" s="67"/>
      <c r="B542" s="84"/>
      <c r="C542" s="84"/>
      <c r="D542" s="84"/>
      <c r="E542" s="85"/>
      <c r="F542" s="85"/>
      <c r="G542" s="86"/>
      <c r="H542" s="87"/>
      <c r="I542" s="84"/>
      <c r="J542" s="84"/>
      <c r="K542" s="69"/>
      <c r="L542" s="67"/>
      <c r="M542" s="67"/>
      <c r="N542" s="67"/>
    </row>
    <row r="543">
      <c r="A543" s="67"/>
      <c r="B543" s="84"/>
      <c r="C543" s="84"/>
      <c r="D543" s="84"/>
      <c r="E543" s="85"/>
      <c r="F543" s="85"/>
      <c r="G543" s="86"/>
      <c r="H543" s="87"/>
      <c r="I543" s="84"/>
      <c r="J543" s="84"/>
      <c r="K543" s="69"/>
      <c r="L543" s="67"/>
      <c r="M543" s="67"/>
      <c r="N543" s="67"/>
    </row>
    <row r="544">
      <c r="A544" s="67"/>
      <c r="B544" s="84"/>
      <c r="C544" s="84"/>
      <c r="D544" s="84"/>
      <c r="E544" s="85"/>
      <c r="F544" s="85"/>
      <c r="G544" s="86"/>
      <c r="H544" s="87"/>
      <c r="I544" s="84"/>
      <c r="J544" s="84"/>
      <c r="K544" s="69"/>
      <c r="L544" s="67"/>
      <c r="M544" s="67"/>
      <c r="N544" s="67"/>
    </row>
    <row r="545">
      <c r="A545" s="67"/>
      <c r="B545" s="84"/>
      <c r="C545" s="84"/>
      <c r="D545" s="84"/>
      <c r="E545" s="85"/>
      <c r="F545" s="85"/>
      <c r="G545" s="86"/>
      <c r="H545" s="87"/>
      <c r="I545" s="84"/>
      <c r="J545" s="84"/>
      <c r="K545" s="69"/>
      <c r="L545" s="67"/>
      <c r="M545" s="67"/>
      <c r="N545" s="67"/>
    </row>
    <row r="546">
      <c r="A546" s="67"/>
      <c r="B546" s="84"/>
      <c r="C546" s="84"/>
      <c r="D546" s="84"/>
      <c r="E546" s="85"/>
      <c r="F546" s="85"/>
      <c r="G546" s="86"/>
      <c r="H546" s="87"/>
      <c r="I546" s="84"/>
      <c r="J546" s="84"/>
      <c r="K546" s="69"/>
      <c r="L546" s="67"/>
      <c r="M546" s="67"/>
      <c r="N546" s="67"/>
    </row>
    <row r="547">
      <c r="A547" s="67"/>
      <c r="B547" s="84"/>
      <c r="C547" s="84"/>
      <c r="D547" s="84"/>
      <c r="E547" s="85"/>
      <c r="F547" s="85"/>
      <c r="G547" s="86"/>
      <c r="H547" s="87"/>
      <c r="I547" s="84"/>
      <c r="J547" s="84"/>
      <c r="K547" s="69"/>
      <c r="L547" s="67"/>
      <c r="M547" s="67"/>
      <c r="N547" s="67"/>
    </row>
    <row r="548">
      <c r="A548" s="67"/>
      <c r="B548" s="84"/>
      <c r="C548" s="84"/>
      <c r="D548" s="84"/>
      <c r="E548" s="85"/>
      <c r="F548" s="85"/>
      <c r="G548" s="86"/>
      <c r="H548" s="87"/>
      <c r="I548" s="84"/>
      <c r="J548" s="84"/>
      <c r="K548" s="69"/>
      <c r="L548" s="67"/>
      <c r="M548" s="67"/>
      <c r="N548" s="67"/>
    </row>
    <row r="549">
      <c r="A549" s="67"/>
      <c r="B549" s="84"/>
      <c r="C549" s="84"/>
      <c r="D549" s="84"/>
      <c r="E549" s="85"/>
      <c r="F549" s="85"/>
      <c r="G549" s="86"/>
      <c r="H549" s="87"/>
      <c r="I549" s="84"/>
      <c r="J549" s="84"/>
      <c r="K549" s="69"/>
      <c r="L549" s="67"/>
      <c r="M549" s="67"/>
      <c r="N549" s="67"/>
    </row>
    <row r="550">
      <c r="A550" s="67"/>
      <c r="B550" s="84"/>
      <c r="C550" s="84"/>
      <c r="D550" s="84"/>
      <c r="E550" s="85"/>
      <c r="F550" s="85"/>
      <c r="G550" s="86"/>
      <c r="H550" s="87"/>
      <c r="I550" s="84"/>
      <c r="J550" s="84"/>
      <c r="K550" s="69"/>
      <c r="L550" s="67"/>
      <c r="M550" s="67"/>
      <c r="N550" s="67"/>
    </row>
    <row r="551">
      <c r="A551" s="67"/>
      <c r="B551" s="84"/>
      <c r="C551" s="84"/>
      <c r="D551" s="84"/>
      <c r="E551" s="85"/>
      <c r="F551" s="85"/>
      <c r="G551" s="86"/>
      <c r="H551" s="87"/>
      <c r="I551" s="84"/>
      <c r="J551" s="84"/>
      <c r="K551" s="69"/>
      <c r="L551" s="67"/>
      <c r="M551" s="67"/>
      <c r="N551" s="67"/>
    </row>
    <row r="552">
      <c r="A552" s="67"/>
      <c r="B552" s="84"/>
      <c r="C552" s="84"/>
      <c r="D552" s="84"/>
      <c r="E552" s="85"/>
      <c r="F552" s="85"/>
      <c r="G552" s="86"/>
      <c r="H552" s="87"/>
      <c r="I552" s="84"/>
      <c r="J552" s="84"/>
      <c r="K552" s="69"/>
      <c r="L552" s="67"/>
      <c r="M552" s="67"/>
      <c r="N552" s="67"/>
    </row>
    <row r="553">
      <c r="A553" s="67"/>
      <c r="B553" s="84"/>
      <c r="C553" s="84"/>
      <c r="D553" s="84"/>
      <c r="E553" s="85"/>
      <c r="F553" s="85"/>
      <c r="G553" s="86"/>
      <c r="H553" s="87"/>
      <c r="I553" s="84"/>
      <c r="J553" s="84"/>
      <c r="K553" s="69"/>
      <c r="L553" s="67"/>
      <c r="M553" s="67"/>
      <c r="N553" s="67"/>
    </row>
    <row r="554">
      <c r="A554" s="67"/>
      <c r="B554" s="84"/>
      <c r="C554" s="84"/>
      <c r="D554" s="84"/>
      <c r="E554" s="85"/>
      <c r="F554" s="85"/>
      <c r="G554" s="86"/>
      <c r="H554" s="87"/>
      <c r="I554" s="84"/>
      <c r="J554" s="84"/>
      <c r="K554" s="69"/>
      <c r="L554" s="67"/>
      <c r="M554" s="67"/>
      <c r="N554" s="67"/>
    </row>
    <row r="555">
      <c r="A555" s="67"/>
      <c r="B555" s="84"/>
      <c r="C555" s="84"/>
      <c r="D555" s="84"/>
      <c r="E555" s="85"/>
      <c r="F555" s="85"/>
      <c r="G555" s="86"/>
      <c r="H555" s="87"/>
      <c r="I555" s="84"/>
      <c r="J555" s="84"/>
      <c r="K555" s="69"/>
      <c r="L555" s="67"/>
      <c r="M555" s="67"/>
      <c r="N555" s="67"/>
    </row>
    <row r="556">
      <c r="A556" s="67"/>
      <c r="B556" s="84"/>
      <c r="C556" s="84"/>
      <c r="D556" s="84"/>
      <c r="E556" s="85"/>
      <c r="F556" s="85"/>
      <c r="G556" s="86"/>
      <c r="H556" s="87"/>
      <c r="I556" s="84"/>
      <c r="J556" s="84"/>
      <c r="K556" s="69"/>
      <c r="L556" s="67"/>
      <c r="M556" s="67"/>
      <c r="N556" s="67"/>
    </row>
    <row r="557">
      <c r="A557" s="67"/>
      <c r="B557" s="84"/>
      <c r="C557" s="84"/>
      <c r="D557" s="84"/>
      <c r="E557" s="85"/>
      <c r="F557" s="85"/>
      <c r="G557" s="86"/>
      <c r="H557" s="87"/>
      <c r="I557" s="84"/>
      <c r="J557" s="84"/>
      <c r="K557" s="69"/>
      <c r="L557" s="67"/>
      <c r="M557" s="67"/>
      <c r="N557" s="67"/>
    </row>
    <row r="558">
      <c r="A558" s="67"/>
      <c r="B558" s="84"/>
      <c r="C558" s="84"/>
      <c r="D558" s="84"/>
      <c r="E558" s="85"/>
      <c r="F558" s="85"/>
      <c r="G558" s="86"/>
      <c r="H558" s="87"/>
      <c r="I558" s="84"/>
      <c r="J558" s="84"/>
      <c r="K558" s="69"/>
      <c r="L558" s="67"/>
      <c r="M558" s="67"/>
      <c r="N558" s="67"/>
    </row>
    <row r="559">
      <c r="A559" s="67"/>
      <c r="B559" s="84"/>
      <c r="C559" s="84"/>
      <c r="D559" s="84"/>
      <c r="E559" s="85"/>
      <c r="F559" s="85"/>
      <c r="G559" s="86"/>
      <c r="H559" s="87"/>
      <c r="I559" s="84"/>
      <c r="J559" s="84"/>
      <c r="K559" s="69"/>
      <c r="L559" s="67"/>
      <c r="M559" s="67"/>
      <c r="N559" s="67"/>
    </row>
    <row r="560">
      <c r="A560" s="67"/>
      <c r="B560" s="84"/>
      <c r="C560" s="84"/>
      <c r="D560" s="84"/>
      <c r="E560" s="85"/>
      <c r="F560" s="85"/>
      <c r="G560" s="86"/>
      <c r="H560" s="87"/>
      <c r="I560" s="84"/>
      <c r="J560" s="84"/>
      <c r="K560" s="69"/>
      <c r="L560" s="67"/>
      <c r="M560" s="67"/>
      <c r="N560" s="67"/>
    </row>
    <row r="561">
      <c r="A561" s="67"/>
      <c r="B561" s="84"/>
      <c r="C561" s="84"/>
      <c r="D561" s="84"/>
      <c r="E561" s="85"/>
      <c r="F561" s="85"/>
      <c r="G561" s="86"/>
      <c r="H561" s="87"/>
      <c r="I561" s="84"/>
      <c r="J561" s="84"/>
      <c r="K561" s="69"/>
      <c r="L561" s="67"/>
      <c r="M561" s="67"/>
      <c r="N561" s="67"/>
    </row>
    <row r="562">
      <c r="A562" s="67"/>
      <c r="B562" s="84"/>
      <c r="C562" s="84"/>
      <c r="D562" s="84"/>
      <c r="E562" s="85"/>
      <c r="F562" s="85"/>
      <c r="G562" s="86"/>
      <c r="H562" s="87"/>
      <c r="I562" s="84"/>
      <c r="J562" s="84"/>
      <c r="K562" s="69"/>
      <c r="L562" s="67"/>
      <c r="M562" s="67"/>
      <c r="N562" s="67"/>
    </row>
    <row r="563">
      <c r="A563" s="67"/>
      <c r="B563" s="84"/>
      <c r="C563" s="84"/>
      <c r="D563" s="84"/>
      <c r="E563" s="85"/>
      <c r="F563" s="85"/>
      <c r="G563" s="86"/>
      <c r="H563" s="87"/>
      <c r="I563" s="84"/>
      <c r="J563" s="84"/>
      <c r="K563" s="69"/>
      <c r="L563" s="67"/>
      <c r="M563" s="67"/>
      <c r="N563" s="67"/>
    </row>
    <row r="564">
      <c r="A564" s="67"/>
      <c r="B564" s="84"/>
      <c r="C564" s="84"/>
      <c r="D564" s="84"/>
      <c r="E564" s="85"/>
      <c r="F564" s="85"/>
      <c r="G564" s="86"/>
      <c r="H564" s="87"/>
      <c r="I564" s="84"/>
      <c r="J564" s="84"/>
      <c r="K564" s="69"/>
      <c r="L564" s="67"/>
      <c r="M564" s="67"/>
      <c r="N564" s="67"/>
    </row>
    <row r="565">
      <c r="A565" s="67"/>
      <c r="B565" s="84"/>
      <c r="C565" s="84"/>
      <c r="D565" s="84"/>
      <c r="E565" s="85"/>
      <c r="F565" s="85"/>
      <c r="G565" s="86"/>
      <c r="H565" s="87"/>
      <c r="I565" s="84"/>
      <c r="J565" s="84"/>
      <c r="K565" s="69"/>
      <c r="L565" s="67"/>
      <c r="M565" s="67"/>
      <c r="N565" s="67"/>
    </row>
    <row r="566">
      <c r="A566" s="67"/>
      <c r="B566" s="84"/>
      <c r="C566" s="84"/>
      <c r="D566" s="84"/>
      <c r="E566" s="85"/>
      <c r="F566" s="85"/>
      <c r="G566" s="86"/>
      <c r="H566" s="87"/>
      <c r="I566" s="84"/>
      <c r="J566" s="84"/>
      <c r="K566" s="69"/>
      <c r="L566" s="67"/>
      <c r="M566" s="67"/>
      <c r="N566" s="67"/>
    </row>
    <row r="567">
      <c r="A567" s="67"/>
      <c r="B567" s="84"/>
      <c r="C567" s="84"/>
      <c r="D567" s="84"/>
      <c r="E567" s="85"/>
      <c r="F567" s="85"/>
      <c r="G567" s="86"/>
      <c r="H567" s="87"/>
      <c r="I567" s="84"/>
      <c r="J567" s="84"/>
      <c r="K567" s="69"/>
      <c r="L567" s="67"/>
      <c r="M567" s="67"/>
      <c r="N567" s="67"/>
    </row>
    <row r="568">
      <c r="A568" s="67"/>
      <c r="B568" s="84"/>
      <c r="C568" s="84"/>
      <c r="D568" s="84"/>
      <c r="E568" s="85"/>
      <c r="F568" s="85"/>
      <c r="G568" s="86"/>
      <c r="H568" s="87"/>
      <c r="I568" s="84"/>
      <c r="J568" s="84"/>
      <c r="K568" s="69"/>
      <c r="L568" s="67"/>
      <c r="M568" s="67"/>
      <c r="N568" s="67"/>
    </row>
    <row r="569">
      <c r="A569" s="67"/>
      <c r="B569" s="84"/>
      <c r="C569" s="84"/>
      <c r="D569" s="84"/>
      <c r="E569" s="85"/>
      <c r="F569" s="85"/>
      <c r="G569" s="86"/>
      <c r="H569" s="87"/>
      <c r="I569" s="84"/>
      <c r="J569" s="84"/>
      <c r="K569" s="69"/>
      <c r="L569" s="67"/>
      <c r="M569" s="67"/>
      <c r="N569" s="67"/>
    </row>
    <row r="570">
      <c r="A570" s="67"/>
      <c r="B570" s="84"/>
      <c r="C570" s="84"/>
      <c r="D570" s="84"/>
      <c r="E570" s="85"/>
      <c r="F570" s="85"/>
      <c r="G570" s="86"/>
      <c r="H570" s="87"/>
      <c r="I570" s="84"/>
      <c r="J570" s="84"/>
      <c r="K570" s="69"/>
      <c r="L570" s="67"/>
      <c r="M570" s="67"/>
      <c r="N570" s="67"/>
    </row>
    <row r="571">
      <c r="A571" s="67"/>
      <c r="B571" s="84"/>
      <c r="C571" s="84"/>
      <c r="D571" s="84"/>
      <c r="E571" s="85"/>
      <c r="F571" s="85"/>
      <c r="G571" s="86"/>
      <c r="H571" s="87"/>
      <c r="I571" s="84"/>
      <c r="J571" s="84"/>
      <c r="K571" s="69"/>
      <c r="L571" s="67"/>
      <c r="M571" s="67"/>
      <c r="N571" s="67"/>
    </row>
    <row r="572">
      <c r="A572" s="67"/>
      <c r="B572" s="84"/>
      <c r="C572" s="84"/>
      <c r="D572" s="84"/>
      <c r="E572" s="85"/>
      <c r="F572" s="85"/>
      <c r="G572" s="86"/>
      <c r="H572" s="87"/>
      <c r="I572" s="84"/>
      <c r="J572" s="84"/>
      <c r="K572" s="69"/>
      <c r="L572" s="67"/>
      <c r="M572" s="67"/>
      <c r="N572" s="67"/>
    </row>
    <row r="573">
      <c r="A573" s="67"/>
      <c r="B573" s="84"/>
      <c r="C573" s="84"/>
      <c r="D573" s="84"/>
      <c r="E573" s="85"/>
      <c r="F573" s="85"/>
      <c r="G573" s="86"/>
      <c r="H573" s="87"/>
      <c r="I573" s="84"/>
      <c r="J573" s="84"/>
      <c r="K573" s="69"/>
      <c r="L573" s="67"/>
      <c r="M573" s="67"/>
      <c r="N573" s="67"/>
    </row>
    <row r="574">
      <c r="A574" s="67"/>
      <c r="B574" s="84"/>
      <c r="C574" s="84"/>
      <c r="D574" s="84"/>
      <c r="E574" s="85"/>
      <c r="F574" s="85"/>
      <c r="G574" s="86"/>
      <c r="H574" s="87"/>
      <c r="I574" s="84"/>
      <c r="J574" s="84"/>
      <c r="K574" s="69"/>
      <c r="L574" s="67"/>
      <c r="M574" s="67"/>
      <c r="N574" s="67"/>
    </row>
    <row r="575">
      <c r="A575" s="67"/>
      <c r="B575" s="84"/>
      <c r="C575" s="84"/>
      <c r="D575" s="84"/>
      <c r="E575" s="85"/>
      <c r="F575" s="85"/>
      <c r="G575" s="86"/>
      <c r="H575" s="87"/>
      <c r="I575" s="84"/>
      <c r="J575" s="84"/>
      <c r="K575" s="69"/>
      <c r="L575" s="67"/>
      <c r="M575" s="67"/>
      <c r="N575" s="67"/>
    </row>
    <row r="576">
      <c r="A576" s="67"/>
      <c r="B576" s="84"/>
      <c r="C576" s="84"/>
      <c r="D576" s="84"/>
      <c r="E576" s="85"/>
      <c r="F576" s="85"/>
      <c r="G576" s="86"/>
      <c r="H576" s="87"/>
      <c r="I576" s="84"/>
      <c r="J576" s="84"/>
      <c r="K576" s="69"/>
      <c r="L576" s="67"/>
      <c r="M576" s="67"/>
      <c r="N576" s="67"/>
    </row>
    <row r="577">
      <c r="A577" s="67"/>
      <c r="B577" s="84"/>
      <c r="C577" s="84"/>
      <c r="D577" s="84"/>
      <c r="E577" s="85"/>
      <c r="F577" s="85"/>
      <c r="G577" s="86"/>
      <c r="H577" s="87"/>
      <c r="I577" s="84"/>
      <c r="J577" s="84"/>
      <c r="K577" s="69"/>
      <c r="L577" s="67"/>
      <c r="M577" s="67"/>
      <c r="N577" s="67"/>
    </row>
    <row r="578">
      <c r="A578" s="67"/>
      <c r="B578" s="84"/>
      <c r="C578" s="84"/>
      <c r="D578" s="84"/>
      <c r="E578" s="85"/>
      <c r="F578" s="85"/>
      <c r="G578" s="86"/>
      <c r="H578" s="87"/>
      <c r="I578" s="84"/>
      <c r="J578" s="84"/>
      <c r="K578" s="69"/>
      <c r="L578" s="67"/>
      <c r="M578" s="67"/>
      <c r="N578" s="67"/>
    </row>
    <row r="579">
      <c r="A579" s="67"/>
      <c r="B579" s="84"/>
      <c r="C579" s="84"/>
      <c r="D579" s="84"/>
      <c r="E579" s="85"/>
      <c r="F579" s="85"/>
      <c r="G579" s="86"/>
      <c r="H579" s="87"/>
      <c r="I579" s="84"/>
      <c r="J579" s="84"/>
      <c r="K579" s="69"/>
      <c r="L579" s="67"/>
      <c r="M579" s="67"/>
      <c r="N579" s="67"/>
    </row>
  </sheetData>
  <autoFilter ref="$A$11:$N$92">
    <filterColumn colId="1">
      <filters>
        <filter val="P&amp;D_2"/>
      </filters>
    </filterColumn>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6C60"/>
    <outlinePr summaryBelow="0" summaryRight="0"/>
  </sheetPr>
  <sheetViews>
    <sheetView showGridLines="0" workbookViewId="0"/>
  </sheetViews>
  <sheetFormatPr customHeight="1" defaultColWidth="12.63" defaultRowHeight="15.75"/>
  <cols>
    <col customWidth="1" min="1" max="1" width="2.63"/>
    <col customWidth="1" min="2" max="2" width="18.88"/>
    <col customWidth="1" min="3" max="5" width="15.13"/>
    <col customWidth="1" min="6" max="7" width="5.13"/>
  </cols>
  <sheetData>
    <row r="1" ht="11.25" customHeight="1">
      <c r="A1" s="67"/>
      <c r="B1" s="67"/>
      <c r="C1" s="67"/>
      <c r="D1" s="67"/>
      <c r="E1" s="67"/>
      <c r="F1" s="67"/>
      <c r="G1" s="67"/>
    </row>
    <row r="2">
      <c r="A2" s="67"/>
      <c r="B2" s="70" t="s">
        <v>56</v>
      </c>
      <c r="C2" s="67"/>
      <c r="D2" s="67"/>
      <c r="E2" s="67"/>
      <c r="F2" s="67"/>
      <c r="G2" s="67"/>
    </row>
    <row r="3">
      <c r="A3" s="67"/>
      <c r="B3" s="79" t="s">
        <v>57</v>
      </c>
      <c r="C3" s="67"/>
      <c r="D3" s="67"/>
      <c r="E3" s="67"/>
      <c r="F3" s="67"/>
      <c r="G3" s="67"/>
    </row>
    <row r="4">
      <c r="A4" s="67"/>
      <c r="B4" s="96" t="s">
        <v>199</v>
      </c>
      <c r="C4" s="67"/>
      <c r="D4" s="67"/>
      <c r="E4" s="67"/>
      <c r="F4" s="67"/>
      <c r="G4" s="67"/>
    </row>
    <row r="5">
      <c r="A5" s="67"/>
      <c r="B5" s="76" t="s">
        <v>59</v>
      </c>
      <c r="C5" s="67"/>
      <c r="D5" s="67"/>
      <c r="E5" s="67"/>
      <c r="F5" s="67"/>
      <c r="G5" s="67"/>
    </row>
    <row r="6">
      <c r="A6" s="67"/>
      <c r="C6" s="67"/>
      <c r="D6" s="67"/>
      <c r="E6" s="67"/>
      <c r="F6" s="67"/>
      <c r="G6" s="67"/>
    </row>
    <row r="7">
      <c r="A7" s="67"/>
      <c r="B7" s="71"/>
      <c r="C7" s="67"/>
      <c r="D7" s="67"/>
      <c r="E7" s="67"/>
      <c r="F7" s="67"/>
      <c r="G7" s="67"/>
    </row>
    <row r="8">
      <c r="A8" s="67"/>
      <c r="B8" s="70" t="s">
        <v>60</v>
      </c>
      <c r="C8" s="67"/>
      <c r="D8" s="67"/>
      <c r="E8" s="67"/>
      <c r="F8" s="67"/>
      <c r="G8" s="67"/>
    </row>
    <row r="9">
      <c r="A9" s="67"/>
      <c r="B9" s="79" t="s">
        <v>61</v>
      </c>
      <c r="C9" s="67"/>
      <c r="D9" s="67"/>
      <c r="E9" s="67"/>
      <c r="F9" s="67"/>
      <c r="G9" s="67"/>
    </row>
    <row r="10">
      <c r="A10" s="67"/>
      <c r="B10" s="67"/>
      <c r="C10" s="67"/>
      <c r="D10" s="67"/>
      <c r="E10" s="67"/>
      <c r="F10" s="67"/>
      <c r="G10" s="67"/>
    </row>
    <row r="11">
      <c r="A11" s="67"/>
      <c r="B11" s="80" t="s">
        <v>62</v>
      </c>
      <c r="C11" s="97" t="s">
        <v>200</v>
      </c>
      <c r="D11" s="97" t="s">
        <v>201</v>
      </c>
      <c r="E11" s="97" t="s">
        <v>202</v>
      </c>
      <c r="F11" s="98"/>
      <c r="G11" s="67"/>
    </row>
    <row r="12">
      <c r="A12" s="67"/>
      <c r="B12" s="99" t="s">
        <v>78</v>
      </c>
      <c r="C12" s="84" t="b">
        <f t="array" ref="C12:E12">transpose(IRIS!M4:M6)</f>
        <v>1</v>
      </c>
      <c r="D12" s="84" t="b">
        <v>0</v>
      </c>
      <c r="E12" s="84" t="b">
        <v>0</v>
      </c>
      <c r="F12" s="67"/>
      <c r="G12" s="67"/>
    </row>
    <row r="13">
      <c r="A13" s="67"/>
      <c r="B13" s="99" t="s">
        <v>51</v>
      </c>
      <c r="C13" s="84" t="b">
        <f t="array" ref="C13:E13">transpose(NOTIFY!M4:M6)</f>
        <v>1</v>
      </c>
      <c r="D13" s="84" t="b">
        <v>0</v>
      </c>
      <c r="E13" s="84" t="b">
        <v>0</v>
      </c>
      <c r="F13" s="67"/>
      <c r="G13" s="67"/>
    </row>
    <row r="14">
      <c r="A14" s="67"/>
      <c r="B14" s="84" t="s">
        <v>52</v>
      </c>
      <c r="C14" s="84" t="b">
        <f t="array" ref="C14:E14">TRANSPOSE('P&amp;D_1'!M4:M6)</f>
        <v>1</v>
      </c>
      <c r="D14" s="84" t="b">
        <v>0</v>
      </c>
      <c r="E14" s="84" t="b">
        <v>0</v>
      </c>
      <c r="F14" s="67"/>
      <c r="G14" s="67"/>
    </row>
    <row r="15">
      <c r="A15" s="67"/>
      <c r="B15" s="99" t="s">
        <v>53</v>
      </c>
      <c r="C15" s="84" t="b">
        <f t="array" ref="C15:E15">TRANSPOSE('P&amp;D_2'!M4:M6)</f>
        <v>1</v>
      </c>
      <c r="D15" s="84" t="b">
        <v>0</v>
      </c>
      <c r="E15" s="84" t="b">
        <v>0</v>
      </c>
      <c r="F15" s="67"/>
      <c r="G15" s="67"/>
    </row>
    <row r="16">
      <c r="A16" s="67"/>
      <c r="B16" s="99" t="s">
        <v>54</v>
      </c>
      <c r="C16" s="84" t="b">
        <f t="array" ref="C16:E16">transpose('P&amp;D_3'!M4:M6)</f>
        <v>1</v>
      </c>
      <c r="D16" s="84" t="b">
        <v>0</v>
      </c>
      <c r="E16" s="84" t="b">
        <v>0</v>
      </c>
      <c r="F16" s="67"/>
      <c r="G16" s="67"/>
    </row>
  </sheetData>
  <mergeCells count="1">
    <mergeCell ref="B5:B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6C60"/>
    <outlinePr summaryBelow="0" summaryRight="0"/>
  </sheetPr>
  <sheetViews>
    <sheetView showGridLines="0" workbookViewId="0"/>
  </sheetViews>
  <sheetFormatPr customHeight="1" defaultColWidth="12.63" defaultRowHeight="15.75"/>
  <cols>
    <col customWidth="1" min="1" max="1" width="2.63"/>
    <col customWidth="1" min="2" max="2" width="6.38"/>
    <col customWidth="1" min="3" max="3" width="8.88"/>
    <col customWidth="1" min="4" max="4" width="18.88"/>
    <col customWidth="1" min="5" max="5" width="20.63"/>
    <col customWidth="1" min="6" max="6" width="9.38"/>
    <col customWidth="1" min="7" max="7" width="7.25"/>
    <col customWidth="1" min="8" max="8" width="10.88"/>
    <col customWidth="1" min="9" max="9" width="6.25"/>
    <col customWidth="1" min="11" max="11" width="30.75"/>
    <col customWidth="1" min="12" max="12" width="7.63"/>
    <col customWidth="1" min="13" max="13" width="17.13"/>
    <col customWidth="1" min="14" max="14" width="15.63"/>
    <col customWidth="1" min="15" max="15" width="8.13"/>
    <col customWidth="1" min="16" max="16" width="5.13"/>
  </cols>
  <sheetData>
    <row r="1" ht="11.25" customHeight="1">
      <c r="A1" s="67"/>
      <c r="B1" s="67"/>
      <c r="C1" s="67"/>
      <c r="D1" s="67"/>
      <c r="E1" s="67"/>
      <c r="F1" s="68"/>
      <c r="G1" s="68"/>
      <c r="H1" s="78"/>
      <c r="I1" s="78"/>
      <c r="J1" s="67"/>
      <c r="K1" s="67"/>
      <c r="L1" s="100"/>
      <c r="M1" s="101"/>
      <c r="N1" s="101"/>
      <c r="O1" s="69"/>
      <c r="P1" s="67"/>
    </row>
    <row r="2">
      <c r="A2" s="67"/>
      <c r="B2" s="70" t="s">
        <v>56</v>
      </c>
      <c r="C2" s="71"/>
      <c r="D2" s="71"/>
      <c r="E2" s="71"/>
      <c r="F2" s="72"/>
      <c r="G2" s="72"/>
      <c r="H2" s="78"/>
      <c r="I2" s="78"/>
      <c r="J2" s="67"/>
      <c r="K2" s="67"/>
      <c r="L2" s="100"/>
      <c r="M2" s="101"/>
      <c r="N2" s="101"/>
      <c r="O2" s="69"/>
      <c r="P2" s="67"/>
    </row>
    <row r="3">
      <c r="A3" s="67"/>
      <c r="B3" s="79" t="s">
        <v>57</v>
      </c>
      <c r="C3" s="71"/>
      <c r="D3" s="71"/>
      <c r="E3" s="71"/>
      <c r="F3" s="72"/>
      <c r="G3" s="72"/>
      <c r="H3" s="78"/>
      <c r="I3" s="78"/>
      <c r="J3" s="67"/>
      <c r="K3" s="67"/>
      <c r="L3" s="100"/>
      <c r="M3" s="101"/>
      <c r="N3" s="101"/>
      <c r="O3" s="69"/>
      <c r="P3" s="67"/>
    </row>
    <row r="4">
      <c r="A4" s="67"/>
      <c r="B4" s="96" t="s">
        <v>203</v>
      </c>
      <c r="C4" s="71"/>
      <c r="D4" s="71"/>
      <c r="E4" s="71"/>
      <c r="F4" s="72"/>
      <c r="G4" s="72"/>
      <c r="H4" s="78"/>
      <c r="I4" s="78"/>
      <c r="J4" s="67"/>
      <c r="K4" s="67"/>
      <c r="L4" s="100"/>
      <c r="M4" s="101"/>
      <c r="N4" s="101"/>
      <c r="O4" s="69"/>
      <c r="P4" s="67"/>
    </row>
    <row r="5">
      <c r="A5" s="67"/>
      <c r="B5" s="76" t="s">
        <v>59</v>
      </c>
      <c r="E5" s="76"/>
      <c r="F5" s="76"/>
      <c r="G5" s="76"/>
      <c r="H5" s="78"/>
      <c r="I5" s="78"/>
      <c r="J5" s="67"/>
      <c r="K5" s="67"/>
      <c r="L5" s="100"/>
      <c r="M5" s="101"/>
      <c r="N5" s="101"/>
      <c r="O5" s="69"/>
      <c r="P5" s="67"/>
    </row>
    <row r="6">
      <c r="A6" s="67"/>
      <c r="E6" s="76"/>
      <c r="F6" s="76"/>
      <c r="G6" s="76"/>
      <c r="H6" s="78"/>
      <c r="I6" s="78"/>
      <c r="J6" s="102" t="s">
        <v>204</v>
      </c>
      <c r="K6" s="67"/>
      <c r="L6" s="100"/>
      <c r="M6" s="101"/>
      <c r="N6" s="101"/>
      <c r="O6" s="69"/>
      <c r="P6" s="67"/>
    </row>
    <row r="7">
      <c r="A7" s="67"/>
      <c r="B7" s="71"/>
      <c r="C7" s="71"/>
      <c r="D7" s="71"/>
      <c r="E7" s="71"/>
      <c r="F7" s="72"/>
      <c r="G7" s="72"/>
      <c r="H7" s="78"/>
      <c r="I7" s="78"/>
      <c r="J7" s="102" t="s">
        <v>205</v>
      </c>
      <c r="K7" s="67"/>
      <c r="L7" s="100"/>
      <c r="M7" s="101"/>
      <c r="N7" s="101"/>
      <c r="O7" s="69"/>
      <c r="P7" s="67"/>
    </row>
    <row r="8">
      <c r="A8" s="67"/>
      <c r="B8" s="70" t="s">
        <v>60</v>
      </c>
      <c r="C8" s="71"/>
      <c r="D8" s="71"/>
      <c r="E8" s="71"/>
      <c r="F8" s="72"/>
      <c r="G8" s="72"/>
      <c r="H8" s="78"/>
      <c r="I8" s="78"/>
      <c r="J8" s="102" t="s">
        <v>206</v>
      </c>
      <c r="K8" s="67"/>
      <c r="L8" s="100"/>
      <c r="M8" s="101"/>
      <c r="N8" s="101"/>
      <c r="O8" s="69"/>
      <c r="P8" s="67"/>
    </row>
    <row r="9">
      <c r="A9" s="67"/>
      <c r="B9" s="79" t="s">
        <v>207</v>
      </c>
      <c r="C9" s="71"/>
      <c r="D9" s="71"/>
      <c r="E9" s="71"/>
      <c r="F9" s="72"/>
      <c r="G9" s="72"/>
      <c r="H9" s="78"/>
      <c r="I9" s="78"/>
      <c r="J9" s="102" t="s">
        <v>208</v>
      </c>
      <c r="K9" s="67"/>
      <c r="L9" s="100"/>
      <c r="M9" s="101"/>
      <c r="N9" s="101"/>
      <c r="O9" s="69"/>
      <c r="P9" s="67"/>
    </row>
    <row r="10">
      <c r="A10" s="67"/>
      <c r="B10" s="67"/>
      <c r="C10" s="67"/>
      <c r="D10" s="67"/>
      <c r="E10" s="67"/>
      <c r="F10" s="68"/>
      <c r="G10" s="68"/>
      <c r="H10" s="78"/>
      <c r="I10" s="78"/>
      <c r="J10" s="103"/>
      <c r="K10" s="67"/>
      <c r="L10" s="104"/>
      <c r="M10" s="101"/>
      <c r="N10" s="101"/>
      <c r="O10" s="69"/>
      <c r="P10" s="67"/>
    </row>
    <row r="11">
      <c r="A11" s="67"/>
      <c r="B11" s="80" t="s">
        <v>209</v>
      </c>
      <c r="C11" s="80" t="s">
        <v>62</v>
      </c>
      <c r="D11" s="80" t="s">
        <v>63</v>
      </c>
      <c r="E11" s="80" t="s">
        <v>210</v>
      </c>
      <c r="F11" s="80" t="s">
        <v>211</v>
      </c>
      <c r="G11" s="80" t="s">
        <v>68</v>
      </c>
      <c r="H11" s="80" t="s">
        <v>212</v>
      </c>
      <c r="I11" s="80" t="s">
        <v>213</v>
      </c>
      <c r="J11" s="80" t="s">
        <v>214</v>
      </c>
      <c r="K11" s="80" t="s">
        <v>215</v>
      </c>
      <c r="L11" s="80" t="s">
        <v>216</v>
      </c>
      <c r="M11" s="80" t="s">
        <v>217</v>
      </c>
      <c r="N11" s="80" t="s">
        <v>71</v>
      </c>
      <c r="O11" s="80" t="s">
        <v>218</v>
      </c>
      <c r="P11" s="80" t="s">
        <v>213</v>
      </c>
    </row>
    <row r="12" hidden="1">
      <c r="A12" s="67"/>
      <c r="B12" s="84"/>
      <c r="C12" s="84" t="s">
        <v>78</v>
      </c>
      <c r="D12" s="84" t="s">
        <v>219</v>
      </c>
      <c r="E12" s="84" t="s">
        <v>220</v>
      </c>
      <c r="F12" s="87"/>
      <c r="G12" s="87">
        <v>44927.0</v>
      </c>
      <c r="H12" s="105">
        <v>19.77</v>
      </c>
      <c r="I12" s="106">
        <f t="shared" ref="I12:I273" si="1">H12/24</f>
        <v>0.82375</v>
      </c>
      <c r="J12" s="84" t="s">
        <v>206</v>
      </c>
      <c r="K12" s="107" t="s">
        <v>221</v>
      </c>
      <c r="L12" s="108">
        <f>iferror(if(and($M12=TRUE,$N12=TRUE),vlookup($E12,RH!$B$48:$S$70,month($G12)+6,false)*$H12,0),0)</f>
        <v>1057.082389</v>
      </c>
      <c r="M12" s="109" t="b">
        <f t="shared" ref="M12:M273" si="2">if(OR(J12="Treinamento",J12="Pesquisa",J12="Desenvolvimento"),TRUE,FALSE)</f>
        <v>1</v>
      </c>
      <c r="N12" s="109" t="b">
        <f t="array" ref="N12:N273">xlookup($C$12:$C273,'Resumo - PROJETOS'!$B:$B,'Resumo - PROJETOS'!$C:$C,,0)</f>
        <v>1</v>
      </c>
      <c r="O12" s="69" t="str">
        <f t="array" ref="O12:O273">xlookup($E$12:$E273,RH!$B:$B,RH!$V:$V,,0)</f>
        <v>Parcial</v>
      </c>
      <c r="P12" s="67"/>
    </row>
    <row r="13" hidden="1">
      <c r="A13" s="67"/>
      <c r="B13" s="84"/>
      <c r="C13" s="99" t="s">
        <v>78</v>
      </c>
      <c r="D13" s="84" t="s">
        <v>219</v>
      </c>
      <c r="E13" s="84" t="s">
        <v>222</v>
      </c>
      <c r="F13" s="87" t="s">
        <v>223</v>
      </c>
      <c r="G13" s="87">
        <v>44927.0</v>
      </c>
      <c r="H13" s="110">
        <v>2.5</v>
      </c>
      <c r="I13" s="106">
        <f t="shared" si="1"/>
        <v>0.1041666667</v>
      </c>
      <c r="J13" s="84" t="s">
        <v>208</v>
      </c>
      <c r="K13" s="107" t="s">
        <v>224</v>
      </c>
      <c r="L13" s="108">
        <f>iferror(if(and($M13=TRUE,$N13=TRUE),vlookup($E13,RH!$B$48:$S$70,month($G13)+6,false)*$H13,0),0)</f>
        <v>0</v>
      </c>
      <c r="M13" s="109" t="b">
        <f t="shared" si="2"/>
        <v>0</v>
      </c>
      <c r="N13" s="109" t="b">
        <v>1</v>
      </c>
      <c r="O13" s="69" t="s">
        <v>225</v>
      </c>
      <c r="P13" s="67"/>
    </row>
    <row r="14" hidden="1">
      <c r="A14" s="67"/>
      <c r="B14" s="84"/>
      <c r="C14" s="99" t="s">
        <v>78</v>
      </c>
      <c r="D14" s="84" t="s">
        <v>219</v>
      </c>
      <c r="E14" s="84" t="s">
        <v>226</v>
      </c>
      <c r="F14" s="87" t="s">
        <v>227</v>
      </c>
      <c r="G14" s="87">
        <v>44927.0</v>
      </c>
      <c r="H14" s="110">
        <v>28.0</v>
      </c>
      <c r="I14" s="106">
        <f t="shared" si="1"/>
        <v>1.166666667</v>
      </c>
      <c r="J14" s="84" t="s">
        <v>206</v>
      </c>
      <c r="K14" s="107" t="s">
        <v>76</v>
      </c>
      <c r="L14" s="108">
        <f>iferror(if(and($M14=TRUE,$N14=TRUE),vlookup($E14,RH!$B$48:$S$70,month($G14)+6,false)*$H14,0),0)</f>
        <v>598.9000898</v>
      </c>
      <c r="M14" s="109" t="b">
        <f t="shared" si="2"/>
        <v>1</v>
      </c>
      <c r="N14" s="109" t="b">
        <v>1</v>
      </c>
      <c r="O14" s="69" t="s">
        <v>225</v>
      </c>
      <c r="P14" s="67"/>
    </row>
    <row r="15" hidden="1">
      <c r="A15" s="67"/>
      <c r="B15" s="84"/>
      <c r="C15" s="99" t="s">
        <v>78</v>
      </c>
      <c r="D15" s="84" t="s">
        <v>219</v>
      </c>
      <c r="E15" s="84" t="s">
        <v>228</v>
      </c>
      <c r="F15" s="87"/>
      <c r="G15" s="87">
        <v>44927.0</v>
      </c>
      <c r="H15" s="110">
        <v>22.0</v>
      </c>
      <c r="I15" s="106">
        <f t="shared" si="1"/>
        <v>0.9166666667</v>
      </c>
      <c r="J15" s="84" t="s">
        <v>206</v>
      </c>
      <c r="K15" s="107" t="s">
        <v>76</v>
      </c>
      <c r="L15" s="108">
        <f>iferror(if(and($M15=TRUE,$N15=TRUE),vlookup($E15,RH!$B$48:$S$70,month($G15)+6,false)*$H15,0),0)</f>
        <v>929.5678616</v>
      </c>
      <c r="M15" s="109" t="b">
        <f t="shared" si="2"/>
        <v>1</v>
      </c>
      <c r="N15" s="109" t="b">
        <v>1</v>
      </c>
      <c r="O15" s="69" t="s">
        <v>225</v>
      </c>
      <c r="P15" s="67"/>
    </row>
    <row r="16" hidden="1">
      <c r="A16" s="67"/>
      <c r="B16" s="84"/>
      <c r="C16" s="99" t="s">
        <v>78</v>
      </c>
      <c r="D16" s="84" t="s">
        <v>219</v>
      </c>
      <c r="E16" s="84" t="s">
        <v>229</v>
      </c>
      <c r="F16" s="87"/>
      <c r="G16" s="87">
        <v>44927.0</v>
      </c>
      <c r="H16" s="110">
        <v>11.0</v>
      </c>
      <c r="I16" s="106">
        <f t="shared" si="1"/>
        <v>0.4583333333</v>
      </c>
      <c r="J16" s="84" t="s">
        <v>205</v>
      </c>
      <c r="K16" s="107" t="s">
        <v>221</v>
      </c>
      <c r="L16" s="108">
        <f>iferror(if(and($M16=TRUE,$N16=TRUE),vlookup($E16,RH!$B$48:$S$70,month($G16)+6,false)*$H16,0),0)</f>
        <v>689.2851566</v>
      </c>
      <c r="M16" s="109" t="b">
        <f t="shared" si="2"/>
        <v>1</v>
      </c>
      <c r="N16" s="109" t="b">
        <v>1</v>
      </c>
      <c r="O16" s="69" t="s">
        <v>225</v>
      </c>
      <c r="P16" s="67"/>
    </row>
    <row r="17" hidden="1">
      <c r="A17" s="67"/>
      <c r="B17" s="84"/>
      <c r="C17" s="99" t="s">
        <v>78</v>
      </c>
      <c r="D17" s="84" t="s">
        <v>230</v>
      </c>
      <c r="E17" s="84" t="s">
        <v>228</v>
      </c>
      <c r="F17" s="87"/>
      <c r="G17" s="87">
        <v>44958.0</v>
      </c>
      <c r="H17" s="110">
        <v>4.0</v>
      </c>
      <c r="I17" s="106">
        <f t="shared" si="1"/>
        <v>0.1666666667</v>
      </c>
      <c r="J17" s="84" t="s">
        <v>206</v>
      </c>
      <c r="K17" s="107" t="s">
        <v>76</v>
      </c>
      <c r="L17" s="108">
        <f>iferror(if(and($M17=TRUE,$N17=TRUE),vlookup($E17,RH!$B$48:$S$70,month($G17)+6,false)*$H17,0),0)</f>
        <v>175.0540501</v>
      </c>
      <c r="M17" s="109" t="b">
        <f t="shared" si="2"/>
        <v>1</v>
      </c>
      <c r="N17" s="109" t="b">
        <v>1</v>
      </c>
      <c r="O17" s="69" t="s">
        <v>225</v>
      </c>
      <c r="P17" s="67"/>
    </row>
    <row r="18" hidden="1">
      <c r="A18" s="67"/>
      <c r="B18" s="84"/>
      <c r="C18" s="99" t="s">
        <v>78</v>
      </c>
      <c r="D18" s="84" t="s">
        <v>230</v>
      </c>
      <c r="E18" s="84" t="s">
        <v>229</v>
      </c>
      <c r="F18" s="87"/>
      <c r="G18" s="87">
        <v>44958.0</v>
      </c>
      <c r="H18" s="110">
        <v>5.5</v>
      </c>
      <c r="I18" s="106">
        <f t="shared" si="1"/>
        <v>0.2291666667</v>
      </c>
      <c r="J18" s="84" t="s">
        <v>206</v>
      </c>
      <c r="K18" s="107" t="s">
        <v>221</v>
      </c>
      <c r="L18" s="108">
        <f>iferror(if(and($M18=TRUE,$N18=TRUE),vlookup($E18,RH!$B$48:$S$70,month($G18)+6,false)*$H18,0),0)</f>
        <v>356.9625727</v>
      </c>
      <c r="M18" s="109" t="b">
        <f t="shared" si="2"/>
        <v>1</v>
      </c>
      <c r="N18" s="109" t="b">
        <v>1</v>
      </c>
      <c r="O18" s="69" t="s">
        <v>225</v>
      </c>
      <c r="P18" s="67"/>
    </row>
    <row r="19" hidden="1">
      <c r="A19" s="67"/>
      <c r="B19" s="84"/>
      <c r="C19" s="99" t="s">
        <v>78</v>
      </c>
      <c r="D19" s="84" t="s">
        <v>230</v>
      </c>
      <c r="E19" s="84" t="s">
        <v>222</v>
      </c>
      <c r="F19" s="87" t="s">
        <v>223</v>
      </c>
      <c r="G19" s="87">
        <v>44958.0</v>
      </c>
      <c r="H19" s="110">
        <v>5.5</v>
      </c>
      <c r="I19" s="106">
        <f t="shared" si="1"/>
        <v>0.2291666667</v>
      </c>
      <c r="J19" s="84" t="s">
        <v>208</v>
      </c>
      <c r="K19" s="107" t="s">
        <v>224</v>
      </c>
      <c r="L19" s="108">
        <f>iferror(if(and($M19=TRUE,$N19=TRUE),vlookup($E19,RH!$B$48:$S$70,month($G19)+6,false)*$H19,0),0)</f>
        <v>0</v>
      </c>
      <c r="M19" s="109" t="b">
        <f t="shared" si="2"/>
        <v>0</v>
      </c>
      <c r="N19" s="109" t="b">
        <v>1</v>
      </c>
      <c r="O19" s="69" t="s">
        <v>225</v>
      </c>
      <c r="P19" s="67"/>
    </row>
    <row r="20" hidden="1">
      <c r="A20" s="67"/>
      <c r="B20" s="84"/>
      <c r="C20" s="99" t="s">
        <v>78</v>
      </c>
      <c r="D20" s="84" t="s">
        <v>231</v>
      </c>
      <c r="E20" s="84" t="s">
        <v>226</v>
      </c>
      <c r="F20" s="87" t="s">
        <v>227</v>
      </c>
      <c r="G20" s="87">
        <v>44958.0</v>
      </c>
      <c r="H20" s="110">
        <v>33.0</v>
      </c>
      <c r="I20" s="106">
        <f t="shared" si="1"/>
        <v>1.375</v>
      </c>
      <c r="J20" s="84" t="s">
        <v>206</v>
      </c>
      <c r="K20" s="107" t="s">
        <v>76</v>
      </c>
      <c r="L20" s="108">
        <f>iferror(if(and($M20=TRUE,$N20=TRUE),vlookup($E20,RH!$B$48:$S$70,month($G20)+6,false)*$H20,0),0)</f>
        <v>731.0785455</v>
      </c>
      <c r="M20" s="109" t="b">
        <f t="shared" si="2"/>
        <v>1</v>
      </c>
      <c r="N20" s="109" t="b">
        <v>1</v>
      </c>
      <c r="O20" s="69" t="s">
        <v>225</v>
      </c>
      <c r="P20" s="67"/>
    </row>
    <row r="21" hidden="1">
      <c r="A21" s="67"/>
      <c r="B21" s="84"/>
      <c r="C21" s="99" t="s">
        <v>78</v>
      </c>
      <c r="D21" s="84" t="s">
        <v>231</v>
      </c>
      <c r="E21" s="84" t="s">
        <v>232</v>
      </c>
      <c r="F21" s="87" t="s">
        <v>233</v>
      </c>
      <c r="G21" s="87">
        <v>44958.0</v>
      </c>
      <c r="H21" s="110">
        <v>4.33</v>
      </c>
      <c r="I21" s="106">
        <f t="shared" si="1"/>
        <v>0.1804166667</v>
      </c>
      <c r="J21" s="84" t="s">
        <v>206</v>
      </c>
      <c r="K21" s="107" t="s">
        <v>234</v>
      </c>
      <c r="L21" s="108">
        <f>iferror(if(and($M21=TRUE,$N21=TRUE),vlookup($E21,RH!$B$48:$S$70,month($G21)+6,false)*$H21,0),0)</f>
        <v>54.03424222</v>
      </c>
      <c r="M21" s="109" t="b">
        <f t="shared" si="2"/>
        <v>1</v>
      </c>
      <c r="N21" s="109" t="b">
        <v>1</v>
      </c>
      <c r="O21" s="69" t="s">
        <v>225</v>
      </c>
      <c r="P21" s="67"/>
    </row>
    <row r="22" hidden="1">
      <c r="A22" s="67"/>
      <c r="B22" s="84"/>
      <c r="C22" s="99" t="s">
        <v>78</v>
      </c>
      <c r="D22" s="84" t="s">
        <v>231</v>
      </c>
      <c r="E22" s="84" t="s">
        <v>222</v>
      </c>
      <c r="F22" s="87" t="s">
        <v>223</v>
      </c>
      <c r="G22" s="87">
        <v>44958.0</v>
      </c>
      <c r="H22" s="110">
        <v>6.0</v>
      </c>
      <c r="I22" s="106">
        <f t="shared" si="1"/>
        <v>0.25</v>
      </c>
      <c r="J22" s="84" t="s">
        <v>208</v>
      </c>
      <c r="K22" s="107" t="s">
        <v>224</v>
      </c>
      <c r="L22" s="108">
        <f>iferror(if(and($M22=TRUE,$N22=TRUE),vlookup($E22,RH!$B$48:$S$70,month($G22)+6,false)*$H22,0),0)</f>
        <v>0</v>
      </c>
      <c r="M22" s="109" t="b">
        <f t="shared" si="2"/>
        <v>0</v>
      </c>
      <c r="N22" s="109" t="b">
        <v>1</v>
      </c>
      <c r="O22" s="69" t="s">
        <v>225</v>
      </c>
      <c r="P22" s="67"/>
    </row>
    <row r="23" hidden="1">
      <c r="A23" s="67"/>
      <c r="B23" s="84"/>
      <c r="C23" s="99" t="s">
        <v>78</v>
      </c>
      <c r="D23" s="84" t="s">
        <v>235</v>
      </c>
      <c r="E23" s="84" t="s">
        <v>222</v>
      </c>
      <c r="F23" s="87" t="s">
        <v>223</v>
      </c>
      <c r="G23" s="87">
        <v>44958.0</v>
      </c>
      <c r="H23" s="110">
        <v>5.0</v>
      </c>
      <c r="I23" s="106">
        <f t="shared" si="1"/>
        <v>0.2083333333</v>
      </c>
      <c r="J23" s="84" t="s">
        <v>208</v>
      </c>
      <c r="K23" s="107" t="s">
        <v>224</v>
      </c>
      <c r="L23" s="108">
        <f>iferror(if(and($M23=TRUE,$N23=TRUE),vlookup($E23,RH!$B$48:$S$70,month($G23)+6,false)*$H23,0),0)</f>
        <v>0</v>
      </c>
      <c r="M23" s="109" t="b">
        <f t="shared" si="2"/>
        <v>0</v>
      </c>
      <c r="N23" s="109" t="b">
        <v>1</v>
      </c>
      <c r="O23" s="69" t="s">
        <v>225</v>
      </c>
      <c r="P23" s="67"/>
    </row>
    <row r="24" hidden="1">
      <c r="A24" s="67"/>
      <c r="B24" s="84"/>
      <c r="C24" s="99" t="s">
        <v>78</v>
      </c>
      <c r="D24" s="84" t="s">
        <v>235</v>
      </c>
      <c r="E24" s="84" t="s">
        <v>236</v>
      </c>
      <c r="F24" s="87" t="s">
        <v>237</v>
      </c>
      <c r="G24" s="87">
        <v>44958.0</v>
      </c>
      <c r="H24" s="110">
        <v>24.0</v>
      </c>
      <c r="I24" s="106">
        <f t="shared" si="1"/>
        <v>1</v>
      </c>
      <c r="J24" s="84" t="s">
        <v>206</v>
      </c>
      <c r="K24" s="107" t="s">
        <v>234</v>
      </c>
      <c r="L24" s="108">
        <f>iferror(if(and($M24=TRUE,$N24=TRUE),vlookup($E24,RH!$B$48:$S$70,month($G24)+6,false)*$H24,0),0)</f>
        <v>299.4969545</v>
      </c>
      <c r="M24" s="109" t="b">
        <f t="shared" si="2"/>
        <v>1</v>
      </c>
      <c r="N24" s="109" t="b">
        <v>1</v>
      </c>
      <c r="O24" s="69" t="s">
        <v>225</v>
      </c>
      <c r="P24" s="67"/>
    </row>
    <row r="25" hidden="1">
      <c r="A25" s="67"/>
      <c r="B25" s="84"/>
      <c r="C25" s="99" t="s">
        <v>78</v>
      </c>
      <c r="D25" s="84" t="s">
        <v>235</v>
      </c>
      <c r="E25" s="84" t="s">
        <v>238</v>
      </c>
      <c r="F25" s="87" t="s">
        <v>239</v>
      </c>
      <c r="G25" s="87">
        <v>44958.0</v>
      </c>
      <c r="H25" s="110">
        <v>3.0</v>
      </c>
      <c r="I25" s="106">
        <f t="shared" si="1"/>
        <v>0.125</v>
      </c>
      <c r="J25" s="84" t="s">
        <v>205</v>
      </c>
      <c r="K25" s="107" t="s">
        <v>240</v>
      </c>
      <c r="L25" s="108">
        <f>iferror(if(and($M25=TRUE,$N25=TRUE),vlookup($E25,RH!$B$48:$S$70,month($G25)+6,false)*$H25,0),0)</f>
        <v>320.4183047</v>
      </c>
      <c r="M25" s="109" t="b">
        <f t="shared" si="2"/>
        <v>1</v>
      </c>
      <c r="N25" s="109" t="b">
        <v>1</v>
      </c>
      <c r="O25" s="69" t="s">
        <v>225</v>
      </c>
      <c r="P25" s="67"/>
    </row>
    <row r="26" hidden="1">
      <c r="A26" s="67"/>
      <c r="B26" s="84"/>
      <c r="C26" s="99" t="s">
        <v>78</v>
      </c>
      <c r="D26" s="84" t="s">
        <v>230</v>
      </c>
      <c r="E26" s="84" t="s">
        <v>228</v>
      </c>
      <c r="F26" s="87"/>
      <c r="G26" s="87">
        <v>44986.0</v>
      </c>
      <c r="H26" s="110">
        <v>3.2</v>
      </c>
      <c r="I26" s="106">
        <f t="shared" si="1"/>
        <v>0.1333333333</v>
      </c>
      <c r="J26" s="84" t="s">
        <v>206</v>
      </c>
      <c r="K26" s="107" t="s">
        <v>76</v>
      </c>
      <c r="L26" s="108">
        <f>iferror(if(and($M26=TRUE,$N26=TRUE),vlookup($E26,RH!$B$48:$S$70,month($G26)+6,false)*$H26,0),0)</f>
        <v>121.7126755</v>
      </c>
      <c r="M26" s="109" t="b">
        <f t="shared" si="2"/>
        <v>1</v>
      </c>
      <c r="N26" s="109" t="b">
        <v>1</v>
      </c>
      <c r="O26" s="69" t="s">
        <v>225</v>
      </c>
      <c r="P26" s="67"/>
    </row>
    <row r="27" hidden="1">
      <c r="A27" s="67"/>
      <c r="B27" s="84"/>
      <c r="C27" s="99" t="s">
        <v>78</v>
      </c>
      <c r="D27" s="84" t="s">
        <v>230</v>
      </c>
      <c r="E27" s="84" t="s">
        <v>229</v>
      </c>
      <c r="F27" s="87"/>
      <c r="G27" s="87">
        <v>44986.0</v>
      </c>
      <c r="H27" s="110">
        <v>17.33</v>
      </c>
      <c r="I27" s="106">
        <f t="shared" si="1"/>
        <v>0.7220833333</v>
      </c>
      <c r="J27" s="84" t="s">
        <v>206</v>
      </c>
      <c r="K27" s="107" t="s">
        <v>221</v>
      </c>
      <c r="L27" s="108">
        <f>iferror(if(and($M27=TRUE,$N27=TRUE),vlookup($E27,RH!$B$48:$S$70,month($G27)+6,false)*$H27,0),0)</f>
        <v>977.5347738</v>
      </c>
      <c r="M27" s="109" t="b">
        <f t="shared" si="2"/>
        <v>1</v>
      </c>
      <c r="N27" s="109" t="b">
        <v>1</v>
      </c>
      <c r="O27" s="69" t="s">
        <v>225</v>
      </c>
      <c r="P27" s="67"/>
    </row>
    <row r="28" hidden="1">
      <c r="A28" s="67"/>
      <c r="B28" s="84"/>
      <c r="C28" s="99" t="s">
        <v>78</v>
      </c>
      <c r="D28" s="84" t="s">
        <v>230</v>
      </c>
      <c r="E28" s="84" t="s">
        <v>222</v>
      </c>
      <c r="F28" s="87" t="s">
        <v>223</v>
      </c>
      <c r="G28" s="87">
        <v>44986.0</v>
      </c>
      <c r="H28" s="110">
        <v>15.0</v>
      </c>
      <c r="I28" s="106">
        <f t="shared" si="1"/>
        <v>0.625</v>
      </c>
      <c r="J28" s="84" t="s">
        <v>208</v>
      </c>
      <c r="K28" s="107"/>
      <c r="L28" s="108">
        <f>iferror(if(and($M28=TRUE,$N28=TRUE),vlookup($E28,RH!$B$48:$S$70,month($G28)+6,false)*$H28,0),0)</f>
        <v>0</v>
      </c>
      <c r="M28" s="109" t="b">
        <f t="shared" si="2"/>
        <v>0</v>
      </c>
      <c r="N28" s="109" t="b">
        <v>1</v>
      </c>
      <c r="O28" s="69" t="s">
        <v>225</v>
      </c>
      <c r="P28" s="67"/>
    </row>
    <row r="29" hidden="1">
      <c r="A29" s="67"/>
      <c r="B29" s="84"/>
      <c r="C29" s="99" t="s">
        <v>78</v>
      </c>
      <c r="D29" s="84" t="s">
        <v>231</v>
      </c>
      <c r="E29" s="84" t="s">
        <v>226</v>
      </c>
      <c r="F29" s="87" t="s">
        <v>227</v>
      </c>
      <c r="G29" s="87">
        <v>44986.0</v>
      </c>
      <c r="H29" s="110">
        <v>30.0</v>
      </c>
      <c r="I29" s="106">
        <f t="shared" si="1"/>
        <v>1.25</v>
      </c>
      <c r="J29" s="84" t="s">
        <v>206</v>
      </c>
      <c r="K29" s="107" t="s">
        <v>76</v>
      </c>
      <c r="L29" s="108">
        <f>iferror(if(and($M29=TRUE,$N29=TRUE),vlookup($E29,RH!$B$48:$S$70,month($G29)+6,false)*$H29,0),0)</f>
        <v>577.6237122</v>
      </c>
      <c r="M29" s="109" t="b">
        <f t="shared" si="2"/>
        <v>1</v>
      </c>
      <c r="N29" s="109" t="b">
        <v>1</v>
      </c>
      <c r="O29" s="69" t="s">
        <v>225</v>
      </c>
      <c r="P29" s="67"/>
    </row>
    <row r="30" hidden="1">
      <c r="A30" s="67"/>
      <c r="B30" s="84"/>
      <c r="C30" s="99" t="s">
        <v>78</v>
      </c>
      <c r="D30" s="84" t="s">
        <v>231</v>
      </c>
      <c r="E30" s="84" t="s">
        <v>232</v>
      </c>
      <c r="F30" s="87" t="s">
        <v>233</v>
      </c>
      <c r="G30" s="87">
        <v>44986.0</v>
      </c>
      <c r="H30" s="110">
        <v>15.75</v>
      </c>
      <c r="I30" s="106">
        <f t="shared" si="1"/>
        <v>0.65625</v>
      </c>
      <c r="J30" s="84" t="s">
        <v>206</v>
      </c>
      <c r="K30" s="107" t="s">
        <v>234</v>
      </c>
      <c r="L30" s="108">
        <f>iferror(if(and($M30=TRUE,$N30=TRUE),vlookup($E30,RH!$B$48:$S$70,month($G30)+6,false)*$H30,0),0)</f>
        <v>170.8186897</v>
      </c>
      <c r="M30" s="109" t="b">
        <f t="shared" si="2"/>
        <v>1</v>
      </c>
      <c r="N30" s="109" t="b">
        <v>1</v>
      </c>
      <c r="O30" s="69" t="s">
        <v>225</v>
      </c>
      <c r="P30" s="67"/>
    </row>
    <row r="31" hidden="1">
      <c r="A31" s="67"/>
      <c r="B31" s="84"/>
      <c r="C31" s="99" t="s">
        <v>78</v>
      </c>
      <c r="D31" s="84" t="s">
        <v>231</v>
      </c>
      <c r="E31" s="84" t="s">
        <v>222</v>
      </c>
      <c r="F31" s="87" t="s">
        <v>223</v>
      </c>
      <c r="G31" s="87">
        <v>44986.0</v>
      </c>
      <c r="H31" s="110">
        <v>17.5</v>
      </c>
      <c r="I31" s="106">
        <f t="shared" si="1"/>
        <v>0.7291666667</v>
      </c>
      <c r="J31" s="84" t="s">
        <v>208</v>
      </c>
      <c r="K31" s="107" t="s">
        <v>224</v>
      </c>
      <c r="L31" s="108">
        <f>iferror(if(and($M31=TRUE,$N31=TRUE),vlookup($E31,RH!$B$48:$S$70,month($G31)+6,false)*$H31,0),0)</f>
        <v>0</v>
      </c>
      <c r="M31" s="109" t="b">
        <f t="shared" si="2"/>
        <v>0</v>
      </c>
      <c r="N31" s="109" t="b">
        <v>1</v>
      </c>
      <c r="O31" s="69" t="s">
        <v>225</v>
      </c>
      <c r="P31" s="67"/>
    </row>
    <row r="32" hidden="1">
      <c r="A32" s="67"/>
      <c r="B32" s="84"/>
      <c r="C32" s="99" t="s">
        <v>78</v>
      </c>
      <c r="D32" s="84" t="s">
        <v>241</v>
      </c>
      <c r="E32" s="84" t="s">
        <v>226</v>
      </c>
      <c r="F32" s="87" t="s">
        <v>227</v>
      </c>
      <c r="G32" s="87">
        <v>44986.0</v>
      </c>
      <c r="H32" s="110">
        <v>32.5</v>
      </c>
      <c r="I32" s="106">
        <f t="shared" si="1"/>
        <v>1.354166667</v>
      </c>
      <c r="J32" s="84" t="s">
        <v>206</v>
      </c>
      <c r="K32" s="107" t="s">
        <v>76</v>
      </c>
      <c r="L32" s="108">
        <f>iferror(if(and($M32=TRUE,$N32=TRUE),vlookup($E32,RH!$B$48:$S$70,month($G32)+6,false)*$H32,0),0)</f>
        <v>625.7590215</v>
      </c>
      <c r="M32" s="109" t="b">
        <f t="shared" si="2"/>
        <v>1</v>
      </c>
      <c r="N32" s="109" t="b">
        <v>1</v>
      </c>
      <c r="O32" s="69" t="s">
        <v>225</v>
      </c>
      <c r="P32" s="67"/>
    </row>
    <row r="33" hidden="1">
      <c r="A33" s="67"/>
      <c r="B33" s="84"/>
      <c r="C33" s="99" t="s">
        <v>78</v>
      </c>
      <c r="D33" s="84" t="s">
        <v>241</v>
      </c>
      <c r="E33" s="84" t="s">
        <v>220</v>
      </c>
      <c r="F33" s="87"/>
      <c r="G33" s="87">
        <v>44986.0</v>
      </c>
      <c r="H33" s="110">
        <v>16.85</v>
      </c>
      <c r="I33" s="106">
        <f t="shared" si="1"/>
        <v>0.7020833333</v>
      </c>
      <c r="J33" s="84" t="s">
        <v>206</v>
      </c>
      <c r="K33" s="107" t="s">
        <v>221</v>
      </c>
      <c r="L33" s="108">
        <f>iferror(if(and($M33=TRUE,$N33=TRUE),vlookup($E33,RH!$B$48:$S$70,month($G33)+6,false)*$H33,0),0)</f>
        <v>811.0161175</v>
      </c>
      <c r="M33" s="109" t="b">
        <f t="shared" si="2"/>
        <v>1</v>
      </c>
      <c r="N33" s="109" t="b">
        <v>1</v>
      </c>
      <c r="O33" s="69" t="s">
        <v>225</v>
      </c>
      <c r="P33" s="67"/>
    </row>
    <row r="34" hidden="1">
      <c r="A34" s="67"/>
      <c r="B34" s="84"/>
      <c r="C34" s="99" t="s">
        <v>78</v>
      </c>
      <c r="D34" s="84" t="s">
        <v>241</v>
      </c>
      <c r="E34" s="84" t="s">
        <v>238</v>
      </c>
      <c r="F34" s="87" t="s">
        <v>239</v>
      </c>
      <c r="G34" s="87">
        <v>44986.0</v>
      </c>
      <c r="H34" s="110">
        <v>5.5</v>
      </c>
      <c r="I34" s="106">
        <f t="shared" si="1"/>
        <v>0.2291666667</v>
      </c>
      <c r="J34" s="84" t="s">
        <v>205</v>
      </c>
      <c r="K34" s="107" t="s">
        <v>240</v>
      </c>
      <c r="L34" s="108">
        <f>iferror(if(and($M34=TRUE,$N34=TRUE),vlookup($E34,RH!$B$48:$S$70,month($G34)+6,false)*$H34,0),0)</f>
        <v>510.5431015</v>
      </c>
      <c r="M34" s="109" t="b">
        <f t="shared" si="2"/>
        <v>1</v>
      </c>
      <c r="N34" s="109" t="b">
        <v>1</v>
      </c>
      <c r="O34" s="69" t="s">
        <v>225</v>
      </c>
      <c r="P34" s="67"/>
    </row>
    <row r="35" hidden="1">
      <c r="A35" s="67"/>
      <c r="B35" s="84"/>
      <c r="C35" s="99" t="s">
        <v>78</v>
      </c>
      <c r="D35" s="84" t="s">
        <v>235</v>
      </c>
      <c r="E35" s="84" t="s">
        <v>220</v>
      </c>
      <c r="F35" s="87"/>
      <c r="G35" s="87">
        <v>44986.0</v>
      </c>
      <c r="H35" s="110">
        <v>1.92</v>
      </c>
      <c r="I35" s="106">
        <f t="shared" si="1"/>
        <v>0.08</v>
      </c>
      <c r="J35" s="84" t="s">
        <v>206</v>
      </c>
      <c r="K35" s="107" t="s">
        <v>221</v>
      </c>
      <c r="L35" s="108">
        <f>iferror(if(and($M35=TRUE,$N35=TRUE),vlookup($E35,RH!$B$48:$S$70,month($G35)+6,false)*$H35,0),0)</f>
        <v>92.41251903</v>
      </c>
      <c r="M35" s="109" t="b">
        <f t="shared" si="2"/>
        <v>1</v>
      </c>
      <c r="N35" s="109" t="b">
        <v>1</v>
      </c>
      <c r="O35" s="69" t="s">
        <v>225</v>
      </c>
      <c r="P35" s="67"/>
    </row>
    <row r="36" hidden="1">
      <c r="A36" s="67"/>
      <c r="B36" s="84"/>
      <c r="C36" s="99" t="s">
        <v>78</v>
      </c>
      <c r="D36" s="84" t="s">
        <v>235</v>
      </c>
      <c r="E36" s="84" t="s">
        <v>222</v>
      </c>
      <c r="F36" s="87" t="s">
        <v>223</v>
      </c>
      <c r="G36" s="87">
        <v>44986.0</v>
      </c>
      <c r="H36" s="110">
        <v>26.75</v>
      </c>
      <c r="I36" s="106">
        <f t="shared" si="1"/>
        <v>1.114583333</v>
      </c>
      <c r="J36" s="84" t="s">
        <v>208</v>
      </c>
      <c r="K36" s="107" t="s">
        <v>224</v>
      </c>
      <c r="L36" s="108">
        <f>iferror(if(and($M36=TRUE,$N36=TRUE),vlookup($E36,RH!$B$48:$S$70,month($G36)+6,false)*$H36,0),0)</f>
        <v>0</v>
      </c>
      <c r="M36" s="109" t="b">
        <f t="shared" si="2"/>
        <v>0</v>
      </c>
      <c r="N36" s="109" t="b">
        <v>1</v>
      </c>
      <c r="O36" s="69" t="s">
        <v>225</v>
      </c>
      <c r="P36" s="67"/>
    </row>
    <row r="37" hidden="1">
      <c r="A37" s="67"/>
      <c r="B37" s="84"/>
      <c r="C37" s="99" t="s">
        <v>78</v>
      </c>
      <c r="D37" s="84" t="s">
        <v>235</v>
      </c>
      <c r="E37" s="84" t="s">
        <v>236</v>
      </c>
      <c r="F37" s="87" t="s">
        <v>237</v>
      </c>
      <c r="G37" s="87">
        <v>44986.0</v>
      </c>
      <c r="H37" s="110">
        <v>86.58</v>
      </c>
      <c r="I37" s="106">
        <f t="shared" si="1"/>
        <v>3.6075</v>
      </c>
      <c r="J37" s="84" t="s">
        <v>206</v>
      </c>
      <c r="K37" s="107" t="s">
        <v>234</v>
      </c>
      <c r="L37" s="108">
        <f>iferror(if(and($M37=TRUE,$N37=TRUE),vlookup($E37,RH!$B$48:$S$70,month($G37)+6,false)*$H37,0),0)</f>
        <v>939.0147401</v>
      </c>
      <c r="M37" s="109" t="b">
        <f t="shared" si="2"/>
        <v>1</v>
      </c>
      <c r="N37" s="109" t="b">
        <v>1</v>
      </c>
      <c r="O37" s="69" t="s">
        <v>225</v>
      </c>
      <c r="P37" s="67"/>
    </row>
    <row r="38" hidden="1">
      <c r="A38" s="67"/>
      <c r="B38" s="84"/>
      <c r="C38" s="99" t="s">
        <v>78</v>
      </c>
      <c r="D38" s="84" t="s">
        <v>235</v>
      </c>
      <c r="E38" s="84" t="s">
        <v>238</v>
      </c>
      <c r="F38" s="87" t="s">
        <v>239</v>
      </c>
      <c r="G38" s="87">
        <v>44986.0</v>
      </c>
      <c r="H38" s="110">
        <v>61.98</v>
      </c>
      <c r="I38" s="106">
        <f t="shared" si="1"/>
        <v>2.5825</v>
      </c>
      <c r="J38" s="84" t="s">
        <v>205</v>
      </c>
      <c r="K38" s="107" t="s">
        <v>240</v>
      </c>
      <c r="L38" s="108">
        <f>iferror(if(and($M38=TRUE,$N38=TRUE),vlookup($E38,RH!$B$48:$S$70,month($G38)+6,false)*$H38,0),0)</f>
        <v>5753.356623</v>
      </c>
      <c r="M38" s="109" t="b">
        <f t="shared" si="2"/>
        <v>1</v>
      </c>
      <c r="N38" s="109" t="b">
        <v>1</v>
      </c>
      <c r="O38" s="69" t="s">
        <v>225</v>
      </c>
      <c r="P38" s="67"/>
    </row>
    <row r="39" hidden="1">
      <c r="A39" s="67"/>
      <c r="B39" s="84"/>
      <c r="C39" s="99" t="s">
        <v>78</v>
      </c>
      <c r="D39" s="84" t="s">
        <v>242</v>
      </c>
      <c r="E39" s="84" t="s">
        <v>226</v>
      </c>
      <c r="F39" s="87" t="s">
        <v>227</v>
      </c>
      <c r="G39" s="87">
        <v>45017.0</v>
      </c>
      <c r="H39" s="110">
        <v>80.25</v>
      </c>
      <c r="I39" s="106">
        <f t="shared" si="1"/>
        <v>3.34375</v>
      </c>
      <c r="J39" s="84" t="s">
        <v>206</v>
      </c>
      <c r="K39" s="107" t="s">
        <v>76</v>
      </c>
      <c r="L39" s="108">
        <f>iferror(if(and($M39=TRUE,$N39=TRUE),vlookup($E39,RH!$B$48:$S$70,month($G39)+6,false)*$H39,0),0)</f>
        <v>2124.38088</v>
      </c>
      <c r="M39" s="109" t="b">
        <f t="shared" si="2"/>
        <v>1</v>
      </c>
      <c r="N39" s="109" t="b">
        <v>1</v>
      </c>
      <c r="O39" s="69" t="s">
        <v>225</v>
      </c>
      <c r="P39" s="67"/>
    </row>
    <row r="40" hidden="1">
      <c r="A40" s="67"/>
      <c r="B40" s="84"/>
      <c r="C40" s="99" t="s">
        <v>78</v>
      </c>
      <c r="D40" s="84" t="s">
        <v>242</v>
      </c>
      <c r="E40" s="84" t="s">
        <v>232</v>
      </c>
      <c r="F40" s="87" t="s">
        <v>233</v>
      </c>
      <c r="G40" s="87">
        <v>45017.0</v>
      </c>
      <c r="H40" s="110">
        <v>15.58</v>
      </c>
      <c r="I40" s="106">
        <f t="shared" si="1"/>
        <v>0.6491666667</v>
      </c>
      <c r="J40" s="84" t="s">
        <v>206</v>
      </c>
      <c r="K40" s="107" t="s">
        <v>234</v>
      </c>
      <c r="L40" s="108">
        <f>iferror(if(and($M40=TRUE,$N40=TRUE),vlookup($E40,RH!$B$48:$S$70,month($G40)+6,false)*$H40,0),0)</f>
        <v>232.3196078</v>
      </c>
      <c r="M40" s="109" t="b">
        <f t="shared" si="2"/>
        <v>1</v>
      </c>
      <c r="N40" s="109" t="b">
        <v>1</v>
      </c>
      <c r="O40" s="69" t="s">
        <v>225</v>
      </c>
      <c r="P40" s="67"/>
    </row>
    <row r="41" hidden="1">
      <c r="A41" s="67"/>
      <c r="B41" s="84"/>
      <c r="C41" s="99" t="s">
        <v>78</v>
      </c>
      <c r="D41" s="84" t="s">
        <v>242</v>
      </c>
      <c r="E41" s="84" t="s">
        <v>236</v>
      </c>
      <c r="F41" s="87" t="s">
        <v>237</v>
      </c>
      <c r="G41" s="87">
        <v>45017.0</v>
      </c>
      <c r="H41" s="110">
        <v>25.0</v>
      </c>
      <c r="I41" s="106">
        <f t="shared" si="1"/>
        <v>1.041666667</v>
      </c>
      <c r="J41" s="84" t="s">
        <v>206</v>
      </c>
      <c r="K41" s="107" t="s">
        <v>234</v>
      </c>
      <c r="L41" s="108">
        <f>iferror(if(and($M41=TRUE,$N41=TRUE),vlookup($E41,RH!$B$48:$S$70,month($G41)+6,false)*$H41,0),0)</f>
        <v>372.7849933</v>
      </c>
      <c r="M41" s="109" t="b">
        <f t="shared" si="2"/>
        <v>1</v>
      </c>
      <c r="N41" s="109" t="b">
        <v>1</v>
      </c>
      <c r="O41" s="69" t="s">
        <v>225</v>
      </c>
      <c r="P41" s="67"/>
    </row>
    <row r="42" hidden="1">
      <c r="A42" s="67"/>
      <c r="B42" s="84"/>
      <c r="C42" s="99" t="s">
        <v>78</v>
      </c>
      <c r="D42" s="84" t="s">
        <v>242</v>
      </c>
      <c r="E42" s="84" t="s">
        <v>222</v>
      </c>
      <c r="F42" s="87" t="s">
        <v>223</v>
      </c>
      <c r="G42" s="87">
        <v>45017.0</v>
      </c>
      <c r="H42" s="110">
        <v>16.58</v>
      </c>
      <c r="I42" s="106">
        <f t="shared" si="1"/>
        <v>0.6908333333</v>
      </c>
      <c r="J42" s="84" t="s">
        <v>208</v>
      </c>
      <c r="K42" s="107" t="s">
        <v>224</v>
      </c>
      <c r="L42" s="108">
        <f>iferror(if(and($M42=TRUE,$N42=TRUE),vlookup($E42,RH!$B$48:$S$70,month($G42)+6,false)*$H42,0),0)</f>
        <v>0</v>
      </c>
      <c r="M42" s="109" t="b">
        <f t="shared" si="2"/>
        <v>0</v>
      </c>
      <c r="N42" s="109" t="b">
        <v>1</v>
      </c>
      <c r="O42" s="69" t="s">
        <v>225</v>
      </c>
      <c r="P42" s="67"/>
    </row>
    <row r="43" hidden="1">
      <c r="A43" s="67"/>
      <c r="B43" s="84"/>
      <c r="C43" s="99" t="s">
        <v>78</v>
      </c>
      <c r="D43" s="84" t="s">
        <v>243</v>
      </c>
      <c r="E43" s="84" t="s">
        <v>229</v>
      </c>
      <c r="F43" s="87"/>
      <c r="G43" s="87">
        <v>45017.0</v>
      </c>
      <c r="H43" s="110">
        <v>25.0</v>
      </c>
      <c r="I43" s="106">
        <f t="shared" si="1"/>
        <v>1.041666667</v>
      </c>
      <c r="J43" s="84" t="s">
        <v>206</v>
      </c>
      <c r="K43" s="107" t="s">
        <v>221</v>
      </c>
      <c r="L43" s="108">
        <f>iferror(if(and($M43=TRUE,$N43=TRUE),vlookup($E43,RH!$B$48:$S$70,month($G43)+6,false)*$H43,0),0)</f>
        <v>1938.818906</v>
      </c>
      <c r="M43" s="109" t="b">
        <f t="shared" si="2"/>
        <v>1</v>
      </c>
      <c r="N43" s="109" t="b">
        <v>1</v>
      </c>
      <c r="O43" s="69" t="s">
        <v>225</v>
      </c>
      <c r="P43" s="67"/>
    </row>
    <row r="44" hidden="1">
      <c r="A44" s="67"/>
      <c r="B44" s="84"/>
      <c r="C44" s="99" t="s">
        <v>78</v>
      </c>
      <c r="D44" s="84" t="s">
        <v>243</v>
      </c>
      <c r="E44" s="84" t="s">
        <v>222</v>
      </c>
      <c r="F44" s="87" t="s">
        <v>223</v>
      </c>
      <c r="G44" s="87">
        <v>45017.0</v>
      </c>
      <c r="H44" s="110">
        <v>10.0</v>
      </c>
      <c r="I44" s="106">
        <f t="shared" si="1"/>
        <v>0.4166666667</v>
      </c>
      <c r="J44" s="84" t="s">
        <v>208</v>
      </c>
      <c r="K44" s="107" t="s">
        <v>224</v>
      </c>
      <c r="L44" s="108">
        <f>iferror(if(and($M44=TRUE,$N44=TRUE),vlookup($E44,RH!$B$48:$S$70,month($G44)+6,false)*$H44,0),0)</f>
        <v>0</v>
      </c>
      <c r="M44" s="109" t="b">
        <f t="shared" si="2"/>
        <v>0</v>
      </c>
      <c r="N44" s="109" t="b">
        <v>1</v>
      </c>
      <c r="O44" s="69" t="s">
        <v>225</v>
      </c>
      <c r="P44" s="67"/>
    </row>
    <row r="45" hidden="1">
      <c r="A45" s="67"/>
      <c r="B45" s="84"/>
      <c r="C45" s="99" t="s">
        <v>78</v>
      </c>
      <c r="D45" s="84" t="s">
        <v>243</v>
      </c>
      <c r="E45" s="84" t="s">
        <v>228</v>
      </c>
      <c r="F45" s="87"/>
      <c r="G45" s="87">
        <v>45017.0</v>
      </c>
      <c r="H45" s="110">
        <v>1.0</v>
      </c>
      <c r="I45" s="106">
        <f t="shared" si="1"/>
        <v>0.04166666667</v>
      </c>
      <c r="J45" s="84" t="s">
        <v>206</v>
      </c>
      <c r="K45" s="107" t="s">
        <v>76</v>
      </c>
      <c r="L45" s="108">
        <f>iferror(if(and($M45=TRUE,$N45=TRUE),vlookup($E45,RH!$B$48:$S$70,month($G45)+6,false)*$H45,0),0)</f>
        <v>52.29370535</v>
      </c>
      <c r="M45" s="109" t="b">
        <f t="shared" si="2"/>
        <v>1</v>
      </c>
      <c r="N45" s="109" t="b">
        <v>1</v>
      </c>
      <c r="O45" s="69" t="s">
        <v>225</v>
      </c>
      <c r="P45" s="67"/>
    </row>
    <row r="46" hidden="1">
      <c r="A46" s="67"/>
      <c r="B46" s="84"/>
      <c r="C46" s="99" t="s">
        <v>78</v>
      </c>
      <c r="D46" s="84" t="s">
        <v>243</v>
      </c>
      <c r="E46" s="84" t="s">
        <v>220</v>
      </c>
      <c r="F46" s="87"/>
      <c r="G46" s="87">
        <v>45017.0</v>
      </c>
      <c r="H46" s="110">
        <v>1.75</v>
      </c>
      <c r="I46" s="106">
        <f t="shared" si="1"/>
        <v>0.07291666667</v>
      </c>
      <c r="J46" s="84" t="s">
        <v>206</v>
      </c>
      <c r="K46" s="107" t="s">
        <v>221</v>
      </c>
      <c r="L46" s="108">
        <f>iferror(if(and($M46=TRUE,$N46=TRUE),vlookup($E46,RH!$B$48:$S$70,month($G46)+6,false)*$H46,0),0)</f>
        <v>115.8060405</v>
      </c>
      <c r="M46" s="109" t="b">
        <f t="shared" si="2"/>
        <v>1</v>
      </c>
      <c r="N46" s="109" t="b">
        <v>1</v>
      </c>
      <c r="O46" s="69" t="s">
        <v>225</v>
      </c>
      <c r="P46" s="67"/>
    </row>
    <row r="47" hidden="1">
      <c r="A47" s="67"/>
      <c r="B47" s="84"/>
      <c r="C47" s="99" t="s">
        <v>78</v>
      </c>
      <c r="D47" s="84" t="s">
        <v>243</v>
      </c>
      <c r="E47" s="84" t="s">
        <v>244</v>
      </c>
      <c r="F47" s="87"/>
      <c r="G47" s="87">
        <v>45017.0</v>
      </c>
      <c r="H47" s="110">
        <v>7.75</v>
      </c>
      <c r="I47" s="106">
        <f t="shared" si="1"/>
        <v>0.3229166667</v>
      </c>
      <c r="J47" s="84" t="s">
        <v>206</v>
      </c>
      <c r="K47" s="107" t="s">
        <v>221</v>
      </c>
      <c r="L47" s="108">
        <f>iferror(if(and($M47=TRUE,$N47=TRUE),vlookup($E47,RH!$B$48:$S$70,month($G47)+6,false)*$H47,0),0)</f>
        <v>482.8532993</v>
      </c>
      <c r="M47" s="109" t="b">
        <f t="shared" si="2"/>
        <v>1</v>
      </c>
      <c r="N47" s="109" t="b">
        <v>1</v>
      </c>
      <c r="O47" s="69" t="s">
        <v>225</v>
      </c>
      <c r="P47" s="67"/>
    </row>
    <row r="48" hidden="1">
      <c r="A48" s="67"/>
      <c r="B48" s="84"/>
      <c r="C48" s="99" t="s">
        <v>78</v>
      </c>
      <c r="D48" s="84" t="s">
        <v>243</v>
      </c>
      <c r="E48" s="84" t="s">
        <v>245</v>
      </c>
      <c r="F48" s="87"/>
      <c r="G48" s="87">
        <v>45017.0</v>
      </c>
      <c r="H48" s="110">
        <v>5.3</v>
      </c>
      <c r="I48" s="106">
        <f t="shared" si="1"/>
        <v>0.2208333333</v>
      </c>
      <c r="J48" s="84" t="s">
        <v>206</v>
      </c>
      <c r="K48" s="107" t="s">
        <v>221</v>
      </c>
      <c r="L48" s="108">
        <f>iferror(if(and($M48=TRUE,$N48=TRUE),vlookup($E48,RH!$B$48:$S$70,month($G48)+6,false)*$H48,0),0)</f>
        <v>265.2828246</v>
      </c>
      <c r="M48" s="109" t="b">
        <f t="shared" si="2"/>
        <v>1</v>
      </c>
      <c r="N48" s="109" t="b">
        <v>1</v>
      </c>
      <c r="O48" s="69" t="s">
        <v>225</v>
      </c>
      <c r="P48" s="67"/>
    </row>
    <row r="49" hidden="1">
      <c r="A49" s="67"/>
      <c r="B49" s="84"/>
      <c r="C49" s="99" t="s">
        <v>78</v>
      </c>
      <c r="D49" s="84" t="s">
        <v>243</v>
      </c>
      <c r="E49" s="84" t="s">
        <v>246</v>
      </c>
      <c r="F49" s="87"/>
      <c r="G49" s="87">
        <v>45017.0</v>
      </c>
      <c r="H49" s="110">
        <v>5.67</v>
      </c>
      <c r="I49" s="106">
        <f t="shared" si="1"/>
        <v>0.23625</v>
      </c>
      <c r="J49" s="84" t="s">
        <v>206</v>
      </c>
      <c r="K49" s="107" t="s">
        <v>221</v>
      </c>
      <c r="L49" s="108">
        <f>iferror(if(and($M49=TRUE,$N49=TRUE),vlookup($E49,RH!$B$48:$S$70,month($G49)+6,false)*$H49,0),0)</f>
        <v>283.8025689</v>
      </c>
      <c r="M49" s="109" t="b">
        <f t="shared" si="2"/>
        <v>1</v>
      </c>
      <c r="N49" s="109" t="b">
        <v>1</v>
      </c>
      <c r="O49" s="69" t="s">
        <v>225</v>
      </c>
      <c r="P49" s="67"/>
    </row>
    <row r="50" hidden="1">
      <c r="A50" s="67"/>
      <c r="B50" s="84"/>
      <c r="C50" s="99" t="s">
        <v>78</v>
      </c>
      <c r="D50" s="84" t="s">
        <v>72</v>
      </c>
      <c r="E50" s="84" t="s">
        <v>222</v>
      </c>
      <c r="F50" s="87" t="s">
        <v>223</v>
      </c>
      <c r="G50" s="87">
        <v>45017.0</v>
      </c>
      <c r="H50" s="110">
        <v>28.17</v>
      </c>
      <c r="I50" s="106">
        <f t="shared" si="1"/>
        <v>1.17375</v>
      </c>
      <c r="J50" s="84" t="s">
        <v>208</v>
      </c>
      <c r="K50" s="107" t="s">
        <v>224</v>
      </c>
      <c r="L50" s="108">
        <f>iferror(if(and($M50=TRUE,$N50=TRUE),vlookup($E50,RH!$B$48:$S$70,month($G50)+6,false)*$H50,0),0)</f>
        <v>0</v>
      </c>
      <c r="M50" s="109" t="b">
        <f t="shared" si="2"/>
        <v>0</v>
      </c>
      <c r="N50" s="109" t="b">
        <v>1</v>
      </c>
      <c r="O50" s="69" t="s">
        <v>225</v>
      </c>
      <c r="P50" s="67"/>
    </row>
    <row r="51" hidden="1">
      <c r="A51" s="67"/>
      <c r="B51" s="84"/>
      <c r="C51" s="99" t="s">
        <v>78</v>
      </c>
      <c r="D51" s="84" t="s">
        <v>72</v>
      </c>
      <c r="E51" s="84" t="s">
        <v>247</v>
      </c>
      <c r="F51" s="87" t="s">
        <v>248</v>
      </c>
      <c r="G51" s="87">
        <v>45017.0</v>
      </c>
      <c r="H51" s="110">
        <v>54.28</v>
      </c>
      <c r="I51" s="106">
        <f t="shared" si="1"/>
        <v>2.261666667</v>
      </c>
      <c r="J51" s="84" t="s">
        <v>206</v>
      </c>
      <c r="K51" s="107" t="s">
        <v>249</v>
      </c>
      <c r="L51" s="108">
        <f>iferror(if(and($M51=TRUE,$N51=TRUE),vlookup($E51,RH!$B$48:$S$70,month($G51)+6,false)*$H51,0),0)</f>
        <v>5188.40242</v>
      </c>
      <c r="M51" s="109" t="b">
        <f t="shared" si="2"/>
        <v>1</v>
      </c>
      <c r="N51" s="109" t="b">
        <v>1</v>
      </c>
      <c r="O51" s="69" t="s">
        <v>225</v>
      </c>
      <c r="P51" s="67"/>
    </row>
    <row r="52" hidden="1">
      <c r="A52" s="67"/>
      <c r="B52" s="84"/>
      <c r="C52" s="99" t="s">
        <v>78</v>
      </c>
      <c r="D52" s="84" t="s">
        <v>72</v>
      </c>
      <c r="E52" s="84" t="s">
        <v>228</v>
      </c>
      <c r="F52" s="87"/>
      <c r="G52" s="87">
        <v>45017.0</v>
      </c>
      <c r="H52" s="110">
        <v>42.83</v>
      </c>
      <c r="I52" s="106">
        <f t="shared" si="1"/>
        <v>1.784583333</v>
      </c>
      <c r="J52" s="84" t="s">
        <v>206</v>
      </c>
      <c r="K52" s="107" t="s">
        <v>76</v>
      </c>
      <c r="L52" s="108">
        <f>iferror(if(and($M52=TRUE,$N52=TRUE),vlookup($E52,RH!$B$48:$S$70,month($G52)+6,false)*$H52,0),0)</f>
        <v>2239.7394</v>
      </c>
      <c r="M52" s="109" t="b">
        <f t="shared" si="2"/>
        <v>1</v>
      </c>
      <c r="N52" s="109" t="b">
        <v>1</v>
      </c>
      <c r="O52" s="69" t="s">
        <v>225</v>
      </c>
      <c r="P52" s="67"/>
    </row>
    <row r="53" hidden="1">
      <c r="A53" s="67"/>
      <c r="B53" s="84"/>
      <c r="C53" s="99" t="s">
        <v>78</v>
      </c>
      <c r="D53" s="84" t="s">
        <v>72</v>
      </c>
      <c r="E53" s="84" t="s">
        <v>229</v>
      </c>
      <c r="F53" s="87"/>
      <c r="G53" s="87">
        <v>45017.0</v>
      </c>
      <c r="H53" s="110">
        <v>19.5</v>
      </c>
      <c r="I53" s="106">
        <f t="shared" si="1"/>
        <v>0.8125</v>
      </c>
      <c r="J53" s="84" t="s">
        <v>206</v>
      </c>
      <c r="K53" s="107" t="s">
        <v>221</v>
      </c>
      <c r="L53" s="108">
        <f>iferror(if(and($M53=TRUE,$N53=TRUE),vlookup($E53,RH!$B$48:$S$70,month($G53)+6,false)*$H53,0),0)</f>
        <v>1512.278746</v>
      </c>
      <c r="M53" s="109" t="b">
        <f t="shared" si="2"/>
        <v>1</v>
      </c>
      <c r="N53" s="109" t="b">
        <v>1</v>
      </c>
      <c r="O53" s="69" t="s">
        <v>225</v>
      </c>
      <c r="P53" s="67"/>
    </row>
    <row r="54" hidden="1">
      <c r="A54" s="67"/>
      <c r="B54" s="84"/>
      <c r="C54" s="99" t="s">
        <v>78</v>
      </c>
      <c r="D54" s="84" t="s">
        <v>72</v>
      </c>
      <c r="E54" s="84" t="s">
        <v>236</v>
      </c>
      <c r="F54" s="87" t="s">
        <v>237</v>
      </c>
      <c r="G54" s="87">
        <v>45017.0</v>
      </c>
      <c r="H54" s="110">
        <v>40.5</v>
      </c>
      <c r="I54" s="106">
        <f t="shared" si="1"/>
        <v>1.6875</v>
      </c>
      <c r="J54" s="84" t="s">
        <v>206</v>
      </c>
      <c r="K54" s="107" t="s">
        <v>234</v>
      </c>
      <c r="L54" s="108">
        <f>iferror(if(and($M54=TRUE,$N54=TRUE),vlookup($E54,RH!$B$48:$S$70,month($G54)+6,false)*$H54,0),0)</f>
        <v>603.9116892</v>
      </c>
      <c r="M54" s="109" t="b">
        <f t="shared" si="2"/>
        <v>1</v>
      </c>
      <c r="N54" s="109" t="b">
        <v>1</v>
      </c>
      <c r="O54" s="69" t="s">
        <v>225</v>
      </c>
      <c r="P54" s="67"/>
    </row>
    <row r="55" hidden="1">
      <c r="A55" s="67"/>
      <c r="B55" s="84"/>
      <c r="C55" s="99" t="s">
        <v>78</v>
      </c>
      <c r="D55" s="84" t="s">
        <v>72</v>
      </c>
      <c r="E55" s="84" t="s">
        <v>244</v>
      </c>
      <c r="F55" s="87"/>
      <c r="G55" s="87">
        <v>45017.0</v>
      </c>
      <c r="H55" s="110">
        <v>3.25</v>
      </c>
      <c r="I55" s="106">
        <f t="shared" si="1"/>
        <v>0.1354166667</v>
      </c>
      <c r="J55" s="84" t="s">
        <v>206</v>
      </c>
      <c r="K55" s="107" t="s">
        <v>221</v>
      </c>
      <c r="L55" s="108">
        <f>iferror(if(and($M55=TRUE,$N55=TRUE),vlookup($E55,RH!$B$48:$S$70,month($G55)+6,false)*$H55,0),0)</f>
        <v>202.4868674</v>
      </c>
      <c r="M55" s="109" t="b">
        <f t="shared" si="2"/>
        <v>1</v>
      </c>
      <c r="N55" s="109" t="b">
        <v>1</v>
      </c>
      <c r="O55" s="69" t="s">
        <v>225</v>
      </c>
      <c r="P55" s="67"/>
    </row>
    <row r="56" hidden="1">
      <c r="A56" s="67"/>
      <c r="B56" s="84"/>
      <c r="C56" s="99" t="s">
        <v>78</v>
      </c>
      <c r="D56" s="84" t="s">
        <v>72</v>
      </c>
      <c r="E56" s="84" t="s">
        <v>238</v>
      </c>
      <c r="F56" s="87" t="s">
        <v>239</v>
      </c>
      <c r="G56" s="87">
        <v>45017.0</v>
      </c>
      <c r="H56" s="110">
        <v>83.25</v>
      </c>
      <c r="I56" s="106">
        <f t="shared" si="1"/>
        <v>3.46875</v>
      </c>
      <c r="J56" s="84" t="s">
        <v>205</v>
      </c>
      <c r="K56" s="107" t="s">
        <v>240</v>
      </c>
      <c r="L56" s="108">
        <f>iferror(if(and($M56=TRUE,$N56=TRUE),vlookup($E56,RH!$B$48:$S$70,month($G56)+6,false)*$H56,0),0)</f>
        <v>10624.72137</v>
      </c>
      <c r="M56" s="109" t="b">
        <f t="shared" si="2"/>
        <v>1</v>
      </c>
      <c r="N56" s="109" t="b">
        <v>1</v>
      </c>
      <c r="O56" s="69" t="s">
        <v>225</v>
      </c>
      <c r="P56" s="67"/>
    </row>
    <row r="57" hidden="1">
      <c r="A57" s="67"/>
      <c r="B57" s="84"/>
      <c r="C57" s="99" t="s">
        <v>78</v>
      </c>
      <c r="D57" s="84" t="s">
        <v>243</v>
      </c>
      <c r="E57" s="84" t="s">
        <v>222</v>
      </c>
      <c r="F57" s="87" t="s">
        <v>223</v>
      </c>
      <c r="G57" s="87">
        <v>45047.0</v>
      </c>
      <c r="H57" s="110">
        <v>10.0</v>
      </c>
      <c r="I57" s="106">
        <f t="shared" si="1"/>
        <v>0.4166666667</v>
      </c>
      <c r="J57" s="84" t="s">
        <v>208</v>
      </c>
      <c r="K57" s="107" t="s">
        <v>224</v>
      </c>
      <c r="L57" s="108">
        <f>iferror(if(and($M57=TRUE,$N57=TRUE),vlookup($E57,RH!$B$48:$S$70,month($G57)+6,false)*$H57,0),0)</f>
        <v>0</v>
      </c>
      <c r="M57" s="109" t="b">
        <f t="shared" si="2"/>
        <v>0</v>
      </c>
      <c r="N57" s="109" t="b">
        <v>1</v>
      </c>
      <c r="O57" s="69" t="s">
        <v>225</v>
      </c>
      <c r="P57" s="67"/>
    </row>
    <row r="58" hidden="1">
      <c r="A58" s="67"/>
      <c r="B58" s="84"/>
      <c r="C58" s="99" t="s">
        <v>78</v>
      </c>
      <c r="D58" s="84" t="s">
        <v>243</v>
      </c>
      <c r="E58" s="84" t="s">
        <v>226</v>
      </c>
      <c r="F58" s="87" t="s">
        <v>227</v>
      </c>
      <c r="G58" s="87">
        <v>45047.0</v>
      </c>
      <c r="H58" s="110">
        <v>34.0</v>
      </c>
      <c r="I58" s="106">
        <f t="shared" si="1"/>
        <v>1.416666667</v>
      </c>
      <c r="J58" s="84" t="s">
        <v>206</v>
      </c>
      <c r="K58" s="107" t="s">
        <v>76</v>
      </c>
      <c r="L58" s="108">
        <f>iferror(if(and($M58=TRUE,$N58=TRUE),vlookup($E58,RH!$B$48:$S$70,month($G58)+6,false)*$H58,0),0)</f>
        <v>691.3562697</v>
      </c>
      <c r="M58" s="109" t="b">
        <f t="shared" si="2"/>
        <v>1</v>
      </c>
      <c r="N58" s="109" t="b">
        <v>1</v>
      </c>
      <c r="O58" s="69" t="s">
        <v>225</v>
      </c>
      <c r="P58" s="67"/>
    </row>
    <row r="59" hidden="1">
      <c r="A59" s="67"/>
      <c r="B59" s="84"/>
      <c r="C59" s="99" t="s">
        <v>78</v>
      </c>
      <c r="D59" s="84" t="s">
        <v>243</v>
      </c>
      <c r="E59" s="84" t="s">
        <v>245</v>
      </c>
      <c r="F59" s="87"/>
      <c r="G59" s="87">
        <v>45047.0</v>
      </c>
      <c r="H59" s="110">
        <v>21.6</v>
      </c>
      <c r="I59" s="106">
        <f t="shared" si="1"/>
        <v>0.9</v>
      </c>
      <c r="J59" s="84" t="s">
        <v>206</v>
      </c>
      <c r="K59" s="107" t="s">
        <v>221</v>
      </c>
      <c r="L59" s="108">
        <f>iferror(if(and($M59=TRUE,$N59=TRUE),vlookup($E59,RH!$B$48:$S$70,month($G59)+6,false)*$H59,0),0)</f>
        <v>830.4675363</v>
      </c>
      <c r="M59" s="109" t="b">
        <f t="shared" si="2"/>
        <v>1</v>
      </c>
      <c r="N59" s="109" t="b">
        <v>1</v>
      </c>
      <c r="O59" s="69" t="s">
        <v>225</v>
      </c>
      <c r="P59" s="67"/>
    </row>
    <row r="60" hidden="1">
      <c r="A60" s="67"/>
      <c r="B60" s="84"/>
      <c r="C60" s="99" t="s">
        <v>78</v>
      </c>
      <c r="D60" s="84" t="s">
        <v>243</v>
      </c>
      <c r="E60" s="84" t="s">
        <v>229</v>
      </c>
      <c r="F60" s="87"/>
      <c r="G60" s="87">
        <v>45047.0</v>
      </c>
      <c r="H60" s="110">
        <v>4.0</v>
      </c>
      <c r="I60" s="106">
        <f t="shared" si="1"/>
        <v>0.1666666667</v>
      </c>
      <c r="J60" s="84" t="s">
        <v>206</v>
      </c>
      <c r="K60" s="107" t="s">
        <v>221</v>
      </c>
      <c r="L60" s="108">
        <f>iferror(if(and($M60=TRUE,$N60=TRUE),vlookup($E60,RH!$B$48:$S$70,month($G60)+6,false)*$H60,0),0)</f>
        <v>238.2828985</v>
      </c>
      <c r="M60" s="109" t="b">
        <f t="shared" si="2"/>
        <v>1</v>
      </c>
      <c r="N60" s="109" t="b">
        <v>1</v>
      </c>
      <c r="O60" s="69" t="s">
        <v>225</v>
      </c>
      <c r="P60" s="67"/>
    </row>
    <row r="61" hidden="1">
      <c r="A61" s="67"/>
      <c r="B61" s="84"/>
      <c r="C61" s="99" t="s">
        <v>78</v>
      </c>
      <c r="D61" s="84" t="s">
        <v>72</v>
      </c>
      <c r="E61" s="84" t="s">
        <v>222</v>
      </c>
      <c r="F61" s="87" t="s">
        <v>223</v>
      </c>
      <c r="G61" s="87">
        <v>45047.0</v>
      </c>
      <c r="H61" s="110">
        <v>24.5</v>
      </c>
      <c r="I61" s="106">
        <f t="shared" si="1"/>
        <v>1.020833333</v>
      </c>
      <c r="J61" s="84" t="s">
        <v>208</v>
      </c>
      <c r="K61" s="107" t="s">
        <v>224</v>
      </c>
      <c r="L61" s="108">
        <f>iferror(if(and($M61=TRUE,$N61=TRUE),vlookup($E61,RH!$B$48:$S$70,month($G61)+6,false)*$H61,0),0)</f>
        <v>0</v>
      </c>
      <c r="M61" s="109" t="b">
        <f t="shared" si="2"/>
        <v>0</v>
      </c>
      <c r="N61" s="109" t="b">
        <v>1</v>
      </c>
      <c r="O61" s="69" t="s">
        <v>225</v>
      </c>
      <c r="P61" s="67"/>
    </row>
    <row r="62" hidden="1">
      <c r="A62" s="67"/>
      <c r="B62" s="84"/>
      <c r="C62" s="99" t="s">
        <v>78</v>
      </c>
      <c r="D62" s="84" t="s">
        <v>72</v>
      </c>
      <c r="E62" s="84" t="s">
        <v>247</v>
      </c>
      <c r="F62" s="87" t="s">
        <v>248</v>
      </c>
      <c r="G62" s="87">
        <v>45047.0</v>
      </c>
      <c r="H62" s="110">
        <v>202.6</v>
      </c>
      <c r="I62" s="106">
        <f t="shared" si="1"/>
        <v>8.441666667</v>
      </c>
      <c r="J62" s="84" t="s">
        <v>206</v>
      </c>
      <c r="K62" s="107" t="s">
        <v>249</v>
      </c>
      <c r="L62" s="108">
        <f>iferror(if(and($M62=TRUE,$N62=TRUE),vlookup($E62,RH!$B$48:$S$70,month($G62)+6,false)*$H62,0),0)</f>
        <v>14875.4085</v>
      </c>
      <c r="M62" s="109" t="b">
        <f t="shared" si="2"/>
        <v>1</v>
      </c>
      <c r="N62" s="109" t="b">
        <v>1</v>
      </c>
      <c r="O62" s="69" t="s">
        <v>225</v>
      </c>
      <c r="P62" s="67"/>
    </row>
    <row r="63" hidden="1">
      <c r="A63" s="67"/>
      <c r="B63" s="84"/>
      <c r="C63" s="99" t="s">
        <v>78</v>
      </c>
      <c r="D63" s="84" t="s">
        <v>72</v>
      </c>
      <c r="E63" s="84" t="s">
        <v>228</v>
      </c>
      <c r="F63" s="87"/>
      <c r="G63" s="87">
        <v>45047.0</v>
      </c>
      <c r="H63" s="110">
        <v>200.93</v>
      </c>
      <c r="I63" s="106">
        <f t="shared" si="1"/>
        <v>8.372083333</v>
      </c>
      <c r="J63" s="84" t="s">
        <v>206</v>
      </c>
      <c r="K63" s="107" t="s">
        <v>76</v>
      </c>
      <c r="L63" s="108">
        <f>iferror(if(and($M63=TRUE,$N63=TRUE),vlookup($E63,RH!$B$48:$S$70,month($G63)+6,false)*$H63,0),0)</f>
        <v>8071.046425</v>
      </c>
      <c r="M63" s="109" t="b">
        <f t="shared" si="2"/>
        <v>1</v>
      </c>
      <c r="N63" s="109" t="b">
        <v>1</v>
      </c>
      <c r="O63" s="69" t="s">
        <v>225</v>
      </c>
      <c r="P63" s="67"/>
    </row>
    <row r="64" hidden="1">
      <c r="A64" s="67"/>
      <c r="B64" s="84"/>
      <c r="C64" s="99" t="s">
        <v>78</v>
      </c>
      <c r="D64" s="84" t="s">
        <v>72</v>
      </c>
      <c r="E64" s="84" t="s">
        <v>229</v>
      </c>
      <c r="F64" s="87"/>
      <c r="G64" s="87">
        <v>45047.0</v>
      </c>
      <c r="H64" s="110">
        <v>89.5</v>
      </c>
      <c r="I64" s="106">
        <f t="shared" si="1"/>
        <v>3.729166667</v>
      </c>
      <c r="J64" s="84" t="s">
        <v>206</v>
      </c>
      <c r="K64" s="107" t="s">
        <v>221</v>
      </c>
      <c r="L64" s="108">
        <f>iferror(if(and($M64=TRUE,$N64=TRUE),vlookup($E64,RH!$B$48:$S$70,month($G64)+6,false)*$H64,0),0)</f>
        <v>5331.579853</v>
      </c>
      <c r="M64" s="109" t="b">
        <f t="shared" si="2"/>
        <v>1</v>
      </c>
      <c r="N64" s="109" t="b">
        <v>1</v>
      </c>
      <c r="O64" s="69" t="s">
        <v>225</v>
      </c>
      <c r="P64" s="67"/>
    </row>
    <row r="65" hidden="1">
      <c r="A65" s="67"/>
      <c r="B65" s="84"/>
      <c r="C65" s="99" t="s">
        <v>78</v>
      </c>
      <c r="D65" s="84" t="s">
        <v>72</v>
      </c>
      <c r="E65" s="84" t="s">
        <v>236</v>
      </c>
      <c r="F65" s="87" t="s">
        <v>237</v>
      </c>
      <c r="G65" s="87">
        <v>45047.0</v>
      </c>
      <c r="H65" s="110">
        <v>40.5</v>
      </c>
      <c r="I65" s="106">
        <f t="shared" si="1"/>
        <v>1.6875</v>
      </c>
      <c r="J65" s="84" t="s">
        <v>206</v>
      </c>
      <c r="K65" s="107" t="s">
        <v>234</v>
      </c>
      <c r="L65" s="108">
        <f>iferror(if(and($M65=TRUE,$N65=TRUE),vlookup($E65,RH!$B$48:$S$70,month($G65)+6,false)*$H65,0),0)</f>
        <v>463.8836668</v>
      </c>
      <c r="M65" s="109" t="b">
        <f t="shared" si="2"/>
        <v>1</v>
      </c>
      <c r="N65" s="109" t="b">
        <v>1</v>
      </c>
      <c r="O65" s="69" t="s">
        <v>225</v>
      </c>
      <c r="P65" s="67"/>
    </row>
    <row r="66" hidden="1">
      <c r="A66" s="67"/>
      <c r="B66" s="84"/>
      <c r="C66" s="99" t="s">
        <v>78</v>
      </c>
      <c r="D66" s="84" t="s">
        <v>72</v>
      </c>
      <c r="E66" s="84" t="s">
        <v>232</v>
      </c>
      <c r="F66" s="87" t="s">
        <v>233</v>
      </c>
      <c r="G66" s="87">
        <v>45047.0</v>
      </c>
      <c r="H66" s="110">
        <v>0.25</v>
      </c>
      <c r="I66" s="106">
        <f t="shared" si="1"/>
        <v>0.01041666667</v>
      </c>
      <c r="J66" s="84" t="s">
        <v>206</v>
      </c>
      <c r="K66" s="107" t="s">
        <v>234</v>
      </c>
      <c r="L66" s="108">
        <f>iferror(if(and($M66=TRUE,$N66=TRUE),vlookup($E66,RH!$B$48:$S$70,month($G66)+6,false)*$H66,0),0)</f>
        <v>2.863479425</v>
      </c>
      <c r="M66" s="109" t="b">
        <f t="shared" si="2"/>
        <v>1</v>
      </c>
      <c r="N66" s="109" t="b">
        <v>1</v>
      </c>
      <c r="O66" s="69" t="s">
        <v>225</v>
      </c>
      <c r="P66" s="67"/>
    </row>
    <row r="67" hidden="1">
      <c r="A67" s="67"/>
      <c r="B67" s="84"/>
      <c r="C67" s="99" t="s">
        <v>78</v>
      </c>
      <c r="D67" s="84" t="s">
        <v>72</v>
      </c>
      <c r="E67" s="84" t="s">
        <v>244</v>
      </c>
      <c r="F67" s="87"/>
      <c r="G67" s="87">
        <v>45047.0</v>
      </c>
      <c r="H67" s="110">
        <v>2.25</v>
      </c>
      <c r="I67" s="106">
        <f t="shared" si="1"/>
        <v>0.09375</v>
      </c>
      <c r="J67" s="84" t="s">
        <v>206</v>
      </c>
      <c r="K67" s="107" t="s">
        <v>221</v>
      </c>
      <c r="L67" s="108">
        <f>iferror(if(and($M67=TRUE,$N67=TRUE),vlookup($E67,RH!$B$48:$S$70,month($G67)+6,false)*$H67,0),0)</f>
        <v>107.6791614</v>
      </c>
      <c r="M67" s="109" t="b">
        <f t="shared" si="2"/>
        <v>1</v>
      </c>
      <c r="N67" s="109" t="b">
        <v>1</v>
      </c>
      <c r="O67" s="69" t="s">
        <v>225</v>
      </c>
      <c r="P67" s="67"/>
    </row>
    <row r="68" hidden="1">
      <c r="A68" s="67"/>
      <c r="B68" s="84"/>
      <c r="C68" s="99" t="s">
        <v>78</v>
      </c>
      <c r="D68" s="84" t="s">
        <v>72</v>
      </c>
      <c r="E68" s="84" t="s">
        <v>238</v>
      </c>
      <c r="F68" s="87" t="s">
        <v>239</v>
      </c>
      <c r="G68" s="87">
        <v>45047.0</v>
      </c>
      <c r="H68" s="110">
        <v>84.4</v>
      </c>
      <c r="I68" s="106">
        <f t="shared" si="1"/>
        <v>3.516666667</v>
      </c>
      <c r="J68" s="84" t="s">
        <v>206</v>
      </c>
      <c r="K68" s="107" t="s">
        <v>240</v>
      </c>
      <c r="L68" s="108">
        <f>iferror(if(and($M68=TRUE,$N68=TRUE),vlookup($E68,RH!$B$48:$S$70,month($G68)+6,false)*$H68,0),0)</f>
        <v>8273.921565</v>
      </c>
      <c r="M68" s="109" t="b">
        <f t="shared" si="2"/>
        <v>1</v>
      </c>
      <c r="N68" s="109" t="b">
        <v>1</v>
      </c>
      <c r="O68" s="69" t="s">
        <v>225</v>
      </c>
      <c r="P68" s="67"/>
    </row>
    <row r="69">
      <c r="A69" s="67"/>
      <c r="B69" s="84"/>
      <c r="C69" s="99" t="s">
        <v>78</v>
      </c>
      <c r="D69" s="84" t="s">
        <v>250</v>
      </c>
      <c r="E69" s="84" t="s">
        <v>222</v>
      </c>
      <c r="F69" s="87" t="s">
        <v>223</v>
      </c>
      <c r="G69" s="87">
        <v>45047.0</v>
      </c>
      <c r="H69" s="110">
        <v>8.75</v>
      </c>
      <c r="I69" s="106">
        <f t="shared" si="1"/>
        <v>0.3645833333</v>
      </c>
      <c r="J69" s="84" t="s">
        <v>206</v>
      </c>
      <c r="K69" s="107" t="s">
        <v>224</v>
      </c>
      <c r="L69" s="108">
        <f>iferror(if(and($M69=TRUE,$N69=TRUE),vlookup($E69,RH!$B$48:$S$70,month($G69)+6,false)*$H69,0),0)</f>
        <v>857.7821527</v>
      </c>
      <c r="M69" s="109" t="b">
        <f t="shared" si="2"/>
        <v>1</v>
      </c>
      <c r="N69" s="109" t="b">
        <v>1</v>
      </c>
      <c r="O69" s="69" t="s">
        <v>225</v>
      </c>
      <c r="P69" s="67"/>
    </row>
    <row r="70" hidden="1">
      <c r="A70" s="67"/>
      <c r="B70" s="84"/>
      <c r="C70" s="99" t="s">
        <v>78</v>
      </c>
      <c r="D70" s="84" t="s">
        <v>250</v>
      </c>
      <c r="E70" s="84" t="s">
        <v>226</v>
      </c>
      <c r="F70" s="87" t="s">
        <v>227</v>
      </c>
      <c r="G70" s="87">
        <v>45047.0</v>
      </c>
      <c r="H70" s="110">
        <v>50.0</v>
      </c>
      <c r="I70" s="106">
        <f t="shared" si="1"/>
        <v>2.083333333</v>
      </c>
      <c r="J70" s="84" t="s">
        <v>206</v>
      </c>
      <c r="K70" s="107" t="s">
        <v>76</v>
      </c>
      <c r="L70" s="108">
        <f>iferror(if(and($M70=TRUE,$N70=TRUE),vlookup($E70,RH!$B$48:$S$70,month($G70)+6,false)*$H70,0),0)</f>
        <v>1016.700397</v>
      </c>
      <c r="M70" s="109" t="b">
        <f t="shared" si="2"/>
        <v>1</v>
      </c>
      <c r="N70" s="109" t="b">
        <v>1</v>
      </c>
      <c r="O70" s="69" t="s">
        <v>225</v>
      </c>
      <c r="P70" s="67"/>
    </row>
    <row r="71" hidden="1">
      <c r="A71" s="67"/>
      <c r="B71" s="84"/>
      <c r="C71" s="99" t="s">
        <v>78</v>
      </c>
      <c r="D71" s="84" t="s">
        <v>250</v>
      </c>
      <c r="E71" s="84" t="s">
        <v>236</v>
      </c>
      <c r="F71" s="87" t="s">
        <v>237</v>
      </c>
      <c r="G71" s="87">
        <v>45047.0</v>
      </c>
      <c r="H71" s="110">
        <v>49.33</v>
      </c>
      <c r="I71" s="106">
        <f t="shared" si="1"/>
        <v>2.055416667</v>
      </c>
      <c r="J71" s="84" t="s">
        <v>206</v>
      </c>
      <c r="K71" s="107" t="s">
        <v>234</v>
      </c>
      <c r="L71" s="108">
        <f>iferror(if(and($M71=TRUE,$N71=TRUE),vlookup($E71,RH!$B$48:$S$70,month($G71)+6,false)*$H71,0),0)</f>
        <v>565.0217601</v>
      </c>
      <c r="M71" s="109" t="b">
        <f t="shared" si="2"/>
        <v>1</v>
      </c>
      <c r="N71" s="109" t="b">
        <v>1</v>
      </c>
      <c r="O71" s="69" t="s">
        <v>225</v>
      </c>
      <c r="P71" s="67"/>
    </row>
    <row r="72" hidden="1">
      <c r="A72" s="67"/>
      <c r="B72" s="84"/>
      <c r="C72" s="99" t="s">
        <v>78</v>
      </c>
      <c r="D72" s="84" t="s">
        <v>250</v>
      </c>
      <c r="E72" s="84" t="s">
        <v>232</v>
      </c>
      <c r="F72" s="87" t="s">
        <v>233</v>
      </c>
      <c r="G72" s="87">
        <v>45047.0</v>
      </c>
      <c r="H72" s="110">
        <v>6.92</v>
      </c>
      <c r="I72" s="106">
        <f t="shared" si="1"/>
        <v>0.2883333333</v>
      </c>
      <c r="J72" s="84" t="s">
        <v>206</v>
      </c>
      <c r="K72" s="107" t="s">
        <v>234</v>
      </c>
      <c r="L72" s="108">
        <f>iferror(if(and($M72=TRUE,$N72=TRUE),vlookup($E72,RH!$B$48:$S$70,month($G72)+6,false)*$H72,0),0)</f>
        <v>79.26111048</v>
      </c>
      <c r="M72" s="109" t="b">
        <f t="shared" si="2"/>
        <v>1</v>
      </c>
      <c r="N72" s="109" t="b">
        <v>1</v>
      </c>
      <c r="O72" s="69" t="s">
        <v>225</v>
      </c>
      <c r="P72" s="67"/>
    </row>
    <row r="73" hidden="1">
      <c r="A73" s="67"/>
      <c r="B73" s="84"/>
      <c r="C73" s="99" t="s">
        <v>78</v>
      </c>
      <c r="D73" s="84" t="s">
        <v>250</v>
      </c>
      <c r="E73" s="84" t="s">
        <v>244</v>
      </c>
      <c r="F73" s="87"/>
      <c r="G73" s="87">
        <v>45047.0</v>
      </c>
      <c r="H73" s="110">
        <v>5.75</v>
      </c>
      <c r="I73" s="106">
        <f t="shared" si="1"/>
        <v>0.2395833333</v>
      </c>
      <c r="J73" s="84" t="s">
        <v>206</v>
      </c>
      <c r="K73" s="107" t="s">
        <v>221</v>
      </c>
      <c r="L73" s="108">
        <f>iferror(if(and($M73=TRUE,$N73=TRUE),vlookup($E73,RH!$B$48:$S$70,month($G73)+6,false)*$H73,0),0)</f>
        <v>275.180079</v>
      </c>
      <c r="M73" s="109" t="b">
        <f t="shared" si="2"/>
        <v>1</v>
      </c>
      <c r="N73" s="109" t="b">
        <v>1</v>
      </c>
      <c r="O73" s="69" t="s">
        <v>225</v>
      </c>
      <c r="P73" s="67"/>
    </row>
    <row r="74" hidden="1">
      <c r="A74" s="67"/>
      <c r="B74" s="84"/>
      <c r="C74" s="99" t="s">
        <v>78</v>
      </c>
      <c r="D74" s="84" t="s">
        <v>72</v>
      </c>
      <c r="E74" s="84" t="s">
        <v>222</v>
      </c>
      <c r="F74" s="87" t="s">
        <v>223</v>
      </c>
      <c r="G74" s="87">
        <v>45078.0</v>
      </c>
      <c r="H74" s="110">
        <v>47.67</v>
      </c>
      <c r="I74" s="106">
        <f t="shared" si="1"/>
        <v>1.98625</v>
      </c>
      <c r="J74" s="84" t="s">
        <v>208</v>
      </c>
      <c r="K74" s="107" t="s">
        <v>224</v>
      </c>
      <c r="L74" s="108">
        <f>iferror(if(and($M74=TRUE,$N74=TRUE),vlookup($E74,RH!$B$48:$S$70,month($G74)+6,false)*$H74,0),0)</f>
        <v>0</v>
      </c>
      <c r="M74" s="109" t="b">
        <f t="shared" si="2"/>
        <v>0</v>
      </c>
      <c r="N74" s="109" t="b">
        <v>1</v>
      </c>
      <c r="O74" s="69" t="s">
        <v>225</v>
      </c>
      <c r="P74" s="67"/>
    </row>
    <row r="75" hidden="1">
      <c r="A75" s="67"/>
      <c r="B75" s="84"/>
      <c r="C75" s="99" t="s">
        <v>78</v>
      </c>
      <c r="D75" s="84" t="s">
        <v>72</v>
      </c>
      <c r="E75" s="84" t="s">
        <v>247</v>
      </c>
      <c r="F75" s="87" t="s">
        <v>248</v>
      </c>
      <c r="G75" s="87">
        <v>45078.0</v>
      </c>
      <c r="H75" s="110">
        <v>200.17</v>
      </c>
      <c r="I75" s="106">
        <f t="shared" si="1"/>
        <v>8.340416667</v>
      </c>
      <c r="J75" s="84" t="s">
        <v>206</v>
      </c>
      <c r="K75" s="107" t="s">
        <v>249</v>
      </c>
      <c r="L75" s="108">
        <f>iferror(if(and($M75=TRUE,$N75=TRUE),vlookup($E75,RH!$B$48:$S$70,month($G75)+6,false)*$H75,0),0)</f>
        <v>15363.20998</v>
      </c>
      <c r="M75" s="109" t="b">
        <f t="shared" si="2"/>
        <v>1</v>
      </c>
      <c r="N75" s="109" t="b">
        <v>1</v>
      </c>
      <c r="O75" s="69" t="s">
        <v>225</v>
      </c>
      <c r="P75" s="67"/>
    </row>
    <row r="76" hidden="1">
      <c r="A76" s="67"/>
      <c r="B76" s="84"/>
      <c r="C76" s="99" t="s">
        <v>78</v>
      </c>
      <c r="D76" s="84" t="s">
        <v>72</v>
      </c>
      <c r="E76" s="84" t="s">
        <v>228</v>
      </c>
      <c r="F76" s="87"/>
      <c r="G76" s="87">
        <v>45078.0</v>
      </c>
      <c r="H76" s="110">
        <v>233.0</v>
      </c>
      <c r="I76" s="106">
        <f t="shared" si="1"/>
        <v>9.708333333</v>
      </c>
      <c r="J76" s="84" t="s">
        <v>206</v>
      </c>
      <c r="K76" s="107" t="s">
        <v>76</v>
      </c>
      <c r="L76" s="108">
        <f>iferror(if(and($M76=TRUE,$N76=TRUE),vlookup($E76,RH!$B$48:$S$70,month($G76)+6,false)*$H76,0),0)</f>
        <v>9783.505633</v>
      </c>
      <c r="M76" s="109" t="b">
        <f t="shared" si="2"/>
        <v>1</v>
      </c>
      <c r="N76" s="109" t="b">
        <v>1</v>
      </c>
      <c r="O76" s="69" t="s">
        <v>225</v>
      </c>
      <c r="P76" s="67"/>
    </row>
    <row r="77" hidden="1">
      <c r="A77" s="67"/>
      <c r="B77" s="84"/>
      <c r="C77" s="99" t="s">
        <v>78</v>
      </c>
      <c r="D77" s="84" t="s">
        <v>72</v>
      </c>
      <c r="E77" s="84" t="s">
        <v>229</v>
      </c>
      <c r="F77" s="87"/>
      <c r="G77" s="87">
        <v>45078.0</v>
      </c>
      <c r="H77" s="110">
        <v>121.17</v>
      </c>
      <c r="I77" s="106">
        <f t="shared" si="1"/>
        <v>5.04875</v>
      </c>
      <c r="J77" s="84" t="s">
        <v>206</v>
      </c>
      <c r="K77" s="107" t="s">
        <v>221</v>
      </c>
      <c r="L77" s="108">
        <f>iferror(if(and($M77=TRUE,$N77=TRUE),vlookup($E77,RH!$B$48:$S$70,month($G77)+6,false)*$H77,0),0)</f>
        <v>7545.386801</v>
      </c>
      <c r="M77" s="109" t="b">
        <f t="shared" si="2"/>
        <v>1</v>
      </c>
      <c r="N77" s="109" t="b">
        <v>1</v>
      </c>
      <c r="O77" s="69" t="s">
        <v>225</v>
      </c>
      <c r="P77" s="67"/>
    </row>
    <row r="78" hidden="1">
      <c r="A78" s="67"/>
      <c r="B78" s="84"/>
      <c r="C78" s="99" t="s">
        <v>78</v>
      </c>
      <c r="D78" s="84" t="s">
        <v>72</v>
      </c>
      <c r="E78" s="84" t="s">
        <v>236</v>
      </c>
      <c r="F78" s="87" t="s">
        <v>237</v>
      </c>
      <c r="G78" s="87">
        <v>45078.0</v>
      </c>
      <c r="H78" s="110">
        <v>123.0</v>
      </c>
      <c r="I78" s="106">
        <f t="shared" si="1"/>
        <v>5.125</v>
      </c>
      <c r="J78" s="84" t="s">
        <v>206</v>
      </c>
      <c r="K78" s="107" t="s">
        <v>234</v>
      </c>
      <c r="L78" s="108">
        <f>iferror(if(and($M78=TRUE,$N78=TRUE),vlookup($E78,RH!$B$48:$S$70,month($G78)+6,false)*$H78,0),0)</f>
        <v>1472.694575</v>
      </c>
      <c r="M78" s="109" t="b">
        <f t="shared" si="2"/>
        <v>1</v>
      </c>
      <c r="N78" s="109" t="b">
        <v>1</v>
      </c>
      <c r="O78" s="69" t="s">
        <v>225</v>
      </c>
      <c r="P78" s="67"/>
    </row>
    <row r="79" hidden="1">
      <c r="A79" s="67"/>
      <c r="B79" s="84"/>
      <c r="C79" s="99" t="s">
        <v>78</v>
      </c>
      <c r="D79" s="84" t="s">
        <v>72</v>
      </c>
      <c r="E79" s="84" t="s">
        <v>232</v>
      </c>
      <c r="F79" s="87" t="s">
        <v>233</v>
      </c>
      <c r="G79" s="87">
        <v>45078.0</v>
      </c>
      <c r="H79" s="110">
        <v>25.5</v>
      </c>
      <c r="I79" s="106">
        <f t="shared" si="1"/>
        <v>1.0625</v>
      </c>
      <c r="J79" s="84" t="s">
        <v>206</v>
      </c>
      <c r="K79" s="107" t="s">
        <v>234</v>
      </c>
      <c r="L79" s="108">
        <f>iferror(if(and($M79=TRUE,$N79=TRUE),vlookup($E79,RH!$B$48:$S$70,month($G79)+6,false)*$H79,0),0)</f>
        <v>305.3147289</v>
      </c>
      <c r="M79" s="109" t="b">
        <f t="shared" si="2"/>
        <v>1</v>
      </c>
      <c r="N79" s="109" t="b">
        <v>1</v>
      </c>
      <c r="O79" s="69" t="s">
        <v>225</v>
      </c>
      <c r="P79" s="67"/>
    </row>
    <row r="80" hidden="1">
      <c r="A80" s="67"/>
      <c r="B80" s="84"/>
      <c r="C80" s="99" t="s">
        <v>78</v>
      </c>
      <c r="D80" s="84" t="s">
        <v>72</v>
      </c>
      <c r="E80" s="84" t="s">
        <v>251</v>
      </c>
      <c r="F80" s="87"/>
      <c r="G80" s="87">
        <v>45078.0</v>
      </c>
      <c r="H80" s="110">
        <v>77.15</v>
      </c>
      <c r="I80" s="106">
        <f t="shared" si="1"/>
        <v>3.214583333</v>
      </c>
      <c r="J80" s="84" t="s">
        <v>206</v>
      </c>
      <c r="K80" s="107" t="s">
        <v>76</v>
      </c>
      <c r="L80" s="108">
        <f>iferror(if(and($M80=TRUE,$N80=TRUE),vlookup($E80,RH!$B$48:$S$70,month($G80)+6,false)*$H80,0),0)</f>
        <v>1639.881386</v>
      </c>
      <c r="M80" s="109" t="b">
        <f t="shared" si="2"/>
        <v>1</v>
      </c>
      <c r="N80" s="109" t="b">
        <v>1</v>
      </c>
      <c r="O80" s="69" t="s">
        <v>225</v>
      </c>
      <c r="P80" s="67"/>
    </row>
    <row r="81" hidden="1">
      <c r="A81" s="67"/>
      <c r="B81" s="84"/>
      <c r="C81" s="99" t="s">
        <v>78</v>
      </c>
      <c r="D81" s="84" t="s">
        <v>252</v>
      </c>
      <c r="E81" s="84" t="s">
        <v>220</v>
      </c>
      <c r="F81" s="87"/>
      <c r="G81" s="87">
        <v>45078.0</v>
      </c>
      <c r="H81" s="110">
        <v>21.3</v>
      </c>
      <c r="I81" s="106">
        <f t="shared" si="1"/>
        <v>0.8875</v>
      </c>
      <c r="J81" s="84" t="s">
        <v>206</v>
      </c>
      <c r="K81" s="107" t="s">
        <v>221</v>
      </c>
      <c r="L81" s="108">
        <f>iferror(if(and($M81=TRUE,$N81=TRUE),vlookup($E81,RH!$B$48:$S$70,month($G81)+6,false)*$H81,0),0)</f>
        <v>1131.77978</v>
      </c>
      <c r="M81" s="109" t="b">
        <f t="shared" si="2"/>
        <v>1</v>
      </c>
      <c r="N81" s="109" t="b">
        <v>1</v>
      </c>
      <c r="O81" s="69" t="s">
        <v>225</v>
      </c>
      <c r="P81" s="67"/>
    </row>
    <row r="82" hidden="1">
      <c r="A82" s="67"/>
      <c r="B82" s="84"/>
      <c r="C82" s="99" t="s">
        <v>78</v>
      </c>
      <c r="D82" s="84" t="s">
        <v>252</v>
      </c>
      <c r="E82" s="84" t="s">
        <v>222</v>
      </c>
      <c r="F82" s="87" t="s">
        <v>223</v>
      </c>
      <c r="G82" s="87">
        <v>45078.0</v>
      </c>
      <c r="H82" s="110">
        <v>7.25</v>
      </c>
      <c r="I82" s="106">
        <f t="shared" si="1"/>
        <v>0.3020833333</v>
      </c>
      <c r="J82" s="84" t="s">
        <v>208</v>
      </c>
      <c r="K82" s="107" t="s">
        <v>224</v>
      </c>
      <c r="L82" s="108">
        <f>iferror(if(and($M82=TRUE,$N82=TRUE),vlookup($E82,RH!$B$48:$S$70,month($G82)+6,false)*$H82,0),0)</f>
        <v>0</v>
      </c>
      <c r="M82" s="109" t="b">
        <f t="shared" si="2"/>
        <v>0</v>
      </c>
      <c r="N82" s="109" t="b">
        <v>1</v>
      </c>
      <c r="O82" s="69" t="s">
        <v>225</v>
      </c>
      <c r="P82" s="67"/>
    </row>
    <row r="83" hidden="1">
      <c r="A83" s="67"/>
      <c r="B83" s="84"/>
      <c r="C83" s="99" t="s">
        <v>78</v>
      </c>
      <c r="D83" s="84" t="s">
        <v>252</v>
      </c>
      <c r="E83" s="84" t="s">
        <v>226</v>
      </c>
      <c r="F83" s="87" t="s">
        <v>227</v>
      </c>
      <c r="G83" s="87">
        <v>45078.0</v>
      </c>
      <c r="H83" s="110">
        <v>32.0</v>
      </c>
      <c r="I83" s="106">
        <f t="shared" si="1"/>
        <v>1.333333333</v>
      </c>
      <c r="J83" s="84" t="s">
        <v>206</v>
      </c>
      <c r="K83" s="107" t="s">
        <v>76</v>
      </c>
      <c r="L83" s="108">
        <f>iferror(if(and($M83=TRUE,$N83=TRUE),vlookup($E83,RH!$B$48:$S$70,month($G83)+6,false)*$H83,0),0)</f>
        <v>680.1841134</v>
      </c>
      <c r="M83" s="109" t="b">
        <f t="shared" si="2"/>
        <v>1</v>
      </c>
      <c r="N83" s="109" t="b">
        <v>1</v>
      </c>
      <c r="O83" s="69" t="s">
        <v>225</v>
      </c>
      <c r="P83" s="67"/>
    </row>
    <row r="84" hidden="1">
      <c r="A84" s="67"/>
      <c r="B84" s="84"/>
      <c r="C84" s="99" t="s">
        <v>78</v>
      </c>
      <c r="D84" s="84" t="s">
        <v>252</v>
      </c>
      <c r="E84" s="84" t="s">
        <v>236</v>
      </c>
      <c r="F84" s="87" t="s">
        <v>237</v>
      </c>
      <c r="G84" s="87">
        <v>45078.0</v>
      </c>
      <c r="H84" s="110">
        <v>3.0</v>
      </c>
      <c r="I84" s="106">
        <f t="shared" si="1"/>
        <v>0.125</v>
      </c>
      <c r="J84" s="84" t="s">
        <v>206</v>
      </c>
      <c r="K84" s="107" t="s">
        <v>234</v>
      </c>
      <c r="L84" s="108">
        <f>iferror(if(and($M84=TRUE,$N84=TRUE),vlookup($E84,RH!$B$48:$S$70,month($G84)+6,false)*$H84,0),0)</f>
        <v>35.91937987</v>
      </c>
      <c r="M84" s="109" t="b">
        <f t="shared" si="2"/>
        <v>1</v>
      </c>
      <c r="N84" s="109" t="b">
        <v>1</v>
      </c>
      <c r="O84" s="69" t="s">
        <v>225</v>
      </c>
      <c r="P84" s="67"/>
    </row>
    <row r="85" hidden="1">
      <c r="A85" s="67"/>
      <c r="B85" s="84"/>
      <c r="C85" s="99" t="s">
        <v>78</v>
      </c>
      <c r="D85" s="84" t="s">
        <v>252</v>
      </c>
      <c r="E85" s="84" t="s">
        <v>222</v>
      </c>
      <c r="F85" s="87" t="s">
        <v>223</v>
      </c>
      <c r="G85" s="87">
        <v>45108.0</v>
      </c>
      <c r="H85" s="110">
        <v>8.0</v>
      </c>
      <c r="I85" s="106">
        <f t="shared" si="1"/>
        <v>0.3333333333</v>
      </c>
      <c r="J85" s="84" t="s">
        <v>208</v>
      </c>
      <c r="K85" s="107" t="s">
        <v>224</v>
      </c>
      <c r="L85" s="108">
        <f>iferror(if(and($M85=TRUE,$N85=TRUE),vlookup($E85,RH!$B$48:$S$70,month($G85)+6,false)*$H85,0),0)</f>
        <v>0</v>
      </c>
      <c r="M85" s="109" t="b">
        <f t="shared" si="2"/>
        <v>0</v>
      </c>
      <c r="N85" s="109" t="b">
        <v>1</v>
      </c>
      <c r="O85" s="69" t="s">
        <v>225</v>
      </c>
      <c r="P85" s="67"/>
    </row>
    <row r="86" hidden="1">
      <c r="A86" s="67"/>
      <c r="B86" s="84"/>
      <c r="C86" s="99" t="s">
        <v>78</v>
      </c>
      <c r="D86" s="84" t="s">
        <v>252</v>
      </c>
      <c r="E86" s="84" t="s">
        <v>226</v>
      </c>
      <c r="F86" s="87" t="s">
        <v>227</v>
      </c>
      <c r="G86" s="87">
        <v>45108.0</v>
      </c>
      <c r="H86" s="110">
        <v>14.0</v>
      </c>
      <c r="I86" s="106">
        <f t="shared" si="1"/>
        <v>0.5833333333</v>
      </c>
      <c r="J86" s="84" t="s">
        <v>206</v>
      </c>
      <c r="K86" s="107" t="s">
        <v>76</v>
      </c>
      <c r="L86" s="108">
        <f>iferror(if(and($M86=TRUE,$N86=TRUE),vlookup($E86,RH!$B$48:$S$70,month($G86)+6,false)*$H86,0),0)</f>
        <v>332.1722095</v>
      </c>
      <c r="M86" s="109" t="b">
        <f t="shared" si="2"/>
        <v>1</v>
      </c>
      <c r="N86" s="109" t="b">
        <v>1</v>
      </c>
      <c r="O86" s="69" t="s">
        <v>225</v>
      </c>
      <c r="P86" s="67"/>
    </row>
    <row r="87" hidden="1">
      <c r="A87" s="67"/>
      <c r="B87" s="84"/>
      <c r="C87" s="99" t="s">
        <v>78</v>
      </c>
      <c r="D87" s="84" t="s">
        <v>252</v>
      </c>
      <c r="E87" s="84" t="s">
        <v>229</v>
      </c>
      <c r="F87" s="87"/>
      <c r="G87" s="87">
        <v>45108.0</v>
      </c>
      <c r="H87" s="110">
        <v>2.0</v>
      </c>
      <c r="I87" s="106">
        <f t="shared" si="1"/>
        <v>0.08333333333</v>
      </c>
      <c r="J87" s="84" t="s">
        <v>206</v>
      </c>
      <c r="K87" s="107" t="s">
        <v>221</v>
      </c>
      <c r="L87" s="108">
        <f>iferror(if(and($M87=TRUE,$N87=TRUE),vlookup($E87,RH!$B$48:$S$70,month($G87)+6,false)*$H87,0),0)</f>
        <v>129.9246608</v>
      </c>
      <c r="M87" s="109" t="b">
        <f t="shared" si="2"/>
        <v>1</v>
      </c>
      <c r="N87" s="109" t="b">
        <v>1</v>
      </c>
      <c r="O87" s="69" t="s">
        <v>225</v>
      </c>
      <c r="P87" s="67"/>
    </row>
    <row r="88" hidden="1">
      <c r="A88" s="67"/>
      <c r="B88" s="84"/>
      <c r="C88" s="99" t="s">
        <v>78</v>
      </c>
      <c r="D88" s="84" t="s">
        <v>252</v>
      </c>
      <c r="E88" s="84" t="s">
        <v>236</v>
      </c>
      <c r="F88" s="87" t="s">
        <v>237</v>
      </c>
      <c r="G88" s="87">
        <v>45108.0</v>
      </c>
      <c r="H88" s="110">
        <v>18.0</v>
      </c>
      <c r="I88" s="106">
        <f t="shared" si="1"/>
        <v>0.75</v>
      </c>
      <c r="J88" s="84" t="s">
        <v>206</v>
      </c>
      <c r="K88" s="107" t="s">
        <v>234</v>
      </c>
      <c r="L88" s="108">
        <f>iferror(if(and($M88=TRUE,$N88=TRUE),vlookup($E88,RH!$B$48:$S$70,month($G88)+6,false)*$H88,0),0)</f>
        <v>224.830526</v>
      </c>
      <c r="M88" s="109" t="b">
        <f t="shared" si="2"/>
        <v>1</v>
      </c>
      <c r="N88" s="109" t="b">
        <v>1</v>
      </c>
      <c r="O88" s="69" t="s">
        <v>225</v>
      </c>
      <c r="P88" s="67"/>
    </row>
    <row r="89" hidden="1">
      <c r="A89" s="67"/>
      <c r="B89" s="84"/>
      <c r="C89" s="99" t="s">
        <v>78</v>
      </c>
      <c r="D89" s="84" t="s">
        <v>252</v>
      </c>
      <c r="E89" s="84" t="s">
        <v>244</v>
      </c>
      <c r="F89" s="87"/>
      <c r="G89" s="87">
        <v>45108.0</v>
      </c>
      <c r="H89" s="110">
        <v>29.75</v>
      </c>
      <c r="I89" s="106">
        <f t="shared" si="1"/>
        <v>1.239583333</v>
      </c>
      <c r="J89" s="84" t="s">
        <v>206</v>
      </c>
      <c r="K89" s="107" t="s">
        <v>221</v>
      </c>
      <c r="L89" s="108">
        <f>iferror(if(and($M89=TRUE,$N89=TRUE),vlookup($E89,RH!$B$48:$S$70,month($G89)+6,false)*$H89,0),0)</f>
        <v>1696.113942</v>
      </c>
      <c r="M89" s="109" t="b">
        <f t="shared" si="2"/>
        <v>1</v>
      </c>
      <c r="N89" s="109" t="b">
        <v>1</v>
      </c>
      <c r="O89" s="69" t="s">
        <v>225</v>
      </c>
      <c r="P89" s="67"/>
    </row>
    <row r="90" hidden="1">
      <c r="A90" s="67"/>
      <c r="B90" s="84"/>
      <c r="C90" s="99" t="s">
        <v>78</v>
      </c>
      <c r="D90" s="84" t="s">
        <v>253</v>
      </c>
      <c r="E90" s="84" t="s">
        <v>222</v>
      </c>
      <c r="F90" s="87" t="s">
        <v>223</v>
      </c>
      <c r="G90" s="87">
        <v>45108.0</v>
      </c>
      <c r="H90" s="110">
        <v>31.5</v>
      </c>
      <c r="I90" s="106">
        <f t="shared" si="1"/>
        <v>1.3125</v>
      </c>
      <c r="J90" s="84" t="s">
        <v>208</v>
      </c>
      <c r="K90" s="107" t="s">
        <v>224</v>
      </c>
      <c r="L90" s="108">
        <f>iferror(if(and($M90=TRUE,$N90=TRUE),vlookup($E90,RH!$B$48:$S$70,month($G90)+6,false)*$H90,0),0)</f>
        <v>0</v>
      </c>
      <c r="M90" s="109" t="b">
        <f t="shared" si="2"/>
        <v>0</v>
      </c>
      <c r="N90" s="109" t="b">
        <v>1</v>
      </c>
      <c r="O90" s="69" t="s">
        <v>225</v>
      </c>
      <c r="P90" s="67"/>
    </row>
    <row r="91" hidden="1">
      <c r="A91" s="67"/>
      <c r="B91" s="84"/>
      <c r="C91" s="99" t="s">
        <v>78</v>
      </c>
      <c r="D91" s="84" t="s">
        <v>253</v>
      </c>
      <c r="E91" s="84" t="s">
        <v>247</v>
      </c>
      <c r="F91" s="87" t="s">
        <v>248</v>
      </c>
      <c r="G91" s="87">
        <v>45108.0</v>
      </c>
      <c r="H91" s="110">
        <v>159.92</v>
      </c>
      <c r="I91" s="106">
        <f t="shared" si="1"/>
        <v>6.663333333</v>
      </c>
      <c r="J91" s="84" t="s">
        <v>206</v>
      </c>
      <c r="K91" s="107" t="s">
        <v>249</v>
      </c>
      <c r="L91" s="108">
        <f>iferror(if(and($M91=TRUE,$N91=TRUE),vlookup($E91,RH!$B$48:$S$70,month($G91)+6,false)*$H91,0),0)</f>
        <v>12804.45075</v>
      </c>
      <c r="M91" s="109" t="b">
        <f t="shared" si="2"/>
        <v>1</v>
      </c>
      <c r="N91" s="109" t="b">
        <v>1</v>
      </c>
      <c r="O91" s="69" t="s">
        <v>225</v>
      </c>
      <c r="P91" s="67"/>
    </row>
    <row r="92" hidden="1">
      <c r="A92" s="67"/>
      <c r="B92" s="84"/>
      <c r="C92" s="99" t="s">
        <v>78</v>
      </c>
      <c r="D92" s="84" t="s">
        <v>253</v>
      </c>
      <c r="E92" s="84" t="s">
        <v>228</v>
      </c>
      <c r="F92" s="87"/>
      <c r="G92" s="87">
        <v>45108.0</v>
      </c>
      <c r="H92" s="110">
        <v>235.17</v>
      </c>
      <c r="I92" s="106">
        <f t="shared" si="1"/>
        <v>9.79875</v>
      </c>
      <c r="J92" s="84" t="s">
        <v>206</v>
      </c>
      <c r="K92" s="107" t="s">
        <v>76</v>
      </c>
      <c r="L92" s="108">
        <f>iferror(if(and($M92=TRUE,$N92=TRUE),vlookup($E92,RH!$B$48:$S$70,month($G92)+6,false)*$H92,0),0)</f>
        <v>11127.5524</v>
      </c>
      <c r="M92" s="109" t="b">
        <f t="shared" si="2"/>
        <v>1</v>
      </c>
      <c r="N92" s="109" t="b">
        <v>1</v>
      </c>
      <c r="O92" s="69" t="s">
        <v>225</v>
      </c>
      <c r="P92" s="67"/>
    </row>
    <row r="93" hidden="1">
      <c r="A93" s="67"/>
      <c r="B93" s="84"/>
      <c r="C93" s="99" t="s">
        <v>78</v>
      </c>
      <c r="D93" s="84" t="s">
        <v>253</v>
      </c>
      <c r="E93" s="84" t="s">
        <v>229</v>
      </c>
      <c r="F93" s="87"/>
      <c r="G93" s="87">
        <v>45108.0</v>
      </c>
      <c r="H93" s="110">
        <v>170.3</v>
      </c>
      <c r="I93" s="106">
        <f t="shared" si="1"/>
        <v>7.095833333</v>
      </c>
      <c r="J93" s="84" t="s">
        <v>206</v>
      </c>
      <c r="K93" s="107" t="s">
        <v>221</v>
      </c>
      <c r="L93" s="108">
        <f>iferror(if(and($M93=TRUE,$N93=TRUE),vlookup($E93,RH!$B$48:$S$70,month($G93)+6,false)*$H93,0),0)</f>
        <v>11063.08487</v>
      </c>
      <c r="M93" s="109" t="b">
        <f t="shared" si="2"/>
        <v>1</v>
      </c>
      <c r="N93" s="109" t="b">
        <v>1</v>
      </c>
      <c r="O93" s="69" t="s">
        <v>225</v>
      </c>
      <c r="P93" s="67"/>
    </row>
    <row r="94" hidden="1">
      <c r="A94" s="67"/>
      <c r="B94" s="84"/>
      <c r="C94" s="99" t="s">
        <v>78</v>
      </c>
      <c r="D94" s="84" t="s">
        <v>253</v>
      </c>
      <c r="E94" s="84" t="s">
        <v>236</v>
      </c>
      <c r="F94" s="87" t="s">
        <v>237</v>
      </c>
      <c r="G94" s="87">
        <v>45108.0</v>
      </c>
      <c r="H94" s="110">
        <v>39.0</v>
      </c>
      <c r="I94" s="106">
        <f t="shared" si="1"/>
        <v>1.625</v>
      </c>
      <c r="J94" s="84" t="s">
        <v>206</v>
      </c>
      <c r="K94" s="107" t="s">
        <v>234</v>
      </c>
      <c r="L94" s="108">
        <f>iferror(if(and($M94=TRUE,$N94=TRUE),vlookup($E94,RH!$B$48:$S$70,month($G94)+6,false)*$H94,0),0)</f>
        <v>487.1328063</v>
      </c>
      <c r="M94" s="109" t="b">
        <f t="shared" si="2"/>
        <v>1</v>
      </c>
      <c r="N94" s="109" t="b">
        <v>1</v>
      </c>
      <c r="O94" s="69" t="s">
        <v>225</v>
      </c>
      <c r="P94" s="67"/>
    </row>
    <row r="95" hidden="1">
      <c r="A95" s="67"/>
      <c r="B95" s="84"/>
      <c r="C95" s="99" t="s">
        <v>78</v>
      </c>
      <c r="D95" s="84" t="s">
        <v>253</v>
      </c>
      <c r="E95" s="84" t="s">
        <v>238</v>
      </c>
      <c r="F95" s="87" t="s">
        <v>239</v>
      </c>
      <c r="G95" s="87">
        <v>45108.0</v>
      </c>
      <c r="H95" s="110">
        <v>32.5</v>
      </c>
      <c r="I95" s="106">
        <f t="shared" si="1"/>
        <v>1.354166667</v>
      </c>
      <c r="J95" s="84" t="s">
        <v>205</v>
      </c>
      <c r="K95" s="107" t="s">
        <v>240</v>
      </c>
      <c r="L95" s="108">
        <f>iferror(if(and($M95=TRUE,$N95=TRUE),vlookup($E95,RH!$B$48:$S$70,month($G95)+6,false)*$H95,0),0)</f>
        <v>3474.409686</v>
      </c>
      <c r="M95" s="109" t="b">
        <f t="shared" si="2"/>
        <v>1</v>
      </c>
      <c r="N95" s="109" t="b">
        <v>1</v>
      </c>
      <c r="O95" s="69" t="s">
        <v>225</v>
      </c>
      <c r="P95" s="67"/>
    </row>
    <row r="96" hidden="1">
      <c r="A96" s="67"/>
      <c r="B96" s="84"/>
      <c r="C96" s="99" t="s">
        <v>78</v>
      </c>
      <c r="D96" s="84" t="s">
        <v>253</v>
      </c>
      <c r="E96" s="84" t="s">
        <v>251</v>
      </c>
      <c r="F96" s="87"/>
      <c r="G96" s="87">
        <v>45108.0</v>
      </c>
      <c r="H96" s="110">
        <v>157.0</v>
      </c>
      <c r="I96" s="106">
        <f t="shared" si="1"/>
        <v>6.541666667</v>
      </c>
      <c r="J96" s="84" t="s">
        <v>206</v>
      </c>
      <c r="K96" s="107" t="s">
        <v>76</v>
      </c>
      <c r="L96" s="108">
        <f>iferror(if(and($M96=TRUE,$N96=TRUE),vlookup($E96,RH!$B$48:$S$70,month($G96)+6,false)*$H96,0),0)</f>
        <v>3481.379392</v>
      </c>
      <c r="M96" s="109" t="b">
        <f t="shared" si="2"/>
        <v>1</v>
      </c>
      <c r="N96" s="109" t="b">
        <v>1</v>
      </c>
      <c r="O96" s="69" t="s">
        <v>225</v>
      </c>
      <c r="P96" s="67"/>
    </row>
    <row r="97" hidden="1">
      <c r="A97" s="67"/>
      <c r="B97" s="84"/>
      <c r="C97" s="99" t="s">
        <v>78</v>
      </c>
      <c r="D97" s="84" t="s">
        <v>254</v>
      </c>
      <c r="E97" s="84" t="s">
        <v>222</v>
      </c>
      <c r="F97" s="87" t="s">
        <v>223</v>
      </c>
      <c r="G97" s="87">
        <v>45139.0</v>
      </c>
      <c r="H97" s="110">
        <v>31.0</v>
      </c>
      <c r="I97" s="106">
        <f t="shared" si="1"/>
        <v>1.291666667</v>
      </c>
      <c r="J97" s="84" t="s">
        <v>208</v>
      </c>
      <c r="K97" s="107" t="s">
        <v>224</v>
      </c>
      <c r="L97" s="108">
        <f>iferror(if(and($M97=TRUE,$N97=TRUE),vlookup($E97,RH!$B$48:$S$70,month($G97)+6,false)*$H97,0),0)</f>
        <v>0</v>
      </c>
      <c r="M97" s="109" t="b">
        <f t="shared" si="2"/>
        <v>0</v>
      </c>
      <c r="N97" s="109" t="b">
        <v>1</v>
      </c>
      <c r="O97" s="69" t="s">
        <v>225</v>
      </c>
      <c r="P97" s="67"/>
    </row>
    <row r="98" hidden="1">
      <c r="A98" s="67"/>
      <c r="B98" s="84"/>
      <c r="C98" s="99" t="s">
        <v>78</v>
      </c>
      <c r="D98" s="84" t="s">
        <v>254</v>
      </c>
      <c r="E98" s="84" t="s">
        <v>226</v>
      </c>
      <c r="F98" s="87" t="s">
        <v>227</v>
      </c>
      <c r="G98" s="87">
        <v>45139.0</v>
      </c>
      <c r="H98" s="110">
        <v>11.08</v>
      </c>
      <c r="I98" s="106">
        <f t="shared" si="1"/>
        <v>0.4616666667</v>
      </c>
      <c r="J98" s="84" t="s">
        <v>206</v>
      </c>
      <c r="K98" s="107" t="s">
        <v>76</v>
      </c>
      <c r="L98" s="108">
        <f>iferror(if(and($M98=TRUE,$N98=TRUE),vlookup($E98,RH!$B$48:$S$70,month($G98)+6,false)*$H98,0),0)</f>
        <v>230.4082245</v>
      </c>
      <c r="M98" s="109" t="b">
        <f t="shared" si="2"/>
        <v>1</v>
      </c>
      <c r="N98" s="109" t="b">
        <v>1</v>
      </c>
      <c r="O98" s="69" t="s">
        <v>225</v>
      </c>
      <c r="P98" s="67"/>
    </row>
    <row r="99" hidden="1">
      <c r="A99" s="67"/>
      <c r="B99" s="84"/>
      <c r="C99" s="99" t="s">
        <v>78</v>
      </c>
      <c r="D99" s="84" t="s">
        <v>254</v>
      </c>
      <c r="E99" s="84" t="s">
        <v>245</v>
      </c>
      <c r="F99" s="87"/>
      <c r="G99" s="87">
        <v>45139.0</v>
      </c>
      <c r="H99" s="110">
        <v>30.0</v>
      </c>
      <c r="I99" s="106">
        <f t="shared" si="1"/>
        <v>1.25</v>
      </c>
      <c r="J99" s="84" t="s">
        <v>206</v>
      </c>
      <c r="K99" s="107" t="s">
        <v>221</v>
      </c>
      <c r="L99" s="108">
        <f>iferror(if(and($M99=TRUE,$N99=TRUE),vlookup($E99,RH!$B$48:$S$70,month($G99)+6,false)*$H99,0),0)</f>
        <v>1102.406675</v>
      </c>
      <c r="M99" s="109" t="b">
        <f t="shared" si="2"/>
        <v>1</v>
      </c>
      <c r="N99" s="109" t="b">
        <v>1</v>
      </c>
      <c r="O99" s="69" t="s">
        <v>225</v>
      </c>
      <c r="P99" s="67"/>
    </row>
    <row r="100" hidden="1">
      <c r="A100" s="67"/>
      <c r="B100" s="84"/>
      <c r="C100" s="99" t="s">
        <v>78</v>
      </c>
      <c r="D100" s="84" t="s">
        <v>255</v>
      </c>
      <c r="E100" s="84" t="s">
        <v>222</v>
      </c>
      <c r="F100" s="87" t="s">
        <v>223</v>
      </c>
      <c r="G100" s="87">
        <v>45139.0</v>
      </c>
      <c r="H100" s="110">
        <v>48.25</v>
      </c>
      <c r="I100" s="106">
        <f t="shared" si="1"/>
        <v>2.010416667</v>
      </c>
      <c r="J100" s="84" t="s">
        <v>208</v>
      </c>
      <c r="K100" s="107" t="s">
        <v>224</v>
      </c>
      <c r="L100" s="108">
        <f>iferror(if(and($M100=TRUE,$N100=TRUE),vlookup($E100,RH!$B$48:$S$70,month($G100)+6,false)*$H100,0),0)</f>
        <v>0</v>
      </c>
      <c r="M100" s="109" t="b">
        <f t="shared" si="2"/>
        <v>0</v>
      </c>
      <c r="N100" s="109" t="b">
        <v>1</v>
      </c>
      <c r="O100" s="69" t="s">
        <v>225</v>
      </c>
      <c r="P100" s="67"/>
    </row>
    <row r="101" hidden="1">
      <c r="A101" s="67"/>
      <c r="B101" s="84"/>
      <c r="C101" s="99" t="s">
        <v>78</v>
      </c>
      <c r="D101" s="84" t="s">
        <v>255</v>
      </c>
      <c r="E101" s="84" t="s">
        <v>247</v>
      </c>
      <c r="F101" s="87" t="s">
        <v>248</v>
      </c>
      <c r="G101" s="87">
        <v>45139.0</v>
      </c>
      <c r="H101" s="110">
        <v>179.42</v>
      </c>
      <c r="I101" s="106">
        <f t="shared" si="1"/>
        <v>7.475833333</v>
      </c>
      <c r="J101" s="84" t="s">
        <v>206</v>
      </c>
      <c r="K101" s="107" t="s">
        <v>249</v>
      </c>
      <c r="L101" s="108">
        <f>iferror(if(and($M101=TRUE,$N101=TRUE),vlookup($E101,RH!$B$48:$S$70,month($G101)+6,false)*$H101,0),0)</f>
        <v>12590.76107</v>
      </c>
      <c r="M101" s="109" t="b">
        <f t="shared" si="2"/>
        <v>1</v>
      </c>
      <c r="N101" s="109" t="b">
        <v>1</v>
      </c>
      <c r="O101" s="69" t="s">
        <v>225</v>
      </c>
      <c r="P101" s="67"/>
    </row>
    <row r="102" hidden="1">
      <c r="A102" s="67"/>
      <c r="B102" s="84"/>
      <c r="C102" s="99" t="s">
        <v>78</v>
      </c>
      <c r="D102" s="84" t="s">
        <v>255</v>
      </c>
      <c r="E102" s="84" t="s">
        <v>228</v>
      </c>
      <c r="F102" s="87"/>
      <c r="G102" s="87">
        <v>45139.0</v>
      </c>
      <c r="H102" s="110">
        <v>240.8</v>
      </c>
      <c r="I102" s="106">
        <f t="shared" si="1"/>
        <v>10.03333333</v>
      </c>
      <c r="J102" s="84" t="s">
        <v>206</v>
      </c>
      <c r="K102" s="107" t="s">
        <v>76</v>
      </c>
      <c r="L102" s="108">
        <f>iferror(if(and($M102=TRUE,$N102=TRUE),vlookup($E102,RH!$B$48:$S$70,month($G102)+6,false)*$H102,0),0)</f>
        <v>9986.128925</v>
      </c>
      <c r="M102" s="109" t="b">
        <f t="shared" si="2"/>
        <v>1</v>
      </c>
      <c r="N102" s="109" t="b">
        <v>1</v>
      </c>
      <c r="O102" s="69" t="s">
        <v>225</v>
      </c>
      <c r="P102" s="67"/>
    </row>
    <row r="103" hidden="1">
      <c r="A103" s="67"/>
      <c r="B103" s="84"/>
      <c r="C103" s="99" t="s">
        <v>78</v>
      </c>
      <c r="D103" s="84" t="s">
        <v>255</v>
      </c>
      <c r="E103" s="84" t="s">
        <v>229</v>
      </c>
      <c r="F103" s="87"/>
      <c r="G103" s="87">
        <v>45139.0</v>
      </c>
      <c r="H103" s="110">
        <v>150.85</v>
      </c>
      <c r="I103" s="106">
        <f t="shared" si="1"/>
        <v>6.285416667</v>
      </c>
      <c r="J103" s="84" t="s">
        <v>206</v>
      </c>
      <c r="K103" s="107" t="s">
        <v>221</v>
      </c>
      <c r="L103" s="108">
        <f>iferror(if(and($M103=TRUE,$N103=TRUE),vlookup($E103,RH!$B$48:$S$70,month($G103)+6,false)*$H103,0),0)</f>
        <v>8588.748146</v>
      </c>
      <c r="M103" s="109" t="b">
        <f t="shared" si="2"/>
        <v>1</v>
      </c>
      <c r="N103" s="109" t="b">
        <v>1</v>
      </c>
      <c r="O103" s="69" t="s">
        <v>225</v>
      </c>
      <c r="P103" s="67"/>
    </row>
    <row r="104" hidden="1">
      <c r="A104" s="67"/>
      <c r="B104" s="84"/>
      <c r="C104" s="99" t="s">
        <v>78</v>
      </c>
      <c r="D104" s="84" t="s">
        <v>255</v>
      </c>
      <c r="E104" s="84" t="s">
        <v>236</v>
      </c>
      <c r="F104" s="87" t="s">
        <v>237</v>
      </c>
      <c r="G104" s="87">
        <v>45139.0</v>
      </c>
      <c r="H104" s="110">
        <v>62.0</v>
      </c>
      <c r="I104" s="106">
        <f t="shared" si="1"/>
        <v>2.583333333</v>
      </c>
      <c r="J104" s="84" t="s">
        <v>206</v>
      </c>
      <c r="K104" s="107" t="s">
        <v>234</v>
      </c>
      <c r="L104" s="108">
        <f>iferror(if(and($M104=TRUE,$N104=TRUE),vlookup($E104,RH!$B$48:$S$70,month($G104)+6,false)*$H104,0),0)</f>
        <v>678.7305823</v>
      </c>
      <c r="M104" s="109" t="b">
        <f t="shared" si="2"/>
        <v>1</v>
      </c>
      <c r="N104" s="109" t="b">
        <v>1</v>
      </c>
      <c r="O104" s="69" t="s">
        <v>225</v>
      </c>
      <c r="P104" s="67"/>
    </row>
    <row r="105" hidden="1">
      <c r="A105" s="67"/>
      <c r="B105" s="84"/>
      <c r="C105" s="99" t="s">
        <v>78</v>
      </c>
      <c r="D105" s="84" t="s">
        <v>255</v>
      </c>
      <c r="E105" s="84" t="s">
        <v>238</v>
      </c>
      <c r="F105" s="87" t="s">
        <v>239</v>
      </c>
      <c r="G105" s="87">
        <v>45139.0</v>
      </c>
      <c r="H105" s="110">
        <v>67.1</v>
      </c>
      <c r="I105" s="106">
        <f t="shared" si="1"/>
        <v>2.795833333</v>
      </c>
      <c r="J105" s="84" t="s">
        <v>205</v>
      </c>
      <c r="K105" s="107" t="s">
        <v>240</v>
      </c>
      <c r="L105" s="108">
        <f>iferror(if(and($M105=TRUE,$N105=TRUE),vlookup($E105,RH!$B$48:$S$70,month($G105)+6,false)*$H105,0),0)</f>
        <v>6286.995413</v>
      </c>
      <c r="M105" s="109" t="b">
        <f t="shared" si="2"/>
        <v>1</v>
      </c>
      <c r="N105" s="109" t="b">
        <v>1</v>
      </c>
      <c r="O105" s="69" t="s">
        <v>225</v>
      </c>
      <c r="P105" s="67"/>
    </row>
    <row r="106" hidden="1">
      <c r="A106" s="67"/>
      <c r="B106" s="84"/>
      <c r="C106" s="99" t="s">
        <v>78</v>
      </c>
      <c r="D106" s="84" t="s">
        <v>255</v>
      </c>
      <c r="E106" s="84" t="s">
        <v>251</v>
      </c>
      <c r="F106" s="87"/>
      <c r="G106" s="87">
        <v>45139.0</v>
      </c>
      <c r="H106" s="110">
        <v>168.88</v>
      </c>
      <c r="I106" s="106">
        <f t="shared" si="1"/>
        <v>7.036666667</v>
      </c>
      <c r="J106" s="84" t="s">
        <v>206</v>
      </c>
      <c r="K106" s="107" t="s">
        <v>76</v>
      </c>
      <c r="L106" s="108">
        <f>iferror(if(and($M106=TRUE,$N106=TRUE),vlookup($E106,RH!$B$48:$S$70,month($G106)+6,false)*$H106,0),0)</f>
        <v>3282.108088</v>
      </c>
      <c r="M106" s="109" t="b">
        <f t="shared" si="2"/>
        <v>1</v>
      </c>
      <c r="N106" s="109" t="b">
        <v>1</v>
      </c>
      <c r="O106" s="69" t="s">
        <v>225</v>
      </c>
      <c r="P106" s="67"/>
    </row>
    <row r="107" hidden="1">
      <c r="A107" s="67"/>
      <c r="B107" s="84"/>
      <c r="C107" s="99" t="s">
        <v>78</v>
      </c>
      <c r="D107" s="84" t="s">
        <v>254</v>
      </c>
      <c r="E107" s="84" t="s">
        <v>222</v>
      </c>
      <c r="F107" s="87" t="s">
        <v>223</v>
      </c>
      <c r="G107" s="87">
        <v>45170.0</v>
      </c>
      <c r="H107" s="110">
        <v>6.5</v>
      </c>
      <c r="I107" s="106">
        <f t="shared" si="1"/>
        <v>0.2708333333</v>
      </c>
      <c r="J107" s="84" t="s">
        <v>208</v>
      </c>
      <c r="K107" s="107" t="s">
        <v>224</v>
      </c>
      <c r="L107" s="108">
        <f>iferror(if(and($M107=TRUE,$N107=TRUE),vlookup($E107,RH!$B$48:$S$70,month($G107)+6,false)*$H107,0),0)</f>
        <v>0</v>
      </c>
      <c r="M107" s="109" t="b">
        <f t="shared" si="2"/>
        <v>0</v>
      </c>
      <c r="N107" s="109" t="b">
        <v>1</v>
      </c>
      <c r="O107" s="69" t="s">
        <v>225</v>
      </c>
      <c r="P107" s="67"/>
    </row>
    <row r="108" hidden="1">
      <c r="A108" s="67"/>
      <c r="B108" s="84"/>
      <c r="C108" s="99" t="s">
        <v>78</v>
      </c>
      <c r="D108" s="84" t="s">
        <v>254</v>
      </c>
      <c r="E108" s="84" t="s">
        <v>226</v>
      </c>
      <c r="F108" s="87" t="s">
        <v>227</v>
      </c>
      <c r="G108" s="87">
        <v>45170.0</v>
      </c>
      <c r="H108" s="110">
        <v>10.5</v>
      </c>
      <c r="I108" s="106">
        <f t="shared" si="1"/>
        <v>0.4375</v>
      </c>
      <c r="J108" s="84" t="s">
        <v>206</v>
      </c>
      <c r="K108" s="107" t="s">
        <v>76</v>
      </c>
      <c r="L108" s="108">
        <f>iferror(if(and($M108=TRUE,$N108=TRUE),vlookup($E108,RH!$B$48:$S$70,month($G108)+6,false)*$H108,0),0)</f>
        <v>243.526275</v>
      </c>
      <c r="M108" s="109" t="b">
        <f t="shared" si="2"/>
        <v>1</v>
      </c>
      <c r="N108" s="109" t="b">
        <v>1</v>
      </c>
      <c r="O108" s="69" t="s">
        <v>225</v>
      </c>
      <c r="P108" s="67"/>
    </row>
    <row r="109" hidden="1">
      <c r="A109" s="67"/>
      <c r="B109" s="84"/>
      <c r="C109" s="99" t="s">
        <v>78</v>
      </c>
      <c r="D109" s="84" t="s">
        <v>254</v>
      </c>
      <c r="E109" s="84" t="s">
        <v>245</v>
      </c>
      <c r="F109" s="87"/>
      <c r="G109" s="87">
        <v>45170.0</v>
      </c>
      <c r="H109" s="110">
        <v>0.5</v>
      </c>
      <c r="I109" s="106">
        <f t="shared" si="1"/>
        <v>0.02083333333</v>
      </c>
      <c r="J109" s="84" t="s">
        <v>206</v>
      </c>
      <c r="K109" s="107" t="s">
        <v>221</v>
      </c>
      <c r="L109" s="108">
        <f>iferror(if(and($M109=TRUE,$N109=TRUE),vlookup($E109,RH!$B$48:$S$70,month($G109)+6,false)*$H109,0),0)</f>
        <v>20.49221452</v>
      </c>
      <c r="M109" s="109" t="b">
        <f t="shared" si="2"/>
        <v>1</v>
      </c>
      <c r="N109" s="109" t="b">
        <v>1</v>
      </c>
      <c r="O109" s="69" t="s">
        <v>225</v>
      </c>
      <c r="P109" s="67"/>
    </row>
    <row r="110" hidden="1">
      <c r="A110" s="67"/>
      <c r="B110" s="84"/>
      <c r="C110" s="99" t="s">
        <v>78</v>
      </c>
      <c r="D110" s="84" t="s">
        <v>254</v>
      </c>
      <c r="E110" s="84" t="s">
        <v>256</v>
      </c>
      <c r="F110" s="87" t="s">
        <v>257</v>
      </c>
      <c r="G110" s="87">
        <v>45170.0</v>
      </c>
      <c r="H110" s="110">
        <v>24.5</v>
      </c>
      <c r="I110" s="106">
        <f t="shared" si="1"/>
        <v>1.020833333</v>
      </c>
      <c r="J110" s="84" t="s">
        <v>206</v>
      </c>
      <c r="K110" s="107" t="s">
        <v>234</v>
      </c>
      <c r="L110" s="108">
        <f>iferror(if(and($M110=TRUE,$N110=TRUE),vlookup($E110,RH!$B$48:$S$70,month($G110)+6,false)*$H110,0),0)</f>
        <v>299.1369924</v>
      </c>
      <c r="M110" s="109" t="b">
        <f t="shared" si="2"/>
        <v>1</v>
      </c>
      <c r="N110" s="109" t="b">
        <v>1</v>
      </c>
      <c r="O110" s="69" t="s">
        <v>225</v>
      </c>
      <c r="P110" s="67"/>
    </row>
    <row r="111" hidden="1">
      <c r="A111" s="67"/>
      <c r="B111" s="84"/>
      <c r="C111" s="99" t="s">
        <v>78</v>
      </c>
      <c r="D111" s="84" t="s">
        <v>254</v>
      </c>
      <c r="E111" s="84" t="s">
        <v>229</v>
      </c>
      <c r="F111" s="87"/>
      <c r="G111" s="87">
        <v>45170.0</v>
      </c>
      <c r="H111" s="110">
        <v>4.25</v>
      </c>
      <c r="I111" s="106">
        <f t="shared" si="1"/>
        <v>0.1770833333</v>
      </c>
      <c r="J111" s="84" t="s">
        <v>206</v>
      </c>
      <c r="K111" s="107" t="s">
        <v>221</v>
      </c>
      <c r="L111" s="108">
        <f>iferror(if(and($M111=TRUE,$N111=TRUE),vlookup($E111,RH!$B$48:$S$70,month($G111)+6,false)*$H111,0),0)</f>
        <v>269.8806784</v>
      </c>
      <c r="M111" s="109" t="b">
        <f t="shared" si="2"/>
        <v>1</v>
      </c>
      <c r="N111" s="109" t="b">
        <v>1</v>
      </c>
      <c r="O111" s="69" t="s">
        <v>225</v>
      </c>
      <c r="P111" s="67"/>
    </row>
    <row r="112" hidden="1">
      <c r="A112" s="67"/>
      <c r="B112" s="84"/>
      <c r="C112" s="99" t="s">
        <v>78</v>
      </c>
      <c r="D112" s="84" t="s">
        <v>254</v>
      </c>
      <c r="E112" s="84" t="s">
        <v>236</v>
      </c>
      <c r="F112" s="87" t="s">
        <v>237</v>
      </c>
      <c r="G112" s="87">
        <v>45170.0</v>
      </c>
      <c r="H112" s="110">
        <v>9.0</v>
      </c>
      <c r="I112" s="106">
        <f t="shared" si="1"/>
        <v>0.375</v>
      </c>
      <c r="J112" s="84" t="s">
        <v>206</v>
      </c>
      <c r="K112" s="107" t="s">
        <v>234</v>
      </c>
      <c r="L112" s="108">
        <f>iferror(if(and($M112=TRUE,$N112=TRUE),vlookup($E112,RH!$B$48:$S$70,month($G112)+6,false)*$H112,0),0)</f>
        <v>109.8870584</v>
      </c>
      <c r="M112" s="109" t="b">
        <f t="shared" si="2"/>
        <v>1</v>
      </c>
      <c r="N112" s="109" t="b">
        <v>1</v>
      </c>
      <c r="O112" s="69" t="s">
        <v>225</v>
      </c>
      <c r="P112" s="67"/>
    </row>
    <row r="113" hidden="1">
      <c r="A113" s="67"/>
      <c r="B113" s="84"/>
      <c r="C113" s="99" t="s">
        <v>78</v>
      </c>
      <c r="D113" s="84" t="s">
        <v>258</v>
      </c>
      <c r="E113" s="84" t="s">
        <v>222</v>
      </c>
      <c r="F113" s="87" t="s">
        <v>223</v>
      </c>
      <c r="G113" s="87">
        <v>45170.0</v>
      </c>
      <c r="H113" s="110">
        <v>31.25</v>
      </c>
      <c r="I113" s="106">
        <f t="shared" si="1"/>
        <v>1.302083333</v>
      </c>
      <c r="J113" s="84" t="s">
        <v>208</v>
      </c>
      <c r="K113" s="107" t="s">
        <v>224</v>
      </c>
      <c r="L113" s="108">
        <f>iferror(if(and($M113=TRUE,$N113=TRUE),vlookup($E113,RH!$B$48:$S$70,month($G113)+6,false)*$H113,0),0)</f>
        <v>0</v>
      </c>
      <c r="M113" s="109" t="b">
        <f t="shared" si="2"/>
        <v>0</v>
      </c>
      <c r="N113" s="109" t="b">
        <v>1</v>
      </c>
      <c r="O113" s="69" t="s">
        <v>225</v>
      </c>
      <c r="P113" s="67"/>
    </row>
    <row r="114" hidden="1">
      <c r="A114" s="67"/>
      <c r="B114" s="84"/>
      <c r="C114" s="99" t="s">
        <v>78</v>
      </c>
      <c r="D114" s="84" t="s">
        <v>258</v>
      </c>
      <c r="E114" s="84" t="s">
        <v>247</v>
      </c>
      <c r="F114" s="87" t="s">
        <v>248</v>
      </c>
      <c r="G114" s="87">
        <v>45170.0</v>
      </c>
      <c r="H114" s="110">
        <v>86.75</v>
      </c>
      <c r="I114" s="106">
        <f t="shared" si="1"/>
        <v>3.614583333</v>
      </c>
      <c r="J114" s="84" t="s">
        <v>206</v>
      </c>
      <c r="K114" s="107" t="s">
        <v>249</v>
      </c>
      <c r="L114" s="108">
        <f>iferror(if(and($M114=TRUE,$N114=TRUE),vlookup($E114,RH!$B$48:$S$70,month($G114)+6,false)*$H114,0),0)</f>
        <v>6789.674017</v>
      </c>
      <c r="M114" s="109" t="b">
        <f t="shared" si="2"/>
        <v>1</v>
      </c>
      <c r="N114" s="109" t="b">
        <v>1</v>
      </c>
      <c r="O114" s="69" t="s">
        <v>225</v>
      </c>
      <c r="P114" s="67"/>
    </row>
    <row r="115" hidden="1">
      <c r="A115" s="67"/>
      <c r="B115" s="84"/>
      <c r="C115" s="99" t="s">
        <v>78</v>
      </c>
      <c r="D115" s="84" t="s">
        <v>258</v>
      </c>
      <c r="E115" s="84" t="s">
        <v>228</v>
      </c>
      <c r="F115" s="87"/>
      <c r="G115" s="87">
        <v>45170.0</v>
      </c>
      <c r="H115" s="110">
        <v>180.5</v>
      </c>
      <c r="I115" s="106">
        <f t="shared" si="1"/>
        <v>7.520833333</v>
      </c>
      <c r="J115" s="84" t="s">
        <v>206</v>
      </c>
      <c r="K115" s="107" t="s">
        <v>76</v>
      </c>
      <c r="L115" s="108">
        <f>iferror(if(and($M115=TRUE,$N115=TRUE),vlookup($E115,RH!$B$48:$S$70,month($G115)+6,false)*$H115,0),0)</f>
        <v>8348.648994</v>
      </c>
      <c r="M115" s="109" t="b">
        <f t="shared" si="2"/>
        <v>1</v>
      </c>
      <c r="N115" s="109" t="b">
        <v>1</v>
      </c>
      <c r="O115" s="69" t="s">
        <v>225</v>
      </c>
      <c r="P115" s="67"/>
    </row>
    <row r="116" hidden="1">
      <c r="A116" s="67"/>
      <c r="B116" s="84"/>
      <c r="C116" s="99" t="s">
        <v>78</v>
      </c>
      <c r="D116" s="84" t="s">
        <v>258</v>
      </c>
      <c r="E116" s="84" t="s">
        <v>229</v>
      </c>
      <c r="F116" s="87"/>
      <c r="G116" s="87">
        <v>45170.0</v>
      </c>
      <c r="H116" s="110">
        <v>167.35</v>
      </c>
      <c r="I116" s="106">
        <f t="shared" si="1"/>
        <v>6.972916667</v>
      </c>
      <c r="J116" s="84" t="s">
        <v>206</v>
      </c>
      <c r="K116" s="107" t="s">
        <v>221</v>
      </c>
      <c r="L116" s="108">
        <f>iferror(if(and($M116=TRUE,$N116=TRUE),vlookup($E116,RH!$B$48:$S$70,month($G116)+6,false)*$H116,0),0)</f>
        <v>10626.9486</v>
      </c>
      <c r="M116" s="109" t="b">
        <f t="shared" si="2"/>
        <v>1</v>
      </c>
      <c r="N116" s="109" t="b">
        <v>1</v>
      </c>
      <c r="O116" s="69" t="s">
        <v>225</v>
      </c>
      <c r="P116" s="67"/>
    </row>
    <row r="117" hidden="1">
      <c r="A117" s="67"/>
      <c r="B117" s="84"/>
      <c r="C117" s="99" t="s">
        <v>78</v>
      </c>
      <c r="D117" s="84" t="s">
        <v>258</v>
      </c>
      <c r="E117" s="84" t="s">
        <v>236</v>
      </c>
      <c r="F117" s="87" t="s">
        <v>237</v>
      </c>
      <c r="G117" s="87">
        <v>45170.0</v>
      </c>
      <c r="H117" s="110">
        <v>10.0</v>
      </c>
      <c r="I117" s="106">
        <f t="shared" si="1"/>
        <v>0.4166666667</v>
      </c>
      <c r="J117" s="84" t="s">
        <v>206</v>
      </c>
      <c r="K117" s="107" t="s">
        <v>234</v>
      </c>
      <c r="L117" s="108">
        <f>iferror(if(and($M117=TRUE,$N117=TRUE),vlookup($E117,RH!$B$48:$S$70,month($G117)+6,false)*$H117,0),0)</f>
        <v>122.0967316</v>
      </c>
      <c r="M117" s="109" t="b">
        <f t="shared" si="2"/>
        <v>1</v>
      </c>
      <c r="N117" s="109" t="b">
        <v>1</v>
      </c>
      <c r="O117" s="69" t="s">
        <v>225</v>
      </c>
      <c r="P117" s="67"/>
    </row>
    <row r="118" hidden="1">
      <c r="A118" s="67"/>
      <c r="B118" s="84"/>
      <c r="C118" s="99" t="s">
        <v>78</v>
      </c>
      <c r="D118" s="84" t="s">
        <v>258</v>
      </c>
      <c r="E118" s="84" t="s">
        <v>238</v>
      </c>
      <c r="F118" s="87" t="s">
        <v>239</v>
      </c>
      <c r="G118" s="87">
        <v>45170.0</v>
      </c>
      <c r="H118" s="110">
        <v>32.55</v>
      </c>
      <c r="I118" s="106">
        <f t="shared" si="1"/>
        <v>1.35625</v>
      </c>
      <c r="J118" s="84" t="s">
        <v>205</v>
      </c>
      <c r="K118" s="107" t="s">
        <v>240</v>
      </c>
      <c r="L118" s="108">
        <f>iferror(if(and($M118=TRUE,$N118=TRUE),vlookup($E118,RH!$B$48:$S$70,month($G118)+6,false)*$H118,0),0)</f>
        <v>3401.495699</v>
      </c>
      <c r="M118" s="109" t="b">
        <f t="shared" si="2"/>
        <v>1</v>
      </c>
      <c r="N118" s="109" t="b">
        <v>1</v>
      </c>
      <c r="O118" s="69" t="s">
        <v>225</v>
      </c>
      <c r="P118" s="67"/>
    </row>
    <row r="119" hidden="1">
      <c r="A119" s="67"/>
      <c r="B119" s="84"/>
      <c r="C119" s="99" t="s">
        <v>78</v>
      </c>
      <c r="D119" s="84" t="s">
        <v>258</v>
      </c>
      <c r="E119" s="84" t="s">
        <v>251</v>
      </c>
      <c r="F119" s="87"/>
      <c r="G119" s="87">
        <v>45170.0</v>
      </c>
      <c r="H119" s="110">
        <v>128.07</v>
      </c>
      <c r="I119" s="106">
        <f t="shared" si="1"/>
        <v>5.33625</v>
      </c>
      <c r="J119" s="84" t="s">
        <v>206</v>
      </c>
      <c r="K119" s="107" t="s">
        <v>76</v>
      </c>
      <c r="L119" s="108">
        <f>iferror(if(and($M119=TRUE,$N119=TRUE),vlookup($E119,RH!$B$48:$S$70,month($G119)+6,false)*$H119,0),0)</f>
        <v>2776.005859</v>
      </c>
      <c r="M119" s="109" t="b">
        <f t="shared" si="2"/>
        <v>1</v>
      </c>
      <c r="N119" s="109" t="b">
        <v>1</v>
      </c>
      <c r="O119" s="69" t="s">
        <v>225</v>
      </c>
      <c r="P119" s="67"/>
    </row>
    <row r="120" hidden="1">
      <c r="A120" s="67"/>
      <c r="B120" s="84"/>
      <c r="C120" s="99" t="s">
        <v>78</v>
      </c>
      <c r="D120" s="84" t="s">
        <v>254</v>
      </c>
      <c r="E120" s="84" t="s">
        <v>256</v>
      </c>
      <c r="F120" s="87" t="s">
        <v>257</v>
      </c>
      <c r="G120" s="87">
        <v>45200.0</v>
      </c>
      <c r="H120" s="110">
        <v>4.0</v>
      </c>
      <c r="I120" s="106">
        <f t="shared" si="1"/>
        <v>0.1666666667</v>
      </c>
      <c r="J120" s="84" t="s">
        <v>206</v>
      </c>
      <c r="K120" s="107" t="s">
        <v>234</v>
      </c>
      <c r="L120" s="108">
        <f>iferror(if(and($M120=TRUE,$N120=TRUE),vlookup($E120,RH!$B$48:$S$70,month($G120)+6,false)*$H120,0),0)</f>
        <v>53.07736204</v>
      </c>
      <c r="M120" s="109" t="b">
        <f t="shared" si="2"/>
        <v>1</v>
      </c>
      <c r="N120" s="109" t="b">
        <v>1</v>
      </c>
      <c r="O120" s="69" t="s">
        <v>225</v>
      </c>
      <c r="P120" s="67"/>
    </row>
    <row r="121" hidden="1">
      <c r="A121" s="67"/>
      <c r="B121" s="84"/>
      <c r="C121" s="99" t="s">
        <v>78</v>
      </c>
      <c r="D121" s="84" t="s">
        <v>254</v>
      </c>
      <c r="E121" s="84" t="s">
        <v>229</v>
      </c>
      <c r="F121" s="87"/>
      <c r="G121" s="87">
        <v>45200.0</v>
      </c>
      <c r="H121" s="110">
        <v>14.25</v>
      </c>
      <c r="I121" s="106">
        <f t="shared" si="1"/>
        <v>0.59375</v>
      </c>
      <c r="J121" s="84" t="s">
        <v>206</v>
      </c>
      <c r="K121" s="107" t="s">
        <v>221</v>
      </c>
      <c r="L121" s="108">
        <f>iferror(if(and($M121=TRUE,$N121=TRUE),vlookup($E121,RH!$B$48:$S$70,month($G121)+6,false)*$H121,0),0)</f>
        <v>983.4290384</v>
      </c>
      <c r="M121" s="109" t="b">
        <f t="shared" si="2"/>
        <v>1</v>
      </c>
      <c r="N121" s="109" t="b">
        <v>1</v>
      </c>
      <c r="O121" s="69" t="s">
        <v>225</v>
      </c>
      <c r="P121" s="67"/>
    </row>
    <row r="122" hidden="1">
      <c r="A122" s="67"/>
      <c r="B122" s="84"/>
      <c r="C122" s="99" t="s">
        <v>78</v>
      </c>
      <c r="D122" s="84" t="s">
        <v>254</v>
      </c>
      <c r="E122" s="84" t="s">
        <v>236</v>
      </c>
      <c r="F122" s="87" t="s">
        <v>237</v>
      </c>
      <c r="G122" s="87">
        <v>45200.0</v>
      </c>
      <c r="H122" s="110">
        <v>7.0</v>
      </c>
      <c r="I122" s="106">
        <f t="shared" si="1"/>
        <v>0.2916666667</v>
      </c>
      <c r="J122" s="84" t="s">
        <v>206</v>
      </c>
      <c r="K122" s="107" t="s">
        <v>234</v>
      </c>
      <c r="L122" s="108">
        <f>iferror(if(and($M122=TRUE,$N122=TRUE),vlookup($E122,RH!$B$48:$S$70,month($G122)+6,false)*$H122,0),0)</f>
        <v>92.88538357</v>
      </c>
      <c r="M122" s="109" t="b">
        <f t="shared" si="2"/>
        <v>1</v>
      </c>
      <c r="N122" s="109" t="b">
        <v>1</v>
      </c>
      <c r="O122" s="69" t="s">
        <v>225</v>
      </c>
      <c r="P122" s="67"/>
    </row>
    <row r="123" hidden="1">
      <c r="A123" s="67"/>
      <c r="B123" s="84"/>
      <c r="C123" s="99" t="s">
        <v>78</v>
      </c>
      <c r="D123" s="84" t="s">
        <v>254</v>
      </c>
      <c r="E123" s="84" t="s">
        <v>251</v>
      </c>
      <c r="F123" s="87"/>
      <c r="G123" s="87">
        <v>45200.0</v>
      </c>
      <c r="H123" s="110">
        <v>25.22</v>
      </c>
      <c r="I123" s="106">
        <f t="shared" si="1"/>
        <v>1.050833333</v>
      </c>
      <c r="J123" s="84" t="s">
        <v>206</v>
      </c>
      <c r="K123" s="107" t="s">
        <v>76</v>
      </c>
      <c r="L123" s="108">
        <f>iferror(if(and($M123=TRUE,$N123=TRUE),vlookup($E123,RH!$B$48:$S$70,month($G123)+6,false)*$H123,0),0)</f>
        <v>594.1051971</v>
      </c>
      <c r="M123" s="109" t="b">
        <f t="shared" si="2"/>
        <v>1</v>
      </c>
      <c r="N123" s="109" t="b">
        <v>1</v>
      </c>
      <c r="O123" s="69" t="s">
        <v>225</v>
      </c>
      <c r="P123" s="67"/>
    </row>
    <row r="124" hidden="1">
      <c r="A124" s="67"/>
      <c r="B124" s="84"/>
      <c r="C124" s="99" t="s">
        <v>78</v>
      </c>
      <c r="D124" s="84" t="s">
        <v>259</v>
      </c>
      <c r="E124" s="84" t="s">
        <v>222</v>
      </c>
      <c r="F124" s="87" t="s">
        <v>223</v>
      </c>
      <c r="G124" s="87">
        <v>45200.0</v>
      </c>
      <c r="H124" s="110">
        <v>32.0</v>
      </c>
      <c r="I124" s="106">
        <f t="shared" si="1"/>
        <v>1.333333333</v>
      </c>
      <c r="J124" s="84" t="s">
        <v>208</v>
      </c>
      <c r="K124" s="107" t="s">
        <v>224</v>
      </c>
      <c r="L124" s="108">
        <f>iferror(if(and($M124=TRUE,$N124=TRUE),vlookup($E124,RH!$B$48:$S$70,month($G124)+6,false)*$H124,0),0)</f>
        <v>0</v>
      </c>
      <c r="M124" s="109" t="b">
        <f t="shared" si="2"/>
        <v>0</v>
      </c>
      <c r="N124" s="109" t="b">
        <v>1</v>
      </c>
      <c r="O124" s="69" t="s">
        <v>225</v>
      </c>
      <c r="P124" s="67"/>
    </row>
    <row r="125" hidden="1">
      <c r="A125" s="67"/>
      <c r="B125" s="84"/>
      <c r="C125" s="99" t="s">
        <v>78</v>
      </c>
      <c r="D125" s="84" t="s">
        <v>259</v>
      </c>
      <c r="E125" s="84" t="s">
        <v>226</v>
      </c>
      <c r="F125" s="87" t="s">
        <v>227</v>
      </c>
      <c r="G125" s="87">
        <v>45200.0</v>
      </c>
      <c r="H125" s="110">
        <v>46.5</v>
      </c>
      <c r="I125" s="106">
        <f t="shared" si="1"/>
        <v>1.9375</v>
      </c>
      <c r="J125" s="84" t="s">
        <v>206</v>
      </c>
      <c r="K125" s="107" t="s">
        <v>76</v>
      </c>
      <c r="L125" s="108">
        <f>iferror(if(and($M125=TRUE,$N125=TRUE),vlookup($E125,RH!$B$48:$S$70,month($G125)+6,false)*$H125,0),0)</f>
        <v>1172.073319</v>
      </c>
      <c r="M125" s="109" t="b">
        <f t="shared" si="2"/>
        <v>1</v>
      </c>
      <c r="N125" s="109" t="b">
        <v>1</v>
      </c>
      <c r="O125" s="69" t="s">
        <v>225</v>
      </c>
      <c r="P125" s="67"/>
    </row>
    <row r="126" hidden="1">
      <c r="A126" s="67"/>
      <c r="B126" s="84"/>
      <c r="C126" s="99" t="s">
        <v>78</v>
      </c>
      <c r="D126" s="84" t="s">
        <v>259</v>
      </c>
      <c r="E126" s="84" t="s">
        <v>247</v>
      </c>
      <c r="F126" s="87" t="s">
        <v>248</v>
      </c>
      <c r="G126" s="87">
        <v>45200.0</v>
      </c>
      <c r="H126" s="110">
        <v>119.5</v>
      </c>
      <c r="I126" s="106">
        <f t="shared" si="1"/>
        <v>4.979166667</v>
      </c>
      <c r="J126" s="84" t="s">
        <v>206</v>
      </c>
      <c r="K126" s="107" t="s">
        <v>249</v>
      </c>
      <c r="L126" s="108">
        <f>iferror(if(and($M126=TRUE,$N126=TRUE),vlookup($E126,RH!$B$48:$S$70,month($G126)+6,false)*$H126,0),0)</f>
        <v>10164.65507</v>
      </c>
      <c r="M126" s="109" t="b">
        <f t="shared" si="2"/>
        <v>1</v>
      </c>
      <c r="N126" s="109" t="b">
        <v>1</v>
      </c>
      <c r="O126" s="69" t="s">
        <v>225</v>
      </c>
      <c r="P126" s="67"/>
    </row>
    <row r="127" hidden="1">
      <c r="A127" s="67"/>
      <c r="B127" s="84"/>
      <c r="C127" s="99" t="s">
        <v>78</v>
      </c>
      <c r="D127" s="84" t="s">
        <v>259</v>
      </c>
      <c r="E127" s="84" t="s">
        <v>245</v>
      </c>
      <c r="F127" s="87"/>
      <c r="G127" s="87">
        <v>45200.0</v>
      </c>
      <c r="H127" s="110">
        <v>5.55</v>
      </c>
      <c r="I127" s="106">
        <f t="shared" si="1"/>
        <v>0.23125</v>
      </c>
      <c r="J127" s="84" t="s">
        <v>206</v>
      </c>
      <c r="K127" s="107" t="s">
        <v>221</v>
      </c>
      <c r="L127" s="108">
        <f>iferror(if(and($M127=TRUE,$N127=TRUE),vlookup($E127,RH!$B$48:$S$70,month($G127)+6,false)*$H127,0),0)</f>
        <v>247.2049557</v>
      </c>
      <c r="M127" s="109" t="b">
        <f t="shared" si="2"/>
        <v>1</v>
      </c>
      <c r="N127" s="109" t="b">
        <v>1</v>
      </c>
      <c r="O127" s="69" t="s">
        <v>225</v>
      </c>
      <c r="P127" s="67"/>
    </row>
    <row r="128" hidden="1">
      <c r="A128" s="67"/>
      <c r="B128" s="84"/>
      <c r="C128" s="99" t="s">
        <v>78</v>
      </c>
      <c r="D128" s="84" t="s">
        <v>259</v>
      </c>
      <c r="E128" s="84" t="s">
        <v>228</v>
      </c>
      <c r="F128" s="87"/>
      <c r="G128" s="87">
        <v>45200.0</v>
      </c>
      <c r="H128" s="110">
        <v>64.28</v>
      </c>
      <c r="I128" s="106">
        <f t="shared" si="1"/>
        <v>2.678333333</v>
      </c>
      <c r="J128" s="84" t="s">
        <v>206</v>
      </c>
      <c r="K128" s="107" t="s">
        <v>76</v>
      </c>
      <c r="L128" s="108">
        <f>iferror(if(and($M128=TRUE,$N128=TRUE),vlookup($E128,RH!$B$48:$S$70,month($G128)+6,false)*$H128,0),0)</f>
        <v>3231.172652</v>
      </c>
      <c r="M128" s="109" t="b">
        <f t="shared" si="2"/>
        <v>1</v>
      </c>
      <c r="N128" s="109" t="b">
        <v>1</v>
      </c>
      <c r="O128" s="69" t="s">
        <v>225</v>
      </c>
      <c r="P128" s="67"/>
    </row>
    <row r="129" hidden="1">
      <c r="A129" s="67"/>
      <c r="B129" s="84"/>
      <c r="C129" s="99" t="s">
        <v>78</v>
      </c>
      <c r="D129" s="84" t="s">
        <v>259</v>
      </c>
      <c r="E129" s="84" t="s">
        <v>229</v>
      </c>
      <c r="F129" s="87"/>
      <c r="G129" s="87">
        <v>45200.0</v>
      </c>
      <c r="H129" s="110">
        <v>98.0</v>
      </c>
      <c r="I129" s="106">
        <f t="shared" si="1"/>
        <v>4.083333333</v>
      </c>
      <c r="J129" s="84" t="s">
        <v>206</v>
      </c>
      <c r="K129" s="107" t="s">
        <v>221</v>
      </c>
      <c r="L129" s="108">
        <f>iferror(if(and($M129=TRUE,$N129=TRUE),vlookup($E129,RH!$B$48:$S$70,month($G129)+6,false)*$H129,0),0)</f>
        <v>6763.231281</v>
      </c>
      <c r="M129" s="109" t="b">
        <f t="shared" si="2"/>
        <v>1</v>
      </c>
      <c r="N129" s="109" t="b">
        <v>1</v>
      </c>
      <c r="O129" s="69" t="s">
        <v>225</v>
      </c>
      <c r="P129" s="67"/>
    </row>
    <row r="130" hidden="1">
      <c r="A130" s="67"/>
      <c r="B130" s="84"/>
      <c r="C130" s="99" t="s">
        <v>78</v>
      </c>
      <c r="D130" s="84" t="s">
        <v>259</v>
      </c>
      <c r="E130" s="84" t="s">
        <v>251</v>
      </c>
      <c r="F130" s="87"/>
      <c r="G130" s="87">
        <v>45200.0</v>
      </c>
      <c r="H130" s="110">
        <v>64.61</v>
      </c>
      <c r="I130" s="106">
        <f t="shared" si="1"/>
        <v>2.692083333</v>
      </c>
      <c r="J130" s="84" t="s">
        <v>206</v>
      </c>
      <c r="K130" s="107" t="s">
        <v>76</v>
      </c>
      <c r="L130" s="108">
        <f>iferror(if(and($M130=TRUE,$N130=TRUE),vlookup($E130,RH!$B$48:$S$70,month($G130)+6,false)*$H130,0),0)</f>
        <v>1522.011768</v>
      </c>
      <c r="M130" s="109" t="b">
        <f t="shared" si="2"/>
        <v>1</v>
      </c>
      <c r="N130" s="109" t="b">
        <v>1</v>
      </c>
      <c r="O130" s="69" t="s">
        <v>225</v>
      </c>
      <c r="P130" s="67"/>
    </row>
    <row r="131" hidden="1">
      <c r="A131" s="67"/>
      <c r="B131" s="84"/>
      <c r="C131" s="99" t="s">
        <v>78</v>
      </c>
      <c r="D131" s="84" t="s">
        <v>259</v>
      </c>
      <c r="E131" s="84" t="s">
        <v>246</v>
      </c>
      <c r="F131" s="87"/>
      <c r="G131" s="87">
        <v>45200.0</v>
      </c>
      <c r="H131" s="110">
        <v>13.25</v>
      </c>
      <c r="I131" s="106">
        <f t="shared" si="1"/>
        <v>0.5520833333</v>
      </c>
      <c r="J131" s="84" t="s">
        <v>206</v>
      </c>
      <c r="K131" s="107" t="s">
        <v>221</v>
      </c>
      <c r="L131" s="108">
        <f>iferror(if(and($M131=TRUE,$N131=TRUE),vlookup($E131,RH!$B$48:$S$70,month($G131)+6,false)*$H131,0),0)</f>
        <v>590.1739933</v>
      </c>
      <c r="M131" s="109" t="b">
        <f t="shared" si="2"/>
        <v>1</v>
      </c>
      <c r="N131" s="109" t="b">
        <v>1</v>
      </c>
      <c r="O131" s="69" t="s">
        <v>225</v>
      </c>
      <c r="P131" s="67"/>
    </row>
    <row r="132" hidden="1">
      <c r="A132" s="67"/>
      <c r="B132" s="84"/>
      <c r="C132" s="99" t="s">
        <v>78</v>
      </c>
      <c r="D132" s="84" t="s">
        <v>252</v>
      </c>
      <c r="E132" s="84" t="s">
        <v>226</v>
      </c>
      <c r="F132" s="87" t="s">
        <v>227</v>
      </c>
      <c r="G132" s="87">
        <v>45231.0</v>
      </c>
      <c r="H132" s="110">
        <v>33.0</v>
      </c>
      <c r="I132" s="106">
        <f t="shared" si="1"/>
        <v>1.375</v>
      </c>
      <c r="J132" s="84" t="s">
        <v>206</v>
      </c>
      <c r="K132" s="107" t="s">
        <v>76</v>
      </c>
      <c r="L132" s="108">
        <f>iferror(if(and($M132=TRUE,$N132=TRUE),vlookup($E132,RH!$B$48:$S$70,month($G132)+6,false)*$H132,0),0)</f>
        <v>827.7800511</v>
      </c>
      <c r="M132" s="109" t="b">
        <f t="shared" si="2"/>
        <v>1</v>
      </c>
      <c r="N132" s="109" t="b">
        <v>1</v>
      </c>
      <c r="O132" s="69" t="s">
        <v>225</v>
      </c>
      <c r="P132" s="67"/>
    </row>
    <row r="133" hidden="1">
      <c r="A133" s="67"/>
      <c r="B133" s="84"/>
      <c r="C133" s="99" t="s">
        <v>78</v>
      </c>
      <c r="D133" s="84" t="s">
        <v>252</v>
      </c>
      <c r="E133" s="84" t="s">
        <v>256</v>
      </c>
      <c r="F133" s="87" t="s">
        <v>257</v>
      </c>
      <c r="G133" s="87">
        <v>45231.0</v>
      </c>
      <c r="H133" s="110">
        <v>5.0</v>
      </c>
      <c r="I133" s="106">
        <f t="shared" si="1"/>
        <v>0.2083333333</v>
      </c>
      <c r="J133" s="84" t="s">
        <v>206</v>
      </c>
      <c r="K133" s="107" t="s">
        <v>234</v>
      </c>
      <c r="L133" s="108">
        <f>iferror(if(and($M133=TRUE,$N133=TRUE),vlookup($E133,RH!$B$48:$S$70,month($G133)+6,false)*$H133,0),0)</f>
        <v>66.05926307</v>
      </c>
      <c r="M133" s="109" t="b">
        <f t="shared" si="2"/>
        <v>1</v>
      </c>
      <c r="N133" s="109" t="b">
        <v>1</v>
      </c>
      <c r="O133" s="69" t="s">
        <v>225</v>
      </c>
      <c r="P133" s="67"/>
    </row>
    <row r="134" hidden="1">
      <c r="A134" s="67"/>
      <c r="B134" s="84"/>
      <c r="C134" s="99" t="s">
        <v>78</v>
      </c>
      <c r="D134" s="84" t="s">
        <v>252</v>
      </c>
      <c r="E134" s="84" t="s">
        <v>229</v>
      </c>
      <c r="F134" s="87"/>
      <c r="G134" s="87">
        <v>45231.0</v>
      </c>
      <c r="H134" s="110">
        <v>25.4</v>
      </c>
      <c r="I134" s="106">
        <f t="shared" si="1"/>
        <v>1.058333333</v>
      </c>
      <c r="J134" s="84" t="s">
        <v>206</v>
      </c>
      <c r="K134" s="107" t="s">
        <v>221</v>
      </c>
      <c r="L134" s="108">
        <f>iferror(if(and($M134=TRUE,$N134=TRUE),vlookup($E134,RH!$B$48:$S$70,month($G134)+6,false)*$H134,0),0)</f>
        <v>1744.457079</v>
      </c>
      <c r="M134" s="109" t="b">
        <f t="shared" si="2"/>
        <v>1</v>
      </c>
      <c r="N134" s="109" t="b">
        <v>1</v>
      </c>
      <c r="O134" s="69" t="s">
        <v>225</v>
      </c>
      <c r="P134" s="67"/>
    </row>
    <row r="135" hidden="1">
      <c r="A135" s="67"/>
      <c r="B135" s="84"/>
      <c r="C135" s="99" t="s">
        <v>78</v>
      </c>
      <c r="D135" s="84" t="s">
        <v>260</v>
      </c>
      <c r="E135" s="84" t="s">
        <v>222</v>
      </c>
      <c r="F135" s="87" t="s">
        <v>223</v>
      </c>
      <c r="G135" s="87">
        <v>45231.0</v>
      </c>
      <c r="H135" s="110">
        <v>2.0</v>
      </c>
      <c r="I135" s="106">
        <f t="shared" si="1"/>
        <v>0.08333333333</v>
      </c>
      <c r="J135" s="84" t="s">
        <v>208</v>
      </c>
      <c r="K135" s="107" t="s">
        <v>224</v>
      </c>
      <c r="L135" s="108">
        <f>iferror(if(and($M135=TRUE,$N135=TRUE),vlookup($E135,RH!$B$48:$S$70,month($G135)+6,false)*$H135,0),0)</f>
        <v>0</v>
      </c>
      <c r="M135" s="109" t="b">
        <f t="shared" si="2"/>
        <v>0</v>
      </c>
      <c r="N135" s="109" t="b">
        <v>1</v>
      </c>
      <c r="O135" s="69" t="s">
        <v>225</v>
      </c>
      <c r="P135" s="67"/>
    </row>
    <row r="136" hidden="1">
      <c r="A136" s="67"/>
      <c r="B136" s="84"/>
      <c r="C136" s="99" t="s">
        <v>78</v>
      </c>
      <c r="D136" s="84" t="s">
        <v>260</v>
      </c>
      <c r="E136" s="84" t="s">
        <v>226</v>
      </c>
      <c r="F136" s="87" t="s">
        <v>227</v>
      </c>
      <c r="G136" s="87">
        <v>45231.0</v>
      </c>
      <c r="H136" s="110">
        <v>34.0</v>
      </c>
      <c r="I136" s="106">
        <f t="shared" si="1"/>
        <v>1.416666667</v>
      </c>
      <c r="J136" s="84" t="s">
        <v>206</v>
      </c>
      <c r="K136" s="107" t="s">
        <v>76</v>
      </c>
      <c r="L136" s="108">
        <f>iferror(if(and($M136=TRUE,$N136=TRUE),vlookup($E136,RH!$B$48:$S$70,month($G136)+6,false)*$H136,0),0)</f>
        <v>852.8642951</v>
      </c>
      <c r="M136" s="109" t="b">
        <f t="shared" si="2"/>
        <v>1</v>
      </c>
      <c r="N136" s="109" t="b">
        <v>1</v>
      </c>
      <c r="O136" s="69" t="s">
        <v>225</v>
      </c>
      <c r="P136" s="67"/>
    </row>
    <row r="137" hidden="1">
      <c r="A137" s="67"/>
      <c r="B137" s="84"/>
      <c r="C137" s="99" t="s">
        <v>78</v>
      </c>
      <c r="D137" s="84" t="s">
        <v>260</v>
      </c>
      <c r="E137" s="84" t="s">
        <v>247</v>
      </c>
      <c r="F137" s="87" t="s">
        <v>248</v>
      </c>
      <c r="G137" s="87">
        <v>45231.0</v>
      </c>
      <c r="H137" s="110">
        <v>144.75</v>
      </c>
      <c r="I137" s="106">
        <f t="shared" si="1"/>
        <v>6.03125</v>
      </c>
      <c r="J137" s="84" t="s">
        <v>206</v>
      </c>
      <c r="K137" s="107" t="s">
        <v>249</v>
      </c>
      <c r="L137" s="108">
        <f>iferror(if(and($M137=TRUE,$N137=TRUE),vlookup($E137,RH!$B$48:$S$70,month($G137)+6,false)*$H137,0),0)</f>
        <v>12252.97886</v>
      </c>
      <c r="M137" s="109" t="b">
        <f t="shared" si="2"/>
        <v>1</v>
      </c>
      <c r="N137" s="109" t="b">
        <v>1</v>
      </c>
      <c r="O137" s="69" t="s">
        <v>225</v>
      </c>
      <c r="P137" s="67"/>
    </row>
    <row r="138" hidden="1">
      <c r="A138" s="67"/>
      <c r="B138" s="84"/>
      <c r="C138" s="99" t="s">
        <v>78</v>
      </c>
      <c r="D138" s="84" t="s">
        <v>260</v>
      </c>
      <c r="E138" s="84" t="s">
        <v>245</v>
      </c>
      <c r="F138" s="87"/>
      <c r="G138" s="87">
        <v>45231.0</v>
      </c>
      <c r="H138" s="110">
        <v>8.25</v>
      </c>
      <c r="I138" s="106">
        <f t="shared" si="1"/>
        <v>0.34375</v>
      </c>
      <c r="J138" s="84" t="s">
        <v>206</v>
      </c>
      <c r="K138" s="107" t="s">
        <v>221</v>
      </c>
      <c r="L138" s="108">
        <f>iferror(if(and($M138=TRUE,$N138=TRUE),vlookup($E138,RH!$B$48:$S$70,month($G138)+6,false)*$H138,0),0)</f>
        <v>365.6932114</v>
      </c>
      <c r="M138" s="109" t="b">
        <f t="shared" si="2"/>
        <v>1</v>
      </c>
      <c r="N138" s="109" t="b">
        <v>1</v>
      </c>
      <c r="O138" s="69" t="s">
        <v>225</v>
      </c>
      <c r="P138" s="67"/>
    </row>
    <row r="139" hidden="1">
      <c r="A139" s="67"/>
      <c r="B139" s="84"/>
      <c r="C139" s="99" t="s">
        <v>78</v>
      </c>
      <c r="D139" s="84" t="s">
        <v>260</v>
      </c>
      <c r="E139" s="84" t="s">
        <v>228</v>
      </c>
      <c r="F139" s="87"/>
      <c r="G139" s="87">
        <v>45231.0</v>
      </c>
      <c r="H139" s="110">
        <v>203.8</v>
      </c>
      <c r="I139" s="106">
        <f t="shared" si="1"/>
        <v>8.491666667</v>
      </c>
      <c r="J139" s="84" t="s">
        <v>206</v>
      </c>
      <c r="K139" s="107" t="s">
        <v>76</v>
      </c>
      <c r="L139" s="108">
        <f>iferror(if(and($M139=TRUE,$N139=TRUE),vlookup($E139,RH!$B$48:$S$70,month($G139)+6,false)*$H139,0),0)</f>
        <v>10195.00009</v>
      </c>
      <c r="M139" s="109" t="b">
        <f t="shared" si="2"/>
        <v>1</v>
      </c>
      <c r="N139" s="109" t="b">
        <v>1</v>
      </c>
      <c r="O139" s="69" t="s">
        <v>225</v>
      </c>
      <c r="P139" s="67"/>
    </row>
    <row r="140" hidden="1">
      <c r="A140" s="67"/>
      <c r="B140" s="84"/>
      <c r="C140" s="99" t="s">
        <v>78</v>
      </c>
      <c r="D140" s="84" t="s">
        <v>260</v>
      </c>
      <c r="E140" s="84" t="s">
        <v>256</v>
      </c>
      <c r="F140" s="87" t="s">
        <v>257</v>
      </c>
      <c r="G140" s="87">
        <v>45231.0</v>
      </c>
      <c r="H140" s="110">
        <v>43.0</v>
      </c>
      <c r="I140" s="106">
        <f t="shared" si="1"/>
        <v>1.791666667</v>
      </c>
      <c r="J140" s="84" t="s">
        <v>206</v>
      </c>
      <c r="K140" s="107" t="s">
        <v>234</v>
      </c>
      <c r="L140" s="108">
        <f>iferror(if(and($M140=TRUE,$N140=TRUE),vlookup($E140,RH!$B$48:$S$70,month($G140)+6,false)*$H140,0),0)</f>
        <v>568.1096624</v>
      </c>
      <c r="M140" s="109" t="b">
        <f t="shared" si="2"/>
        <v>1</v>
      </c>
      <c r="N140" s="109" t="b">
        <v>1</v>
      </c>
      <c r="O140" s="69" t="s">
        <v>225</v>
      </c>
      <c r="P140" s="67"/>
    </row>
    <row r="141" hidden="1">
      <c r="A141" s="67"/>
      <c r="B141" s="84"/>
      <c r="C141" s="99" t="s">
        <v>78</v>
      </c>
      <c r="D141" s="84" t="s">
        <v>260</v>
      </c>
      <c r="E141" s="84" t="s">
        <v>229</v>
      </c>
      <c r="F141" s="87"/>
      <c r="G141" s="87">
        <v>45231.0</v>
      </c>
      <c r="H141" s="110">
        <v>102.78</v>
      </c>
      <c r="I141" s="106">
        <f t="shared" si="1"/>
        <v>4.2825</v>
      </c>
      <c r="J141" s="84" t="s">
        <v>206</v>
      </c>
      <c r="K141" s="107" t="s">
        <v>221</v>
      </c>
      <c r="L141" s="108">
        <f>iferror(if(and($M141=TRUE,$N141=TRUE),vlookup($E141,RH!$B$48:$S$70,month($G141)+6,false)*$H141,0),0)</f>
        <v>7058.870023</v>
      </c>
      <c r="M141" s="109" t="b">
        <f t="shared" si="2"/>
        <v>1</v>
      </c>
      <c r="N141" s="109" t="b">
        <v>1</v>
      </c>
      <c r="O141" s="69" t="s">
        <v>225</v>
      </c>
      <c r="P141" s="67"/>
    </row>
    <row r="142" hidden="1">
      <c r="A142" s="67"/>
      <c r="B142" s="84"/>
      <c r="C142" s="99" t="s">
        <v>78</v>
      </c>
      <c r="D142" s="84" t="s">
        <v>260</v>
      </c>
      <c r="E142" s="84" t="s">
        <v>236</v>
      </c>
      <c r="F142" s="87" t="s">
        <v>237</v>
      </c>
      <c r="G142" s="87">
        <v>45231.0</v>
      </c>
      <c r="H142" s="110">
        <v>20.0</v>
      </c>
      <c r="I142" s="106">
        <f t="shared" si="1"/>
        <v>0.8333333333</v>
      </c>
      <c r="J142" s="84" t="s">
        <v>206</v>
      </c>
      <c r="K142" s="107" t="s">
        <v>234</v>
      </c>
      <c r="L142" s="108">
        <f>iferror(if(and($M142=TRUE,$N142=TRUE),vlookup($E142,RH!$B$48:$S$70,month($G142)+6,false)*$H142,0),0)</f>
        <v>264.2370523</v>
      </c>
      <c r="M142" s="109" t="b">
        <f t="shared" si="2"/>
        <v>1</v>
      </c>
      <c r="N142" s="109" t="b">
        <v>1</v>
      </c>
      <c r="O142" s="69" t="s">
        <v>225</v>
      </c>
      <c r="P142" s="67"/>
    </row>
    <row r="143" hidden="1">
      <c r="A143" s="67"/>
      <c r="B143" s="84"/>
      <c r="C143" s="99" t="s">
        <v>78</v>
      </c>
      <c r="D143" s="84" t="s">
        <v>260</v>
      </c>
      <c r="E143" s="84" t="s">
        <v>251</v>
      </c>
      <c r="F143" s="87"/>
      <c r="G143" s="87">
        <v>45231.0</v>
      </c>
      <c r="H143" s="110">
        <v>29.67</v>
      </c>
      <c r="I143" s="106">
        <f t="shared" si="1"/>
        <v>1.23625</v>
      </c>
      <c r="J143" s="84" t="s">
        <v>206</v>
      </c>
      <c r="K143" s="107" t="s">
        <v>76</v>
      </c>
      <c r="L143" s="108">
        <f>iferror(if(and($M143=TRUE,$N143=TRUE),vlookup($E143,RH!$B$48:$S$70,month($G143)+6,false)*$H143,0),0)</f>
        <v>695.5594048</v>
      </c>
      <c r="M143" s="109" t="b">
        <f t="shared" si="2"/>
        <v>1</v>
      </c>
      <c r="N143" s="109" t="b">
        <v>1</v>
      </c>
      <c r="O143" s="69" t="s">
        <v>225</v>
      </c>
      <c r="P143" s="67"/>
    </row>
    <row r="144" hidden="1">
      <c r="A144" s="67"/>
      <c r="B144" s="84"/>
      <c r="C144" s="99" t="s">
        <v>78</v>
      </c>
      <c r="D144" s="84" t="s">
        <v>252</v>
      </c>
      <c r="E144" s="84" t="s">
        <v>226</v>
      </c>
      <c r="F144" s="87" t="s">
        <v>227</v>
      </c>
      <c r="G144" s="87">
        <v>45261.0</v>
      </c>
      <c r="H144" s="110">
        <v>1.0</v>
      </c>
      <c r="I144" s="106">
        <f t="shared" si="1"/>
        <v>0.04166666667</v>
      </c>
      <c r="J144" s="84" t="s">
        <v>206</v>
      </c>
      <c r="K144" s="107" t="s">
        <v>76</v>
      </c>
      <c r="L144" s="108">
        <f>iferror(if(and($M144=TRUE,$N144=TRUE),vlookup($E144,RH!$B$48:$S$70,month($G144)+6,false)*$H144,0),0)</f>
        <v>23.11602912</v>
      </c>
      <c r="M144" s="109" t="b">
        <f t="shared" si="2"/>
        <v>1</v>
      </c>
      <c r="N144" s="109" t="b">
        <v>1</v>
      </c>
      <c r="O144" s="69" t="s">
        <v>225</v>
      </c>
      <c r="P144" s="67"/>
    </row>
    <row r="145" hidden="1">
      <c r="A145" s="67"/>
      <c r="B145" s="84"/>
      <c r="C145" s="99" t="s">
        <v>78</v>
      </c>
      <c r="D145" s="84" t="s">
        <v>252</v>
      </c>
      <c r="E145" s="84" t="s">
        <v>247</v>
      </c>
      <c r="F145" s="87" t="s">
        <v>248</v>
      </c>
      <c r="G145" s="87">
        <v>45261.0</v>
      </c>
      <c r="H145" s="110">
        <v>32.0</v>
      </c>
      <c r="I145" s="106">
        <f t="shared" si="1"/>
        <v>1.333333333</v>
      </c>
      <c r="J145" s="84" t="s">
        <v>206</v>
      </c>
      <c r="K145" s="107" t="s">
        <v>249</v>
      </c>
      <c r="L145" s="108">
        <f>iferror(if(and($M145=TRUE,$N145=TRUE),vlookup($E145,RH!$B$48:$S$70,month($G145)+6,false)*$H145,0),0)</f>
        <v>2496.234073</v>
      </c>
      <c r="M145" s="109" t="b">
        <f t="shared" si="2"/>
        <v>1</v>
      </c>
      <c r="N145" s="109" t="b">
        <v>1</v>
      </c>
      <c r="O145" s="69" t="s">
        <v>225</v>
      </c>
      <c r="P145" s="67"/>
    </row>
    <row r="146" hidden="1">
      <c r="A146" s="67"/>
      <c r="B146" s="84"/>
      <c r="C146" s="99" t="s">
        <v>78</v>
      </c>
      <c r="D146" s="84" t="s">
        <v>252</v>
      </c>
      <c r="E146" s="84" t="s">
        <v>228</v>
      </c>
      <c r="F146" s="87"/>
      <c r="G146" s="87">
        <v>45261.0</v>
      </c>
      <c r="H146" s="110">
        <v>10.0</v>
      </c>
      <c r="I146" s="106">
        <f t="shared" si="1"/>
        <v>0.4166666667</v>
      </c>
      <c r="J146" s="84" t="s">
        <v>206</v>
      </c>
      <c r="K146" s="107" t="s">
        <v>76</v>
      </c>
      <c r="L146" s="108">
        <f>iferror(if(and($M146=TRUE,$N146=TRUE),vlookup($E146,RH!$B$48:$S$70,month($G146)+6,false)*$H146,0),0)</f>
        <v>460.993998</v>
      </c>
      <c r="M146" s="109" t="b">
        <f t="shared" si="2"/>
        <v>1</v>
      </c>
      <c r="N146" s="109" t="b">
        <v>1</v>
      </c>
      <c r="O146" s="69" t="s">
        <v>225</v>
      </c>
      <c r="P146" s="67"/>
    </row>
    <row r="147" hidden="1">
      <c r="A147" s="67"/>
      <c r="B147" s="84"/>
      <c r="C147" s="99" t="s">
        <v>78</v>
      </c>
      <c r="D147" s="84" t="s">
        <v>252</v>
      </c>
      <c r="E147" s="84" t="s">
        <v>229</v>
      </c>
      <c r="F147" s="87"/>
      <c r="G147" s="87">
        <v>45261.0</v>
      </c>
      <c r="H147" s="110">
        <v>8.8</v>
      </c>
      <c r="I147" s="106">
        <f t="shared" si="1"/>
        <v>0.3666666667</v>
      </c>
      <c r="J147" s="84" t="s">
        <v>206</v>
      </c>
      <c r="K147" s="107" t="s">
        <v>221</v>
      </c>
      <c r="L147" s="108">
        <f>iferror(if(and($M147=TRUE,$N147=TRUE),vlookup($E147,RH!$B$48:$S$70,month($G147)+6,false)*$H147,0),0)</f>
        <v>556.9567359</v>
      </c>
      <c r="M147" s="109" t="b">
        <f t="shared" si="2"/>
        <v>1</v>
      </c>
      <c r="N147" s="109" t="b">
        <v>1</v>
      </c>
      <c r="O147" s="69" t="s">
        <v>225</v>
      </c>
      <c r="P147" s="67"/>
    </row>
    <row r="148" hidden="1">
      <c r="A148" s="67"/>
      <c r="B148" s="84"/>
      <c r="C148" s="99" t="s">
        <v>78</v>
      </c>
      <c r="D148" s="84" t="s">
        <v>260</v>
      </c>
      <c r="E148" s="84" t="s">
        <v>247</v>
      </c>
      <c r="F148" s="87" t="s">
        <v>248</v>
      </c>
      <c r="G148" s="87">
        <v>45261.0</v>
      </c>
      <c r="H148" s="110">
        <v>57.75</v>
      </c>
      <c r="I148" s="106">
        <f t="shared" si="1"/>
        <v>2.40625</v>
      </c>
      <c r="J148" s="84" t="s">
        <v>206</v>
      </c>
      <c r="K148" s="107" t="s">
        <v>249</v>
      </c>
      <c r="L148" s="108">
        <f>iferror(if(and($M148=TRUE,$N148=TRUE),vlookup($E148,RH!$B$48:$S$70,month($G148)+6,false)*$H148,0),0)</f>
        <v>4504.922429</v>
      </c>
      <c r="M148" s="109" t="b">
        <f t="shared" si="2"/>
        <v>1</v>
      </c>
      <c r="N148" s="109" t="b">
        <v>1</v>
      </c>
      <c r="O148" s="69" t="s">
        <v>225</v>
      </c>
      <c r="P148" s="67"/>
    </row>
    <row r="149" hidden="1">
      <c r="A149" s="67"/>
      <c r="B149" s="84"/>
      <c r="C149" s="99" t="s">
        <v>78</v>
      </c>
      <c r="D149" s="84" t="s">
        <v>260</v>
      </c>
      <c r="E149" s="84" t="s">
        <v>228</v>
      </c>
      <c r="F149" s="87"/>
      <c r="G149" s="87">
        <v>45261.0</v>
      </c>
      <c r="H149" s="110">
        <v>72.8</v>
      </c>
      <c r="I149" s="106">
        <f t="shared" si="1"/>
        <v>3.033333333</v>
      </c>
      <c r="J149" s="84" t="s">
        <v>206</v>
      </c>
      <c r="K149" s="107" t="s">
        <v>76</v>
      </c>
      <c r="L149" s="108">
        <f>iferror(if(and($M149=TRUE,$N149=TRUE),vlookup($E149,RH!$B$48:$S$70,month($G149)+6,false)*$H149,0),0)</f>
        <v>3356.036306</v>
      </c>
      <c r="M149" s="109" t="b">
        <f t="shared" si="2"/>
        <v>1</v>
      </c>
      <c r="N149" s="109" t="b">
        <v>1</v>
      </c>
      <c r="O149" s="69" t="s">
        <v>225</v>
      </c>
      <c r="P149" s="67"/>
    </row>
    <row r="150" hidden="1">
      <c r="A150" s="67"/>
      <c r="B150" s="84"/>
      <c r="C150" s="99" t="s">
        <v>78</v>
      </c>
      <c r="D150" s="84" t="s">
        <v>260</v>
      </c>
      <c r="E150" s="84" t="s">
        <v>229</v>
      </c>
      <c r="F150" s="87"/>
      <c r="G150" s="87">
        <v>45261.0</v>
      </c>
      <c r="H150" s="110">
        <v>39.2</v>
      </c>
      <c r="I150" s="106">
        <f t="shared" si="1"/>
        <v>1.633333333</v>
      </c>
      <c r="J150" s="84" t="s">
        <v>206</v>
      </c>
      <c r="K150" s="107" t="s">
        <v>221</v>
      </c>
      <c r="L150" s="108">
        <f>iferror(if(and($M150=TRUE,$N150=TRUE),vlookup($E150,RH!$B$48:$S$70,month($G150)+6,false)*$H150,0),0)</f>
        <v>2480.989096</v>
      </c>
      <c r="M150" s="109" t="b">
        <f t="shared" si="2"/>
        <v>1</v>
      </c>
      <c r="N150" s="109" t="b">
        <v>1</v>
      </c>
      <c r="O150" s="69" t="s">
        <v>225</v>
      </c>
      <c r="P150" s="67"/>
    </row>
    <row r="151" hidden="1">
      <c r="A151" s="67"/>
      <c r="B151" s="84"/>
      <c r="C151" s="99" t="s">
        <v>78</v>
      </c>
      <c r="D151" s="84" t="s">
        <v>260</v>
      </c>
      <c r="E151" s="84" t="s">
        <v>236</v>
      </c>
      <c r="F151" s="87" t="s">
        <v>237</v>
      </c>
      <c r="G151" s="87">
        <v>45261.0</v>
      </c>
      <c r="H151" s="110">
        <v>6.0</v>
      </c>
      <c r="I151" s="106">
        <f t="shared" si="1"/>
        <v>0.25</v>
      </c>
      <c r="J151" s="84" t="s">
        <v>206</v>
      </c>
      <c r="K151" s="107" t="s">
        <v>234</v>
      </c>
      <c r="L151" s="108">
        <f>iferror(if(and($M151=TRUE,$N151=TRUE),vlookup($E151,RH!$B$48:$S$70,month($G151)+6,false)*$H151,0),0)</f>
        <v>73.0511719</v>
      </c>
      <c r="M151" s="109" t="b">
        <f t="shared" si="2"/>
        <v>1</v>
      </c>
      <c r="N151" s="109" t="b">
        <v>1</v>
      </c>
      <c r="O151" s="69" t="s">
        <v>225</v>
      </c>
      <c r="P151" s="67"/>
    </row>
    <row r="152" hidden="1">
      <c r="A152" s="67"/>
      <c r="B152" s="84"/>
      <c r="C152" s="99" t="s">
        <v>99</v>
      </c>
      <c r="D152" s="84" t="s">
        <v>100</v>
      </c>
      <c r="E152" s="84" t="s">
        <v>261</v>
      </c>
      <c r="F152" s="87" t="s">
        <v>262</v>
      </c>
      <c r="G152" s="87">
        <v>44927.0</v>
      </c>
      <c r="H152" s="110">
        <v>166.0</v>
      </c>
      <c r="I152" s="106">
        <f t="shared" si="1"/>
        <v>6.916666667</v>
      </c>
      <c r="J152" s="84" t="s">
        <v>206</v>
      </c>
      <c r="K152" s="107" t="s">
        <v>263</v>
      </c>
      <c r="L152" s="108">
        <f>iferror(if(and($M152=TRUE,$N152=TRUE),vlookup($E152,RH!$B$48:$S$70,month($G152)+6,false)*$H152,0),0)</f>
        <v>17980.94603</v>
      </c>
      <c r="M152" s="109" t="b">
        <f t="shared" si="2"/>
        <v>1</v>
      </c>
      <c r="N152" s="109" t="b">
        <v>1</v>
      </c>
      <c r="O152" s="69" t="s">
        <v>264</v>
      </c>
      <c r="P152" s="67"/>
    </row>
    <row r="153" hidden="1">
      <c r="A153" s="67"/>
      <c r="B153" s="84"/>
      <c r="C153" s="99" t="s">
        <v>99</v>
      </c>
      <c r="D153" s="84" t="s">
        <v>100</v>
      </c>
      <c r="E153" s="84" t="s">
        <v>265</v>
      </c>
      <c r="F153" s="87" t="s">
        <v>266</v>
      </c>
      <c r="G153" s="87">
        <v>44927.0</v>
      </c>
      <c r="H153" s="110">
        <v>125.0</v>
      </c>
      <c r="I153" s="106">
        <f t="shared" si="1"/>
        <v>5.208333333</v>
      </c>
      <c r="J153" s="84" t="s">
        <v>206</v>
      </c>
      <c r="K153" s="107" t="s">
        <v>267</v>
      </c>
      <c r="L153" s="108">
        <f>iferror(if(and($M153=TRUE,$N153=TRUE),vlookup($E153,RH!$B$48:$S$70,month($G153)+6,false)*$H153,0),0)</f>
        <v>14343.08238</v>
      </c>
      <c r="M153" s="109" t="b">
        <f t="shared" si="2"/>
        <v>1</v>
      </c>
      <c r="N153" s="109" t="b">
        <v>1</v>
      </c>
      <c r="O153" s="69" t="s">
        <v>264</v>
      </c>
      <c r="P153" s="67"/>
    </row>
    <row r="154" hidden="1">
      <c r="A154" s="67"/>
      <c r="B154" s="84"/>
      <c r="C154" s="99" t="s">
        <v>99</v>
      </c>
      <c r="D154" s="84" t="s">
        <v>100</v>
      </c>
      <c r="E154" s="84" t="s">
        <v>232</v>
      </c>
      <c r="F154" s="87" t="s">
        <v>233</v>
      </c>
      <c r="G154" s="87">
        <v>44927.0</v>
      </c>
      <c r="H154" s="110">
        <v>3.0</v>
      </c>
      <c r="I154" s="106">
        <f t="shared" si="1"/>
        <v>0.125</v>
      </c>
      <c r="J154" s="99" t="s">
        <v>206</v>
      </c>
      <c r="K154" s="107" t="s">
        <v>161</v>
      </c>
      <c r="L154" s="108">
        <f>iferror(if(and($M154=TRUE,$N154=TRUE),vlookup($E154,RH!$B$48:$S$70,month($G154)+6,false)*$H154,0),0)</f>
        <v>36.1450368</v>
      </c>
      <c r="M154" s="109" t="b">
        <f t="shared" si="2"/>
        <v>1</v>
      </c>
      <c r="N154" s="109" t="b">
        <v>1</v>
      </c>
      <c r="O154" s="69" t="s">
        <v>225</v>
      </c>
      <c r="P154" s="67"/>
    </row>
    <row r="155" hidden="1">
      <c r="A155" s="67"/>
      <c r="B155" s="84"/>
      <c r="C155" s="99" t="s">
        <v>99</v>
      </c>
      <c r="D155" s="84" t="s">
        <v>105</v>
      </c>
      <c r="E155" s="84" t="s">
        <v>268</v>
      </c>
      <c r="F155" s="87" t="s">
        <v>269</v>
      </c>
      <c r="G155" s="87">
        <v>44927.0</v>
      </c>
      <c r="H155" s="110">
        <v>163.0</v>
      </c>
      <c r="I155" s="106">
        <f t="shared" si="1"/>
        <v>6.791666667</v>
      </c>
      <c r="J155" s="84" t="s">
        <v>206</v>
      </c>
      <c r="K155" s="107" t="s">
        <v>263</v>
      </c>
      <c r="L155" s="108">
        <f>iferror(if(and($M155=TRUE,$N155=TRUE),vlookup($E155,RH!$B$48:$S$70,month($G155)+6,false)*$H155,0),0)</f>
        <v>14214.57844</v>
      </c>
      <c r="M155" s="109" t="b">
        <f t="shared" si="2"/>
        <v>1</v>
      </c>
      <c r="N155" s="109" t="b">
        <v>1</v>
      </c>
      <c r="O155" s="69" t="s">
        <v>264</v>
      </c>
      <c r="P155" s="67"/>
    </row>
    <row r="156" hidden="1">
      <c r="A156" s="67"/>
      <c r="B156" s="84"/>
      <c r="C156" s="99" t="s">
        <v>99</v>
      </c>
      <c r="D156" s="84" t="s">
        <v>105</v>
      </c>
      <c r="E156" s="84" t="s">
        <v>270</v>
      </c>
      <c r="F156" s="87" t="s">
        <v>271</v>
      </c>
      <c r="G156" s="87">
        <v>44927.0</v>
      </c>
      <c r="H156" s="110">
        <v>175.0</v>
      </c>
      <c r="I156" s="106">
        <f t="shared" si="1"/>
        <v>7.291666667</v>
      </c>
      <c r="J156" s="84" t="s">
        <v>206</v>
      </c>
      <c r="K156" s="107" t="s">
        <v>267</v>
      </c>
      <c r="L156" s="108">
        <f>iferror(if(and($M156=TRUE,$N156=TRUE),vlookup($E156,RH!$B$48:$S$70,month($G156)+6,false)*$H156,0),0)</f>
        <v>16894.71538</v>
      </c>
      <c r="M156" s="109" t="b">
        <f t="shared" si="2"/>
        <v>1</v>
      </c>
      <c r="N156" s="109" t="b">
        <v>1</v>
      </c>
      <c r="O156" s="69" t="s">
        <v>264</v>
      </c>
      <c r="P156" s="67"/>
    </row>
    <row r="157" hidden="1">
      <c r="A157" s="67"/>
      <c r="B157" s="84"/>
      <c r="C157" s="99" t="s">
        <v>99</v>
      </c>
      <c r="D157" s="84" t="s">
        <v>105</v>
      </c>
      <c r="E157" s="84" t="s">
        <v>226</v>
      </c>
      <c r="F157" s="87" t="s">
        <v>227</v>
      </c>
      <c r="G157" s="87">
        <v>44927.0</v>
      </c>
      <c r="H157" s="110">
        <v>18.0</v>
      </c>
      <c r="I157" s="106">
        <f t="shared" si="1"/>
        <v>0.75</v>
      </c>
      <c r="J157" s="99" t="s">
        <v>206</v>
      </c>
      <c r="K157" s="107" t="s">
        <v>161</v>
      </c>
      <c r="L157" s="108">
        <f>iferror(if(and($M157=TRUE,$N157=TRUE),vlookup($E157,RH!$B$48:$S$70,month($G157)+6,false)*$H157,0),0)</f>
        <v>385.0072006</v>
      </c>
      <c r="M157" s="109" t="b">
        <f t="shared" si="2"/>
        <v>1</v>
      </c>
      <c r="N157" s="109" t="b">
        <v>1</v>
      </c>
      <c r="O157" s="69" t="s">
        <v>225</v>
      </c>
      <c r="P157" s="67"/>
    </row>
    <row r="158" hidden="1">
      <c r="A158" s="67"/>
      <c r="B158" s="84"/>
      <c r="C158" s="99" t="s">
        <v>99</v>
      </c>
      <c r="D158" s="84" t="s">
        <v>111</v>
      </c>
      <c r="E158" s="84" t="s">
        <v>272</v>
      </c>
      <c r="F158" s="87" t="s">
        <v>273</v>
      </c>
      <c r="G158" s="87">
        <v>44927.0</v>
      </c>
      <c r="H158" s="110">
        <v>2.0</v>
      </c>
      <c r="I158" s="106">
        <f t="shared" si="1"/>
        <v>0.08333333333</v>
      </c>
      <c r="J158" s="84" t="s">
        <v>208</v>
      </c>
      <c r="K158" s="107" t="s">
        <v>224</v>
      </c>
      <c r="L158" s="108">
        <f>iferror(if(and($M158=TRUE,$N158=TRUE),vlookup($E158,RH!$B$48:$S$70,month($G158)+6,false)*$H158,0),0)</f>
        <v>0</v>
      </c>
      <c r="M158" s="109" t="b">
        <f t="shared" si="2"/>
        <v>0</v>
      </c>
      <c r="N158" s="109" t="b">
        <v>1</v>
      </c>
      <c r="O158" s="69" t="s">
        <v>225</v>
      </c>
      <c r="P158" s="67"/>
    </row>
    <row r="159">
      <c r="A159" s="67"/>
      <c r="B159" s="84"/>
      <c r="C159" s="99" t="s">
        <v>99</v>
      </c>
      <c r="D159" s="84" t="s">
        <v>111</v>
      </c>
      <c r="E159" s="84" t="s">
        <v>222</v>
      </c>
      <c r="F159" s="87" t="s">
        <v>223</v>
      </c>
      <c r="G159" s="87">
        <v>44927.0</v>
      </c>
      <c r="H159" s="110">
        <v>13.0</v>
      </c>
      <c r="I159" s="106">
        <f t="shared" si="1"/>
        <v>0.5416666667</v>
      </c>
      <c r="J159" s="84" t="s">
        <v>205</v>
      </c>
      <c r="K159" s="107" t="s">
        <v>274</v>
      </c>
      <c r="L159" s="108">
        <f>iferror(if(and($M159=TRUE,$N159=TRUE),vlookup($E159,RH!$B$48:$S$70,month($G159)+6,false)*$H159,0),0)</f>
        <v>1340.558169</v>
      </c>
      <c r="M159" s="109" t="b">
        <f t="shared" si="2"/>
        <v>1</v>
      </c>
      <c r="N159" s="109" t="b">
        <v>1</v>
      </c>
      <c r="O159" s="69" t="s">
        <v>225</v>
      </c>
      <c r="P159" s="67"/>
    </row>
    <row r="160" hidden="1">
      <c r="A160" s="67"/>
      <c r="B160" s="84"/>
      <c r="C160" s="99" t="s">
        <v>99</v>
      </c>
      <c r="D160" s="84" t="s">
        <v>100</v>
      </c>
      <c r="E160" s="84" t="s">
        <v>261</v>
      </c>
      <c r="F160" s="87" t="s">
        <v>262</v>
      </c>
      <c r="G160" s="87">
        <v>44958.0</v>
      </c>
      <c r="H160" s="110">
        <v>171.0</v>
      </c>
      <c r="I160" s="106">
        <f t="shared" si="1"/>
        <v>7.125</v>
      </c>
      <c r="J160" s="84" t="s">
        <v>206</v>
      </c>
      <c r="K160" s="107" t="s">
        <v>263</v>
      </c>
      <c r="L160" s="108">
        <f>iferror(if(and($M160=TRUE,$N160=TRUE),vlookup($E160,RH!$B$48:$S$70,month($G160)+6,false)*$H160,0),0)</f>
        <v>19184.66907</v>
      </c>
      <c r="M160" s="109" t="b">
        <f t="shared" si="2"/>
        <v>1</v>
      </c>
      <c r="N160" s="109" t="b">
        <v>1</v>
      </c>
      <c r="O160" s="69" t="s">
        <v>264</v>
      </c>
      <c r="P160" s="67"/>
    </row>
    <row r="161" hidden="1">
      <c r="A161" s="67"/>
      <c r="B161" s="84"/>
      <c r="C161" s="99" t="s">
        <v>99</v>
      </c>
      <c r="D161" s="84" t="s">
        <v>100</v>
      </c>
      <c r="E161" s="84" t="s">
        <v>232</v>
      </c>
      <c r="F161" s="87" t="s">
        <v>233</v>
      </c>
      <c r="G161" s="87">
        <v>44958.0</v>
      </c>
      <c r="H161" s="110">
        <v>17.0</v>
      </c>
      <c r="I161" s="106">
        <f t="shared" si="1"/>
        <v>0.7083333333</v>
      </c>
      <c r="J161" s="99" t="s">
        <v>206</v>
      </c>
      <c r="K161" s="107" t="s">
        <v>161</v>
      </c>
      <c r="L161" s="108">
        <f>iferror(if(and($M161=TRUE,$N161=TRUE),vlookup($E161,RH!$B$48:$S$70,month($G161)+6,false)*$H161,0),0)</f>
        <v>212.1436761</v>
      </c>
      <c r="M161" s="109" t="b">
        <f t="shared" si="2"/>
        <v>1</v>
      </c>
      <c r="N161" s="109" t="b">
        <v>1</v>
      </c>
      <c r="O161" s="69" t="s">
        <v>225</v>
      </c>
      <c r="P161" s="67"/>
    </row>
    <row r="162" hidden="1">
      <c r="A162" s="67"/>
      <c r="B162" s="84"/>
      <c r="C162" s="99" t="s">
        <v>99</v>
      </c>
      <c r="D162" s="84" t="s">
        <v>105</v>
      </c>
      <c r="E162" s="84" t="s">
        <v>268</v>
      </c>
      <c r="F162" s="87" t="s">
        <v>269</v>
      </c>
      <c r="G162" s="87">
        <v>44958.0</v>
      </c>
      <c r="H162" s="110">
        <v>179.0</v>
      </c>
      <c r="I162" s="106">
        <f t="shared" si="1"/>
        <v>7.458333333</v>
      </c>
      <c r="J162" s="84" t="s">
        <v>206</v>
      </c>
      <c r="K162" s="107" t="s">
        <v>263</v>
      </c>
      <c r="L162" s="108">
        <f>iferror(if(and($M162=TRUE,$N162=TRUE),vlookup($E162,RH!$B$48:$S$70,month($G162)+6,false)*$H162,0),0)</f>
        <v>16167.88321</v>
      </c>
      <c r="M162" s="109" t="b">
        <f t="shared" si="2"/>
        <v>1</v>
      </c>
      <c r="N162" s="109" t="b">
        <v>1</v>
      </c>
      <c r="O162" s="69" t="s">
        <v>264</v>
      </c>
      <c r="P162" s="67"/>
    </row>
    <row r="163" hidden="1">
      <c r="A163" s="67"/>
      <c r="B163" s="84"/>
      <c r="C163" s="99" t="s">
        <v>99</v>
      </c>
      <c r="D163" s="84" t="s">
        <v>105</v>
      </c>
      <c r="E163" s="84" t="s">
        <v>270</v>
      </c>
      <c r="F163" s="87" t="s">
        <v>271</v>
      </c>
      <c r="G163" s="87">
        <v>44958.0</v>
      </c>
      <c r="H163" s="110">
        <v>182.0</v>
      </c>
      <c r="I163" s="106">
        <f t="shared" si="1"/>
        <v>7.583333333</v>
      </c>
      <c r="J163" s="84" t="s">
        <v>206</v>
      </c>
      <c r="K163" s="107" t="s">
        <v>267</v>
      </c>
      <c r="L163" s="108">
        <f>iferror(if(and($M163=TRUE,$N163=TRUE),vlookup($E163,RH!$B$48:$S$70,month($G163)+6,false)*$H163,0),0)</f>
        <v>18198.59967</v>
      </c>
      <c r="M163" s="109" t="b">
        <f t="shared" si="2"/>
        <v>1</v>
      </c>
      <c r="N163" s="109" t="b">
        <v>1</v>
      </c>
      <c r="O163" s="69" t="s">
        <v>264</v>
      </c>
      <c r="P163" s="67"/>
    </row>
    <row r="164" hidden="1">
      <c r="A164" s="67"/>
      <c r="B164" s="84"/>
      <c r="C164" s="99" t="s">
        <v>99</v>
      </c>
      <c r="D164" s="84" t="s">
        <v>105</v>
      </c>
      <c r="E164" s="84" t="s">
        <v>226</v>
      </c>
      <c r="F164" s="87" t="s">
        <v>227</v>
      </c>
      <c r="G164" s="87">
        <v>44958.0</v>
      </c>
      <c r="H164" s="110">
        <v>8.0</v>
      </c>
      <c r="I164" s="106">
        <f t="shared" si="1"/>
        <v>0.3333333333</v>
      </c>
      <c r="J164" s="99" t="s">
        <v>206</v>
      </c>
      <c r="K164" s="107" t="s">
        <v>161</v>
      </c>
      <c r="L164" s="108">
        <f>iferror(if(and($M164=TRUE,$N164=TRUE),vlookup($E164,RH!$B$48:$S$70,month($G164)+6,false)*$H164,0),0)</f>
        <v>177.2311626</v>
      </c>
      <c r="M164" s="109" t="b">
        <f t="shared" si="2"/>
        <v>1</v>
      </c>
      <c r="N164" s="109" t="b">
        <v>1</v>
      </c>
      <c r="O164" s="69" t="s">
        <v>225</v>
      </c>
      <c r="P164" s="67"/>
    </row>
    <row r="165" hidden="1">
      <c r="A165" s="67"/>
      <c r="B165" s="84"/>
      <c r="C165" s="99" t="s">
        <v>99</v>
      </c>
      <c r="D165" s="84" t="s">
        <v>111</v>
      </c>
      <c r="E165" s="84" t="s">
        <v>272</v>
      </c>
      <c r="F165" s="87" t="s">
        <v>273</v>
      </c>
      <c r="G165" s="87">
        <v>44958.0</v>
      </c>
      <c r="H165" s="110">
        <v>3.0</v>
      </c>
      <c r="I165" s="106">
        <f t="shared" si="1"/>
        <v>0.125</v>
      </c>
      <c r="J165" s="84" t="s">
        <v>208</v>
      </c>
      <c r="K165" s="107" t="s">
        <v>224</v>
      </c>
      <c r="L165" s="108">
        <f>iferror(if(and($M165=TRUE,$N165=TRUE),vlookup($E165,RH!$B$48:$S$70,month($G165)+6,false)*$H165,0),0)</f>
        <v>0</v>
      </c>
      <c r="M165" s="109" t="b">
        <f t="shared" si="2"/>
        <v>0</v>
      </c>
      <c r="N165" s="109" t="b">
        <v>1</v>
      </c>
      <c r="O165" s="69" t="s">
        <v>225</v>
      </c>
      <c r="P165" s="67"/>
    </row>
    <row r="166">
      <c r="A166" s="67"/>
      <c r="B166" s="84"/>
      <c r="C166" s="99" t="s">
        <v>99</v>
      </c>
      <c r="D166" s="84" t="s">
        <v>111</v>
      </c>
      <c r="E166" s="84" t="s">
        <v>222</v>
      </c>
      <c r="F166" s="87" t="s">
        <v>223</v>
      </c>
      <c r="G166" s="87">
        <v>44958.0</v>
      </c>
      <c r="H166" s="110">
        <v>6.0</v>
      </c>
      <c r="I166" s="106">
        <f t="shared" si="1"/>
        <v>0.25</v>
      </c>
      <c r="J166" s="84" t="s">
        <v>205</v>
      </c>
      <c r="K166" s="107" t="s">
        <v>274</v>
      </c>
      <c r="L166" s="108">
        <f>iferror(if(and($M166=TRUE,$N166=TRUE),vlookup($E166,RH!$B$48:$S$70,month($G166)+6,false)*$H166,0),0)</f>
        <v>640.8366094</v>
      </c>
      <c r="M166" s="109" t="b">
        <f t="shared" si="2"/>
        <v>1</v>
      </c>
      <c r="N166" s="109" t="b">
        <v>1</v>
      </c>
      <c r="O166" s="69" t="s">
        <v>225</v>
      </c>
      <c r="P166" s="67"/>
    </row>
    <row r="167" hidden="1">
      <c r="A167" s="67"/>
      <c r="B167" s="84"/>
      <c r="C167" s="99" t="s">
        <v>99</v>
      </c>
      <c r="D167" s="84" t="s">
        <v>118</v>
      </c>
      <c r="E167" s="84" t="s">
        <v>265</v>
      </c>
      <c r="F167" s="87" t="s">
        <v>266</v>
      </c>
      <c r="G167" s="87">
        <v>44958.0</v>
      </c>
      <c r="H167" s="110">
        <v>76.0</v>
      </c>
      <c r="I167" s="106">
        <f t="shared" si="1"/>
        <v>3.166666667</v>
      </c>
      <c r="J167" s="84" t="s">
        <v>205</v>
      </c>
      <c r="K167" s="107" t="s">
        <v>240</v>
      </c>
      <c r="L167" s="108">
        <f>iferror(if(and($M167=TRUE,$N167=TRUE),vlookup($E167,RH!$B$48:$S$70,month($G167)+6,false)*$H167,0),0)</f>
        <v>9032.330587</v>
      </c>
      <c r="M167" s="109" t="b">
        <f t="shared" si="2"/>
        <v>1</v>
      </c>
      <c r="N167" s="109" t="b">
        <v>1</v>
      </c>
      <c r="O167" s="69" t="s">
        <v>264</v>
      </c>
      <c r="P167" s="67"/>
    </row>
    <row r="168" hidden="1">
      <c r="A168" s="67"/>
      <c r="B168" s="84"/>
      <c r="C168" s="99" t="s">
        <v>99</v>
      </c>
      <c r="D168" s="84" t="s">
        <v>119</v>
      </c>
      <c r="E168" s="84" t="s">
        <v>265</v>
      </c>
      <c r="F168" s="87" t="s">
        <v>266</v>
      </c>
      <c r="G168" s="87">
        <v>44958.0</v>
      </c>
      <c r="H168" s="110">
        <v>76.0</v>
      </c>
      <c r="I168" s="106">
        <f t="shared" si="1"/>
        <v>3.166666667</v>
      </c>
      <c r="J168" s="84" t="s">
        <v>205</v>
      </c>
      <c r="K168" s="107" t="s">
        <v>240</v>
      </c>
      <c r="L168" s="108">
        <f>iferror(if(and($M168=TRUE,$N168=TRUE),vlookup($E168,RH!$B$48:$S$70,month($G168)+6,false)*$H168,0),0)</f>
        <v>9032.330587</v>
      </c>
      <c r="M168" s="109" t="b">
        <f t="shared" si="2"/>
        <v>1</v>
      </c>
      <c r="N168" s="109" t="b">
        <v>1</v>
      </c>
      <c r="O168" s="69" t="s">
        <v>264</v>
      </c>
      <c r="P168" s="67"/>
    </row>
    <row r="169" hidden="1">
      <c r="A169" s="67"/>
      <c r="B169" s="84"/>
      <c r="C169" s="99" t="s">
        <v>99</v>
      </c>
      <c r="D169" s="84" t="s">
        <v>119</v>
      </c>
      <c r="E169" s="84" t="s">
        <v>238</v>
      </c>
      <c r="F169" s="87" t="s">
        <v>239</v>
      </c>
      <c r="G169" s="87">
        <v>44958.0</v>
      </c>
      <c r="H169" s="110">
        <v>3.0</v>
      </c>
      <c r="I169" s="106">
        <f t="shared" si="1"/>
        <v>0.125</v>
      </c>
      <c r="J169" s="84" t="s">
        <v>205</v>
      </c>
      <c r="K169" s="107" t="s">
        <v>240</v>
      </c>
      <c r="L169" s="108">
        <f>iferror(if(and($M169=TRUE,$N169=TRUE),vlookup($E169,RH!$B$48:$S$70,month($G169)+6,false)*$H169,0),0)</f>
        <v>320.4183047</v>
      </c>
      <c r="M169" s="109" t="b">
        <f t="shared" si="2"/>
        <v>1</v>
      </c>
      <c r="N169" s="109" t="b">
        <v>1</v>
      </c>
      <c r="O169" s="69" t="s">
        <v>225</v>
      </c>
      <c r="P169" s="67"/>
    </row>
    <row r="170">
      <c r="A170" s="67"/>
      <c r="B170" s="84"/>
      <c r="C170" s="99" t="s">
        <v>99</v>
      </c>
      <c r="D170" s="84" t="s">
        <v>111</v>
      </c>
      <c r="E170" s="84" t="s">
        <v>222</v>
      </c>
      <c r="F170" s="87" t="s">
        <v>223</v>
      </c>
      <c r="G170" s="87">
        <v>44986.0</v>
      </c>
      <c r="H170" s="110">
        <v>13.0</v>
      </c>
      <c r="I170" s="106">
        <f t="shared" si="1"/>
        <v>0.5416666667</v>
      </c>
      <c r="J170" s="99" t="s">
        <v>206</v>
      </c>
      <c r="K170" s="107" t="s">
        <v>275</v>
      </c>
      <c r="L170" s="108">
        <f>iferror(if(and($M170=TRUE,$N170=TRUE),vlookup($E170,RH!$B$48:$S$70,month($G170)+6,false)*$H170,0),0)</f>
        <v>1206.73824</v>
      </c>
      <c r="M170" s="109" t="b">
        <f t="shared" si="2"/>
        <v>1</v>
      </c>
      <c r="N170" s="109" t="b">
        <v>1</v>
      </c>
      <c r="O170" s="69" t="s">
        <v>225</v>
      </c>
      <c r="P170" s="67"/>
    </row>
    <row r="171" hidden="1">
      <c r="A171" s="67"/>
      <c r="B171" s="84"/>
      <c r="C171" s="99" t="s">
        <v>99</v>
      </c>
      <c r="D171" s="84" t="s">
        <v>111</v>
      </c>
      <c r="E171" s="84" t="s">
        <v>261</v>
      </c>
      <c r="F171" s="87" t="s">
        <v>262</v>
      </c>
      <c r="G171" s="87">
        <v>44986.0</v>
      </c>
      <c r="H171" s="110">
        <v>220.0</v>
      </c>
      <c r="I171" s="106">
        <f t="shared" si="1"/>
        <v>9.166666667</v>
      </c>
      <c r="J171" s="84" t="s">
        <v>206</v>
      </c>
      <c r="K171" s="107" t="s">
        <v>263</v>
      </c>
      <c r="L171" s="108">
        <f>iferror(if(and($M171=TRUE,$N171=TRUE),vlookup($E171,RH!$B$48:$S$70,month($G171)+6,false)*$H171,0),0)</f>
        <v>21451.3457</v>
      </c>
      <c r="M171" s="109" t="b">
        <f t="shared" si="2"/>
        <v>1</v>
      </c>
      <c r="N171" s="109" t="b">
        <v>1</v>
      </c>
      <c r="O171" s="69" t="s">
        <v>264</v>
      </c>
      <c r="P171" s="67"/>
    </row>
    <row r="172" hidden="1">
      <c r="A172" s="67"/>
      <c r="B172" s="84"/>
      <c r="C172" s="99" t="s">
        <v>99</v>
      </c>
      <c r="D172" s="84" t="s">
        <v>111</v>
      </c>
      <c r="E172" s="84" t="s">
        <v>232</v>
      </c>
      <c r="F172" s="87" t="s">
        <v>233</v>
      </c>
      <c r="G172" s="87">
        <v>44986.0</v>
      </c>
      <c r="H172" s="110">
        <v>12.0</v>
      </c>
      <c r="I172" s="106">
        <f t="shared" si="1"/>
        <v>0.5</v>
      </c>
      <c r="J172" s="99" t="s">
        <v>206</v>
      </c>
      <c r="K172" s="107" t="s">
        <v>161</v>
      </c>
      <c r="L172" s="108">
        <f>iferror(if(and($M172=TRUE,$N172=TRUE),vlookup($E172,RH!$B$48:$S$70,month($G172)+6,false)*$H172,0),0)</f>
        <v>130.1475731</v>
      </c>
      <c r="M172" s="109" t="b">
        <f t="shared" si="2"/>
        <v>1</v>
      </c>
      <c r="N172" s="109" t="b">
        <v>1</v>
      </c>
      <c r="O172" s="69" t="s">
        <v>225</v>
      </c>
      <c r="P172" s="67"/>
    </row>
    <row r="173" hidden="1">
      <c r="A173" s="67"/>
      <c r="B173" s="84"/>
      <c r="C173" s="99" t="s">
        <v>99</v>
      </c>
      <c r="D173" s="84" t="s">
        <v>118</v>
      </c>
      <c r="E173" s="84" t="s">
        <v>265</v>
      </c>
      <c r="F173" s="87" t="s">
        <v>266</v>
      </c>
      <c r="G173" s="87">
        <v>44986.0</v>
      </c>
      <c r="H173" s="110">
        <v>66.0</v>
      </c>
      <c r="I173" s="106">
        <f t="shared" si="1"/>
        <v>2.75</v>
      </c>
      <c r="J173" s="84" t="s">
        <v>205</v>
      </c>
      <c r="K173" s="107" t="s">
        <v>240</v>
      </c>
      <c r="L173" s="108">
        <f>iferror(if(and($M173=TRUE,$N173=TRUE),vlookup($E173,RH!$B$48:$S$70,month($G173)+6,false)*$H173,0),0)</f>
        <v>6817.165337</v>
      </c>
      <c r="M173" s="109" t="b">
        <f t="shared" si="2"/>
        <v>1</v>
      </c>
      <c r="N173" s="109" t="b">
        <v>1</v>
      </c>
      <c r="O173" s="69" t="s">
        <v>264</v>
      </c>
      <c r="P173" s="67"/>
    </row>
    <row r="174" hidden="1">
      <c r="A174" s="67"/>
      <c r="B174" s="84"/>
      <c r="C174" s="99" t="s">
        <v>99</v>
      </c>
      <c r="D174" s="84" t="s">
        <v>118</v>
      </c>
      <c r="E174" s="84" t="s">
        <v>268</v>
      </c>
      <c r="F174" s="87" t="s">
        <v>269</v>
      </c>
      <c r="G174" s="87">
        <v>44986.0</v>
      </c>
      <c r="H174" s="110">
        <v>219.0</v>
      </c>
      <c r="I174" s="106">
        <f t="shared" si="1"/>
        <v>9.125</v>
      </c>
      <c r="J174" s="84" t="s">
        <v>206</v>
      </c>
      <c r="K174" s="107" t="s">
        <v>263</v>
      </c>
      <c r="L174" s="108">
        <f>iferror(if(and($M174=TRUE,$N174=TRUE),vlookup($E174,RH!$B$48:$S$70,month($G174)+6,false)*$H174,0),0)</f>
        <v>17191.66368</v>
      </c>
      <c r="M174" s="109" t="b">
        <f t="shared" si="2"/>
        <v>1</v>
      </c>
      <c r="N174" s="109" t="b">
        <v>1</v>
      </c>
      <c r="O174" s="69" t="s">
        <v>264</v>
      </c>
      <c r="P174" s="67"/>
    </row>
    <row r="175" hidden="1">
      <c r="A175" s="67"/>
      <c r="B175" s="84"/>
      <c r="C175" s="99" t="s">
        <v>99</v>
      </c>
      <c r="D175" s="84" t="s">
        <v>118</v>
      </c>
      <c r="E175" s="84" t="s">
        <v>226</v>
      </c>
      <c r="F175" s="87" t="s">
        <v>227</v>
      </c>
      <c r="G175" s="87">
        <v>44986.0</v>
      </c>
      <c r="H175" s="110">
        <v>5.0</v>
      </c>
      <c r="I175" s="106">
        <f t="shared" si="1"/>
        <v>0.2083333333</v>
      </c>
      <c r="J175" s="84" t="s">
        <v>206</v>
      </c>
      <c r="K175" s="107" t="s">
        <v>161</v>
      </c>
      <c r="L175" s="108">
        <f>iferror(if(and($M175=TRUE,$N175=TRUE),vlookup($E175,RH!$B$48:$S$70,month($G175)+6,false)*$H175,0),0)</f>
        <v>96.27061869</v>
      </c>
      <c r="M175" s="109" t="b">
        <f t="shared" si="2"/>
        <v>1</v>
      </c>
      <c r="N175" s="109" t="b">
        <v>1</v>
      </c>
      <c r="O175" s="69" t="s">
        <v>225</v>
      </c>
      <c r="P175" s="67"/>
    </row>
    <row r="176" hidden="1">
      <c r="A176" s="67"/>
      <c r="B176" s="84"/>
      <c r="C176" s="99" t="s">
        <v>99</v>
      </c>
      <c r="D176" s="84" t="s">
        <v>119</v>
      </c>
      <c r="E176" s="84" t="s">
        <v>265</v>
      </c>
      <c r="F176" s="87" t="s">
        <v>266</v>
      </c>
      <c r="G176" s="87">
        <v>44986.0</v>
      </c>
      <c r="H176" s="110">
        <v>66.0</v>
      </c>
      <c r="I176" s="106">
        <f t="shared" si="1"/>
        <v>2.75</v>
      </c>
      <c r="J176" s="84" t="s">
        <v>205</v>
      </c>
      <c r="K176" s="107" t="s">
        <v>240</v>
      </c>
      <c r="L176" s="108">
        <f>iferror(if(and($M176=TRUE,$N176=TRUE),vlookup($E176,RH!$B$48:$S$70,month($G176)+6,false)*$H176,0),0)</f>
        <v>6817.165337</v>
      </c>
      <c r="M176" s="109" t="b">
        <f t="shared" si="2"/>
        <v>1</v>
      </c>
      <c r="N176" s="109" t="b">
        <v>1</v>
      </c>
      <c r="O176" s="69" t="s">
        <v>264</v>
      </c>
      <c r="P176" s="67"/>
    </row>
    <row r="177" hidden="1">
      <c r="A177" s="67"/>
      <c r="B177" s="84"/>
      <c r="C177" s="99" t="s">
        <v>99</v>
      </c>
      <c r="D177" s="84" t="s">
        <v>119</v>
      </c>
      <c r="E177" s="84" t="s">
        <v>238</v>
      </c>
      <c r="F177" s="87" t="s">
        <v>239</v>
      </c>
      <c r="G177" s="87">
        <v>44986.0</v>
      </c>
      <c r="H177" s="110">
        <v>38.0</v>
      </c>
      <c r="I177" s="106">
        <f t="shared" si="1"/>
        <v>1.583333333</v>
      </c>
      <c r="J177" s="84" t="s">
        <v>205</v>
      </c>
      <c r="K177" s="107" t="s">
        <v>240</v>
      </c>
      <c r="L177" s="108">
        <f>iferror(if(and($M177=TRUE,$N177=TRUE),vlookup($E177,RH!$B$48:$S$70,month($G177)+6,false)*$H177,0),0)</f>
        <v>3527.388701</v>
      </c>
      <c r="M177" s="109" t="b">
        <f t="shared" si="2"/>
        <v>1</v>
      </c>
      <c r="N177" s="109" t="b">
        <v>1</v>
      </c>
      <c r="O177" s="69" t="s">
        <v>225</v>
      </c>
      <c r="P177" s="67"/>
    </row>
    <row r="178" hidden="1">
      <c r="A178" s="67"/>
      <c r="B178" s="84"/>
      <c r="C178" s="99" t="s">
        <v>99</v>
      </c>
      <c r="D178" s="84" t="s">
        <v>119</v>
      </c>
      <c r="E178" s="84" t="s">
        <v>270</v>
      </c>
      <c r="F178" s="87" t="s">
        <v>271</v>
      </c>
      <c r="G178" s="87">
        <v>44986.0</v>
      </c>
      <c r="H178" s="110">
        <v>211.0</v>
      </c>
      <c r="I178" s="106">
        <f t="shared" si="1"/>
        <v>8.791666667</v>
      </c>
      <c r="J178" s="84" t="s">
        <v>206</v>
      </c>
      <c r="K178" s="107" t="s">
        <v>267</v>
      </c>
      <c r="L178" s="108">
        <f>iferror(if(and($M178=TRUE,$N178=TRUE),vlookup($E178,RH!$B$48:$S$70,month($G178)+6,false)*$H178,0),0)</f>
        <v>18336.76411</v>
      </c>
      <c r="M178" s="109" t="b">
        <f t="shared" si="2"/>
        <v>1</v>
      </c>
      <c r="N178" s="109" t="b">
        <v>1</v>
      </c>
      <c r="O178" s="69" t="s">
        <v>264</v>
      </c>
      <c r="P178" s="67"/>
    </row>
    <row r="179" hidden="1">
      <c r="A179" s="67"/>
      <c r="B179" s="84"/>
      <c r="C179" s="99" t="s">
        <v>99</v>
      </c>
      <c r="D179" s="84" t="s">
        <v>119</v>
      </c>
      <c r="E179" s="84" t="s">
        <v>236</v>
      </c>
      <c r="F179" s="87" t="s">
        <v>237</v>
      </c>
      <c r="G179" s="87">
        <v>44986.0</v>
      </c>
      <c r="H179" s="110">
        <v>3.0</v>
      </c>
      <c r="I179" s="106">
        <f t="shared" si="1"/>
        <v>0.125</v>
      </c>
      <c r="J179" s="99" t="s">
        <v>206</v>
      </c>
      <c r="K179" s="107" t="s">
        <v>161</v>
      </c>
      <c r="L179" s="108">
        <f>iferror(if(and($M179=TRUE,$N179=TRUE),vlookup($E179,RH!$B$48:$S$70,month($G179)+6,false)*$H179,0),0)</f>
        <v>32.53689328</v>
      </c>
      <c r="M179" s="109" t="b">
        <f t="shared" si="2"/>
        <v>1</v>
      </c>
      <c r="N179" s="109" t="b">
        <v>1</v>
      </c>
      <c r="O179" s="69" t="s">
        <v>225</v>
      </c>
      <c r="P179" s="67"/>
    </row>
    <row r="180">
      <c r="A180" s="67"/>
      <c r="B180" s="84"/>
      <c r="C180" s="99" t="s">
        <v>99</v>
      </c>
      <c r="D180" s="84" t="s">
        <v>111</v>
      </c>
      <c r="E180" s="84" t="s">
        <v>222</v>
      </c>
      <c r="F180" s="87" t="s">
        <v>223</v>
      </c>
      <c r="G180" s="87">
        <v>45017.0</v>
      </c>
      <c r="H180" s="110">
        <v>7.0</v>
      </c>
      <c r="I180" s="106">
        <f t="shared" si="1"/>
        <v>0.2916666667</v>
      </c>
      <c r="J180" s="99" t="s">
        <v>206</v>
      </c>
      <c r="K180" s="107" t="s">
        <v>275</v>
      </c>
      <c r="L180" s="108">
        <f>iferror(if(and($M180=TRUE,$N180=TRUE),vlookup($E180,RH!$B$48:$S$70,month($G180)+6,false)*$H180,0),0)</f>
        <v>893.3699646</v>
      </c>
      <c r="M180" s="109" t="b">
        <f t="shared" si="2"/>
        <v>1</v>
      </c>
      <c r="N180" s="109" t="b">
        <v>1</v>
      </c>
      <c r="O180" s="69" t="s">
        <v>225</v>
      </c>
      <c r="P180" s="67"/>
    </row>
    <row r="181" hidden="1">
      <c r="A181" s="67"/>
      <c r="B181" s="84"/>
      <c r="C181" s="99" t="s">
        <v>99</v>
      </c>
      <c r="D181" s="84" t="s">
        <v>111</v>
      </c>
      <c r="E181" s="84" t="s">
        <v>232</v>
      </c>
      <c r="F181" s="87" t="s">
        <v>233</v>
      </c>
      <c r="G181" s="87">
        <v>45017.0</v>
      </c>
      <c r="H181" s="110">
        <v>17.0</v>
      </c>
      <c r="I181" s="106">
        <f t="shared" si="1"/>
        <v>0.7083333333</v>
      </c>
      <c r="J181" s="99" t="s">
        <v>206</v>
      </c>
      <c r="K181" s="107" t="s">
        <v>161</v>
      </c>
      <c r="L181" s="108">
        <f>iferror(if(and($M181=TRUE,$N181=TRUE),vlookup($E181,RH!$B$48:$S$70,month($G181)+6,false)*$H181,0),0)</f>
        <v>253.4937955</v>
      </c>
      <c r="M181" s="109" t="b">
        <f t="shared" si="2"/>
        <v>1</v>
      </c>
      <c r="N181" s="109" t="b">
        <v>1</v>
      </c>
      <c r="O181" s="69" t="s">
        <v>225</v>
      </c>
      <c r="P181" s="67"/>
    </row>
    <row r="182" hidden="1">
      <c r="A182" s="67"/>
      <c r="B182" s="84"/>
      <c r="C182" s="99" t="s">
        <v>99</v>
      </c>
      <c r="D182" s="84" t="s">
        <v>118</v>
      </c>
      <c r="E182" s="84" t="s">
        <v>265</v>
      </c>
      <c r="F182" s="87" t="s">
        <v>266</v>
      </c>
      <c r="G182" s="87">
        <v>45017.0</v>
      </c>
      <c r="H182" s="110">
        <v>145.0</v>
      </c>
      <c r="I182" s="106">
        <f t="shared" si="1"/>
        <v>6.041666667</v>
      </c>
      <c r="J182" s="84" t="s">
        <v>206</v>
      </c>
      <c r="K182" s="107" t="s">
        <v>267</v>
      </c>
      <c r="L182" s="108">
        <f>iferror(if(and($M182=TRUE,$N182=TRUE),vlookup($E182,RH!$B$48:$S$70,month($G182)+6,false)*$H182,0),0)</f>
        <v>20591.66566</v>
      </c>
      <c r="M182" s="109" t="b">
        <f t="shared" si="2"/>
        <v>1</v>
      </c>
      <c r="N182" s="109" t="b">
        <v>1</v>
      </c>
      <c r="O182" s="69" t="s">
        <v>264</v>
      </c>
      <c r="P182" s="67"/>
    </row>
    <row r="183" hidden="1">
      <c r="A183" s="67"/>
      <c r="B183" s="84"/>
      <c r="C183" s="99" t="s">
        <v>99</v>
      </c>
      <c r="D183" s="84" t="s">
        <v>118</v>
      </c>
      <c r="E183" s="84" t="s">
        <v>268</v>
      </c>
      <c r="F183" s="87" t="s">
        <v>269</v>
      </c>
      <c r="G183" s="87">
        <v>45017.0</v>
      </c>
      <c r="H183" s="110">
        <v>145.0</v>
      </c>
      <c r="I183" s="106">
        <f t="shared" si="1"/>
        <v>6.041666667</v>
      </c>
      <c r="J183" s="84" t="s">
        <v>206</v>
      </c>
      <c r="K183" s="107" t="s">
        <v>263</v>
      </c>
      <c r="L183" s="108">
        <f>iferror(if(and($M183=TRUE,$N183=TRUE),vlookup($E183,RH!$B$48:$S$70,month($G183)+6,false)*$H183,0),0)</f>
        <v>15649.67699</v>
      </c>
      <c r="M183" s="109" t="b">
        <f t="shared" si="2"/>
        <v>1</v>
      </c>
      <c r="N183" s="109" t="b">
        <v>1</v>
      </c>
      <c r="O183" s="69" t="s">
        <v>264</v>
      </c>
      <c r="P183" s="67"/>
    </row>
    <row r="184" hidden="1">
      <c r="A184" s="67"/>
      <c r="B184" s="84"/>
      <c r="C184" s="99" t="s">
        <v>99</v>
      </c>
      <c r="D184" s="84" t="s">
        <v>118</v>
      </c>
      <c r="E184" s="84" t="s">
        <v>226</v>
      </c>
      <c r="F184" s="87" t="s">
        <v>227</v>
      </c>
      <c r="G184" s="87">
        <v>45017.0</v>
      </c>
      <c r="H184" s="110">
        <v>3.0</v>
      </c>
      <c r="I184" s="106">
        <f t="shared" si="1"/>
        <v>0.125</v>
      </c>
      <c r="J184" s="99" t="s">
        <v>206</v>
      </c>
      <c r="K184" s="107" t="s">
        <v>161</v>
      </c>
      <c r="L184" s="108">
        <f>iferror(if(and($M184=TRUE,$N184=TRUE),vlookup($E184,RH!$B$48:$S$70,month($G184)+6,false)*$H184,0),0)</f>
        <v>79.41610767</v>
      </c>
      <c r="M184" s="109" t="b">
        <f t="shared" si="2"/>
        <v>1</v>
      </c>
      <c r="N184" s="109" t="b">
        <v>1</v>
      </c>
      <c r="O184" s="69" t="s">
        <v>225</v>
      </c>
      <c r="P184" s="67"/>
    </row>
    <row r="185" hidden="1">
      <c r="A185" s="67"/>
      <c r="B185" s="84"/>
      <c r="C185" s="99" t="s">
        <v>99</v>
      </c>
      <c r="D185" s="84" t="s">
        <v>119</v>
      </c>
      <c r="E185" s="84" t="s">
        <v>261</v>
      </c>
      <c r="F185" s="87" t="s">
        <v>262</v>
      </c>
      <c r="G185" s="87">
        <v>45017.0</v>
      </c>
      <c r="H185" s="110">
        <v>161.0</v>
      </c>
      <c r="I185" s="106">
        <f t="shared" si="1"/>
        <v>6.708333333</v>
      </c>
      <c r="J185" s="84" t="s">
        <v>206</v>
      </c>
      <c r="K185" s="107" t="s">
        <v>263</v>
      </c>
      <c r="L185" s="108">
        <f>iferror(if(and($M185=TRUE,$N185=TRUE),vlookup($E185,RH!$B$48:$S$70,month($G185)+6,false)*$H185,0),0)</f>
        <v>21583.47266</v>
      </c>
      <c r="M185" s="109" t="b">
        <f t="shared" si="2"/>
        <v>1</v>
      </c>
      <c r="N185" s="109" t="b">
        <v>1</v>
      </c>
      <c r="O185" s="69" t="s">
        <v>264</v>
      </c>
      <c r="P185" s="67"/>
    </row>
    <row r="186" hidden="1">
      <c r="A186" s="67"/>
      <c r="B186" s="84"/>
      <c r="C186" s="99" t="s">
        <v>99</v>
      </c>
      <c r="D186" s="84" t="s">
        <v>119</v>
      </c>
      <c r="E186" s="84" t="s">
        <v>238</v>
      </c>
      <c r="F186" s="87" t="s">
        <v>239</v>
      </c>
      <c r="G186" s="87">
        <v>45017.0</v>
      </c>
      <c r="H186" s="110">
        <v>18.0</v>
      </c>
      <c r="I186" s="106">
        <f t="shared" si="1"/>
        <v>0.75</v>
      </c>
      <c r="J186" s="84" t="s">
        <v>205</v>
      </c>
      <c r="K186" s="107" t="s">
        <v>240</v>
      </c>
      <c r="L186" s="108">
        <f>iferror(if(and($M186=TRUE,$N186=TRUE),vlookup($E186,RH!$B$48:$S$70,month($G186)+6,false)*$H186,0),0)</f>
        <v>2297.237052</v>
      </c>
      <c r="M186" s="109" t="b">
        <f t="shared" si="2"/>
        <v>1</v>
      </c>
      <c r="N186" s="109" t="b">
        <v>1</v>
      </c>
      <c r="O186" s="69" t="s">
        <v>225</v>
      </c>
      <c r="P186" s="67"/>
    </row>
    <row r="187" hidden="1">
      <c r="A187" s="67"/>
      <c r="B187" s="84"/>
      <c r="C187" s="99" t="s">
        <v>99</v>
      </c>
      <c r="D187" s="84" t="s">
        <v>119</v>
      </c>
      <c r="E187" s="84" t="s">
        <v>270</v>
      </c>
      <c r="F187" s="87" t="s">
        <v>271</v>
      </c>
      <c r="G187" s="87">
        <v>45017.0</v>
      </c>
      <c r="H187" s="110">
        <v>99.0</v>
      </c>
      <c r="I187" s="106">
        <f t="shared" si="1"/>
        <v>4.125</v>
      </c>
      <c r="J187" s="84" t="s">
        <v>206</v>
      </c>
      <c r="K187" s="107" t="s">
        <v>267</v>
      </c>
      <c r="L187" s="108">
        <f>iferror(if(and($M187=TRUE,$N187=TRUE),vlookup($E187,RH!$B$48:$S$70,month($G187)+6,false)*$H187,0),0)</f>
        <v>11828.7546</v>
      </c>
      <c r="M187" s="109" t="b">
        <f t="shared" si="2"/>
        <v>1</v>
      </c>
      <c r="N187" s="109" t="b">
        <v>1</v>
      </c>
      <c r="O187" s="69" t="s">
        <v>264</v>
      </c>
      <c r="P187" s="67"/>
    </row>
    <row r="188">
      <c r="A188" s="67"/>
      <c r="B188" s="84"/>
      <c r="C188" s="99" t="s">
        <v>99</v>
      </c>
      <c r="D188" s="84" t="s">
        <v>111</v>
      </c>
      <c r="E188" s="84" t="s">
        <v>222</v>
      </c>
      <c r="F188" s="87" t="s">
        <v>223</v>
      </c>
      <c r="G188" s="87">
        <v>45047.0</v>
      </c>
      <c r="H188" s="110">
        <v>23.0</v>
      </c>
      <c r="I188" s="106">
        <f t="shared" si="1"/>
        <v>0.9583333333</v>
      </c>
      <c r="J188" s="99" t="s">
        <v>206</v>
      </c>
      <c r="K188" s="107" t="s">
        <v>275</v>
      </c>
      <c r="L188" s="108">
        <f>iferror(if(and($M188=TRUE,$N188=TRUE),vlookup($E188,RH!$B$48:$S$70,month($G188)+6,false)*$H188,0),0)</f>
        <v>2254.741659</v>
      </c>
      <c r="M188" s="109" t="b">
        <f t="shared" si="2"/>
        <v>1</v>
      </c>
      <c r="N188" s="109" t="b">
        <v>1</v>
      </c>
      <c r="O188" s="69" t="s">
        <v>225</v>
      </c>
      <c r="P188" s="67"/>
    </row>
    <row r="189" hidden="1">
      <c r="A189" s="67"/>
      <c r="B189" s="84"/>
      <c r="C189" s="99" t="s">
        <v>99</v>
      </c>
      <c r="D189" s="84" t="s">
        <v>118</v>
      </c>
      <c r="E189" s="84" t="s">
        <v>265</v>
      </c>
      <c r="F189" s="87" t="s">
        <v>266</v>
      </c>
      <c r="G189" s="87">
        <v>45047.0</v>
      </c>
      <c r="H189" s="110">
        <v>207.0</v>
      </c>
      <c r="I189" s="106">
        <f t="shared" si="1"/>
        <v>8.625</v>
      </c>
      <c r="J189" s="84" t="s">
        <v>206</v>
      </c>
      <c r="K189" s="107" t="s">
        <v>267</v>
      </c>
      <c r="L189" s="108">
        <f>iferror(if(and($M189=TRUE,$N189=TRUE),vlookup($E189,RH!$B$48:$S$70,month($G189)+6,false)*$H189,0),0)</f>
        <v>22580.28749</v>
      </c>
      <c r="M189" s="109" t="b">
        <f t="shared" si="2"/>
        <v>1</v>
      </c>
      <c r="N189" s="109" t="b">
        <v>1</v>
      </c>
      <c r="O189" s="69" t="s">
        <v>264</v>
      </c>
      <c r="P189" s="67"/>
    </row>
    <row r="190" hidden="1">
      <c r="A190" s="67"/>
      <c r="B190" s="84"/>
      <c r="C190" s="99" t="s">
        <v>99</v>
      </c>
      <c r="D190" s="84" t="s">
        <v>118</v>
      </c>
      <c r="E190" s="84" t="s">
        <v>268</v>
      </c>
      <c r="F190" s="87" t="s">
        <v>269</v>
      </c>
      <c r="G190" s="87">
        <v>45047.0</v>
      </c>
      <c r="H190" s="110">
        <v>110.0</v>
      </c>
      <c r="I190" s="106">
        <f t="shared" si="1"/>
        <v>4.583333333</v>
      </c>
      <c r="J190" s="84" t="s">
        <v>206</v>
      </c>
      <c r="K190" s="107" t="s">
        <v>263</v>
      </c>
      <c r="L190" s="108">
        <f>iferror(if(and($M190=TRUE,$N190=TRUE),vlookup($E190,RH!$B$48:$S$70,month($G190)+6,false)*$H190,0),0)</f>
        <v>9119.388271</v>
      </c>
      <c r="M190" s="109" t="b">
        <f t="shared" si="2"/>
        <v>1</v>
      </c>
      <c r="N190" s="109" t="b">
        <v>1</v>
      </c>
      <c r="O190" s="69" t="s">
        <v>264</v>
      </c>
      <c r="P190" s="67"/>
    </row>
    <row r="191" hidden="1">
      <c r="A191" s="67"/>
      <c r="B191" s="84"/>
      <c r="C191" s="99" t="s">
        <v>99</v>
      </c>
      <c r="D191" s="84" t="s">
        <v>119</v>
      </c>
      <c r="E191" s="84" t="s">
        <v>232</v>
      </c>
      <c r="F191" s="87" t="s">
        <v>233</v>
      </c>
      <c r="G191" s="87">
        <v>45047.0</v>
      </c>
      <c r="H191" s="110">
        <v>15.0</v>
      </c>
      <c r="I191" s="106">
        <f t="shared" si="1"/>
        <v>0.625</v>
      </c>
      <c r="J191" s="99" t="s">
        <v>206</v>
      </c>
      <c r="K191" s="107" t="s">
        <v>161</v>
      </c>
      <c r="L191" s="108">
        <f>iferror(if(and($M191=TRUE,$N191=TRUE),vlookup($E191,RH!$B$48:$S$70,month($G191)+6,false)*$H191,0),0)</f>
        <v>171.8087655</v>
      </c>
      <c r="M191" s="109" t="b">
        <f t="shared" si="2"/>
        <v>1</v>
      </c>
      <c r="N191" s="109" t="b">
        <v>1</v>
      </c>
      <c r="O191" s="69" t="s">
        <v>225</v>
      </c>
      <c r="P191" s="67"/>
    </row>
    <row r="192" hidden="1">
      <c r="A192" s="67"/>
      <c r="B192" s="84"/>
      <c r="C192" s="99" t="s">
        <v>99</v>
      </c>
      <c r="D192" s="84" t="s">
        <v>119</v>
      </c>
      <c r="E192" s="84" t="s">
        <v>261</v>
      </c>
      <c r="F192" s="87" t="s">
        <v>262</v>
      </c>
      <c r="G192" s="87">
        <v>45047.0</v>
      </c>
      <c r="H192" s="110">
        <v>213.0</v>
      </c>
      <c r="I192" s="106">
        <f t="shared" si="1"/>
        <v>8.875</v>
      </c>
      <c r="J192" s="84" t="s">
        <v>206</v>
      </c>
      <c r="K192" s="107" t="s">
        <v>263</v>
      </c>
      <c r="L192" s="108">
        <f>iferror(if(and($M192=TRUE,$N192=TRUE),vlookup($E192,RH!$B$48:$S$70,month($G192)+6,false)*$H192,0),0)</f>
        <v>21933.63917</v>
      </c>
      <c r="M192" s="109" t="b">
        <f t="shared" si="2"/>
        <v>1</v>
      </c>
      <c r="N192" s="109" t="b">
        <v>1</v>
      </c>
      <c r="O192" s="69" t="s">
        <v>264</v>
      </c>
      <c r="P192" s="67"/>
    </row>
    <row r="193" hidden="1">
      <c r="A193" s="67"/>
      <c r="B193" s="84"/>
      <c r="C193" s="99" t="s">
        <v>99</v>
      </c>
      <c r="D193" s="84" t="s">
        <v>119</v>
      </c>
      <c r="E193" s="84" t="s">
        <v>270</v>
      </c>
      <c r="F193" s="87" t="s">
        <v>271</v>
      </c>
      <c r="G193" s="87">
        <v>45047.0</v>
      </c>
      <c r="H193" s="110">
        <v>192.0</v>
      </c>
      <c r="I193" s="106">
        <f t="shared" si="1"/>
        <v>8</v>
      </c>
      <c r="J193" s="84" t="s">
        <v>206</v>
      </c>
      <c r="K193" s="107" t="s">
        <v>267</v>
      </c>
      <c r="L193" s="108">
        <f>iferror(if(and($M193=TRUE,$N193=TRUE),vlookup($E193,RH!$B$48:$S$70,month($G193)+6,false)*$H193,0),0)</f>
        <v>17621.41185</v>
      </c>
      <c r="M193" s="109" t="b">
        <f t="shared" si="2"/>
        <v>1</v>
      </c>
      <c r="N193" s="109" t="b">
        <v>1</v>
      </c>
      <c r="O193" s="69" t="s">
        <v>264</v>
      </c>
      <c r="P193" s="67"/>
    </row>
    <row r="194" hidden="1">
      <c r="A194" s="67"/>
      <c r="B194" s="84"/>
      <c r="C194" s="99" t="s">
        <v>99</v>
      </c>
      <c r="D194" s="84" t="s">
        <v>127</v>
      </c>
      <c r="E194" s="84" t="s">
        <v>238</v>
      </c>
      <c r="F194" s="87" t="s">
        <v>239</v>
      </c>
      <c r="G194" s="87">
        <v>45047.0</v>
      </c>
      <c r="H194" s="110">
        <v>48.0</v>
      </c>
      <c r="I194" s="106">
        <f t="shared" si="1"/>
        <v>2</v>
      </c>
      <c r="J194" s="84" t="s">
        <v>205</v>
      </c>
      <c r="K194" s="107" t="s">
        <v>240</v>
      </c>
      <c r="L194" s="108">
        <f>iferror(if(and($M194=TRUE,$N194=TRUE),vlookup($E194,RH!$B$48:$S$70,month($G194)+6,false)*$H194,0),0)</f>
        <v>4705.547809</v>
      </c>
      <c r="M194" s="109" t="b">
        <f t="shared" si="2"/>
        <v>1</v>
      </c>
      <c r="N194" s="109" t="b">
        <v>1</v>
      </c>
      <c r="O194" s="69" t="s">
        <v>225</v>
      </c>
      <c r="P194" s="67"/>
    </row>
    <row r="195">
      <c r="A195" s="67"/>
      <c r="B195" s="84"/>
      <c r="C195" s="99" t="s">
        <v>99</v>
      </c>
      <c r="D195" s="84" t="s">
        <v>111</v>
      </c>
      <c r="E195" s="84" t="s">
        <v>222</v>
      </c>
      <c r="F195" s="87" t="s">
        <v>223</v>
      </c>
      <c r="G195" s="87">
        <v>45078.0</v>
      </c>
      <c r="H195" s="110">
        <v>9.0</v>
      </c>
      <c r="I195" s="106">
        <f t="shared" si="1"/>
        <v>0.375</v>
      </c>
      <c r="J195" s="99" t="s">
        <v>206</v>
      </c>
      <c r="K195" s="107" t="s">
        <v>275</v>
      </c>
      <c r="L195" s="108">
        <f>iferror(if(and($M195=TRUE,$N195=TRUE),vlookup($E195,RH!$B$48:$S$70,month($G195)+6,false)*$H195,0),0)</f>
        <v>922.284648</v>
      </c>
      <c r="M195" s="109" t="b">
        <f t="shared" si="2"/>
        <v>1</v>
      </c>
      <c r="N195" s="109" t="b">
        <v>1</v>
      </c>
      <c r="O195" s="69" t="s">
        <v>225</v>
      </c>
      <c r="P195" s="67"/>
    </row>
    <row r="196" hidden="1">
      <c r="A196" s="67"/>
      <c r="B196" s="84"/>
      <c r="C196" s="99" t="s">
        <v>99</v>
      </c>
      <c r="D196" s="84" t="s">
        <v>127</v>
      </c>
      <c r="E196" s="84" t="s">
        <v>232</v>
      </c>
      <c r="F196" s="87" t="s">
        <v>233</v>
      </c>
      <c r="G196" s="87">
        <v>45078.0</v>
      </c>
      <c r="H196" s="110">
        <v>22.0</v>
      </c>
      <c r="I196" s="106">
        <f t="shared" si="1"/>
        <v>0.9166666667</v>
      </c>
      <c r="J196" s="99" t="s">
        <v>206</v>
      </c>
      <c r="K196" s="107" t="s">
        <v>161</v>
      </c>
      <c r="L196" s="108">
        <f>iferror(if(and($M196=TRUE,$N196=TRUE),vlookup($E196,RH!$B$48:$S$70,month($G196)+6,false)*$H196,0),0)</f>
        <v>263.4087857</v>
      </c>
      <c r="M196" s="109" t="b">
        <f t="shared" si="2"/>
        <v>1</v>
      </c>
      <c r="N196" s="109" t="b">
        <v>1</v>
      </c>
      <c r="O196" s="69" t="s">
        <v>225</v>
      </c>
      <c r="P196" s="67"/>
    </row>
    <row r="197" hidden="1">
      <c r="A197" s="67"/>
      <c r="B197" s="84"/>
      <c r="C197" s="99" t="s">
        <v>99</v>
      </c>
      <c r="D197" s="84" t="s">
        <v>127</v>
      </c>
      <c r="E197" s="84" t="s">
        <v>265</v>
      </c>
      <c r="F197" s="87" t="s">
        <v>266</v>
      </c>
      <c r="G197" s="87">
        <v>45078.0</v>
      </c>
      <c r="H197" s="110">
        <v>206.0</v>
      </c>
      <c r="I197" s="106">
        <f t="shared" si="1"/>
        <v>8.583333333</v>
      </c>
      <c r="J197" s="84" t="s">
        <v>205</v>
      </c>
      <c r="K197" s="107" t="s">
        <v>240</v>
      </c>
      <c r="L197" s="108">
        <f>iferror(if(and($M197=TRUE,$N197=TRUE),vlookup($E197,RH!$B$48:$S$70,month($G197)+6,false)*$H197,0),0)</f>
        <v>23489.82922</v>
      </c>
      <c r="M197" s="109" t="b">
        <f t="shared" si="2"/>
        <v>1</v>
      </c>
      <c r="N197" s="109" t="b">
        <v>1</v>
      </c>
      <c r="O197" s="69" t="s">
        <v>264</v>
      </c>
      <c r="P197" s="67"/>
    </row>
    <row r="198" hidden="1">
      <c r="A198" s="67"/>
      <c r="B198" s="84"/>
      <c r="C198" s="99" t="s">
        <v>99</v>
      </c>
      <c r="D198" s="84" t="s">
        <v>127</v>
      </c>
      <c r="E198" s="84" t="s">
        <v>268</v>
      </c>
      <c r="F198" s="87" t="s">
        <v>269</v>
      </c>
      <c r="G198" s="87">
        <v>45078.0</v>
      </c>
      <c r="H198" s="110">
        <v>219.0</v>
      </c>
      <c r="I198" s="106">
        <f t="shared" si="1"/>
        <v>9.125</v>
      </c>
      <c r="J198" s="84" t="s">
        <v>206</v>
      </c>
      <c r="K198" s="107" t="s">
        <v>263</v>
      </c>
      <c r="L198" s="108">
        <f>iferror(if(and($M198=TRUE,$N198=TRUE),vlookup($E198,RH!$B$48:$S$70,month($G198)+6,false)*$H198,0),0)</f>
        <v>18978.88323</v>
      </c>
      <c r="M198" s="109" t="b">
        <f t="shared" si="2"/>
        <v>1</v>
      </c>
      <c r="N198" s="109" t="b">
        <v>1</v>
      </c>
      <c r="O198" s="69" t="s">
        <v>264</v>
      </c>
      <c r="P198" s="67"/>
    </row>
    <row r="199" hidden="1">
      <c r="A199" s="67"/>
      <c r="B199" s="84"/>
      <c r="C199" s="99" t="s">
        <v>99</v>
      </c>
      <c r="D199" s="84" t="s">
        <v>127</v>
      </c>
      <c r="E199" s="84" t="s">
        <v>261</v>
      </c>
      <c r="F199" s="87" t="s">
        <v>262</v>
      </c>
      <c r="G199" s="87">
        <v>45078.0</v>
      </c>
      <c r="H199" s="110">
        <v>219.0</v>
      </c>
      <c r="I199" s="106">
        <f t="shared" si="1"/>
        <v>9.125</v>
      </c>
      <c r="J199" s="84" t="s">
        <v>206</v>
      </c>
      <c r="K199" s="107" t="s">
        <v>263</v>
      </c>
      <c r="L199" s="108">
        <f>iferror(if(and($M199=TRUE,$N199=TRUE),vlookup($E199,RH!$B$48:$S$70,month($G199)+6,false)*$H199,0),0)</f>
        <v>23573.7527</v>
      </c>
      <c r="M199" s="109" t="b">
        <f t="shared" si="2"/>
        <v>1</v>
      </c>
      <c r="N199" s="109" t="b">
        <v>1</v>
      </c>
      <c r="O199" s="69" t="s">
        <v>264</v>
      </c>
      <c r="P199" s="67"/>
    </row>
    <row r="200" hidden="1">
      <c r="A200" s="67"/>
      <c r="B200" s="84"/>
      <c r="C200" s="99" t="s">
        <v>99</v>
      </c>
      <c r="D200" s="84" t="s">
        <v>127</v>
      </c>
      <c r="E200" s="84" t="s">
        <v>270</v>
      </c>
      <c r="F200" s="87" t="s">
        <v>271</v>
      </c>
      <c r="G200" s="87">
        <v>45078.0</v>
      </c>
      <c r="H200" s="110">
        <v>211.0</v>
      </c>
      <c r="I200" s="106">
        <f t="shared" si="1"/>
        <v>8.791666667</v>
      </c>
      <c r="J200" s="84" t="s">
        <v>206</v>
      </c>
      <c r="K200" s="107" t="s">
        <v>267</v>
      </c>
      <c r="L200" s="108">
        <f>iferror(if(and($M200=TRUE,$N200=TRUE),vlookup($E200,RH!$B$48:$S$70,month($G200)+6,false)*$H200,0),0)</f>
        <v>20243.02658</v>
      </c>
      <c r="M200" s="109" t="b">
        <f t="shared" si="2"/>
        <v>1</v>
      </c>
      <c r="N200" s="109" t="b">
        <v>1</v>
      </c>
      <c r="O200" s="69" t="s">
        <v>264</v>
      </c>
      <c r="P200" s="67"/>
    </row>
    <row r="201" hidden="1">
      <c r="A201" s="67"/>
      <c r="B201" s="84"/>
      <c r="C201" s="99" t="s">
        <v>99</v>
      </c>
      <c r="D201" s="84" t="s">
        <v>127</v>
      </c>
      <c r="E201" s="84" t="s">
        <v>238</v>
      </c>
      <c r="F201" s="87" t="s">
        <v>239</v>
      </c>
      <c r="G201" s="87">
        <v>45078.0</v>
      </c>
      <c r="H201" s="110">
        <v>8.0</v>
      </c>
      <c r="I201" s="106">
        <f t="shared" si="1"/>
        <v>0.3333333333</v>
      </c>
      <c r="J201" s="84" t="s">
        <v>205</v>
      </c>
      <c r="K201" s="107" t="s">
        <v>240</v>
      </c>
      <c r="L201" s="108">
        <f>iferror(if(and($M201=TRUE,$N201=TRUE),vlookup($E201,RH!$B$48:$S$70,month($G201)+6,false)*$H201,0),0)</f>
        <v>819.808576</v>
      </c>
      <c r="M201" s="109" t="b">
        <f t="shared" si="2"/>
        <v>1</v>
      </c>
      <c r="N201" s="109" t="b">
        <v>1</v>
      </c>
      <c r="O201" s="69" t="s">
        <v>225</v>
      </c>
      <c r="P201" s="67"/>
    </row>
    <row r="202">
      <c r="A202" s="67"/>
      <c r="B202" s="84"/>
      <c r="C202" s="99" t="s">
        <v>99</v>
      </c>
      <c r="D202" s="84" t="s">
        <v>133</v>
      </c>
      <c r="E202" s="84" t="s">
        <v>222</v>
      </c>
      <c r="F202" s="87" t="s">
        <v>223</v>
      </c>
      <c r="G202" s="87">
        <v>45108.0</v>
      </c>
      <c r="H202" s="110">
        <v>4.0</v>
      </c>
      <c r="I202" s="106">
        <f t="shared" si="1"/>
        <v>0.1666666667</v>
      </c>
      <c r="J202" s="84" t="s">
        <v>205</v>
      </c>
      <c r="K202" s="107" t="s">
        <v>240</v>
      </c>
      <c r="L202" s="108">
        <f>iferror(if(and($M202=TRUE,$N202=TRUE),vlookup($E202,RH!$B$48:$S$70,month($G202)+6,false)*$H202,0),0)</f>
        <v>427.6196536</v>
      </c>
      <c r="M202" s="109" t="b">
        <f t="shared" si="2"/>
        <v>1</v>
      </c>
      <c r="N202" s="109" t="b">
        <v>1</v>
      </c>
      <c r="O202" s="69" t="s">
        <v>225</v>
      </c>
      <c r="P202" s="67"/>
    </row>
    <row r="203" hidden="1">
      <c r="A203" s="67"/>
      <c r="B203" s="84"/>
      <c r="C203" s="99" t="s">
        <v>99</v>
      </c>
      <c r="D203" s="84" t="s">
        <v>133</v>
      </c>
      <c r="E203" s="84" t="s">
        <v>265</v>
      </c>
      <c r="F203" s="87" t="s">
        <v>266</v>
      </c>
      <c r="G203" s="87">
        <v>45108.0</v>
      </c>
      <c r="H203" s="110">
        <v>204.0</v>
      </c>
      <c r="I203" s="106">
        <f t="shared" si="1"/>
        <v>8.5</v>
      </c>
      <c r="J203" s="84" t="s">
        <v>205</v>
      </c>
      <c r="K203" s="107" t="s">
        <v>240</v>
      </c>
      <c r="L203" s="108">
        <f>iferror(if(and($M203=TRUE,$N203=TRUE),vlookup($E203,RH!$B$48:$S$70,month($G203)+6,false)*$H203,0),0)</f>
        <v>24854.65146</v>
      </c>
      <c r="M203" s="109" t="b">
        <f t="shared" si="2"/>
        <v>1</v>
      </c>
      <c r="N203" s="109" t="b">
        <v>1</v>
      </c>
      <c r="O203" s="69" t="s">
        <v>264</v>
      </c>
      <c r="P203" s="67"/>
    </row>
    <row r="204" hidden="1">
      <c r="A204" s="67"/>
      <c r="B204" s="84"/>
      <c r="C204" s="99" t="s">
        <v>99</v>
      </c>
      <c r="D204" s="84" t="s">
        <v>133</v>
      </c>
      <c r="E204" s="84" t="s">
        <v>268</v>
      </c>
      <c r="F204" s="87" t="s">
        <v>269</v>
      </c>
      <c r="G204" s="87">
        <v>45108.0</v>
      </c>
      <c r="H204" s="110">
        <v>161.0</v>
      </c>
      <c r="I204" s="106">
        <f t="shared" si="1"/>
        <v>6.708333333</v>
      </c>
      <c r="J204" s="84" t="s">
        <v>206</v>
      </c>
      <c r="K204" s="107" t="s">
        <v>263</v>
      </c>
      <c r="L204" s="108">
        <f>iferror(if(and($M204=TRUE,$N204=TRUE),vlookup($E204,RH!$B$48:$S$70,month($G204)+6,false)*$H204,0),0)</f>
        <v>15299.24513</v>
      </c>
      <c r="M204" s="109" t="b">
        <f t="shared" si="2"/>
        <v>1</v>
      </c>
      <c r="N204" s="109" t="b">
        <v>1</v>
      </c>
      <c r="O204" s="69" t="s">
        <v>264</v>
      </c>
      <c r="P204" s="67"/>
    </row>
    <row r="205" hidden="1">
      <c r="A205" s="67"/>
      <c r="B205" s="84"/>
      <c r="C205" s="99" t="s">
        <v>99</v>
      </c>
      <c r="D205" s="84" t="s">
        <v>133</v>
      </c>
      <c r="E205" s="84" t="s">
        <v>261</v>
      </c>
      <c r="F205" s="87" t="s">
        <v>262</v>
      </c>
      <c r="G205" s="87">
        <v>45108.0</v>
      </c>
      <c r="H205" s="110">
        <v>160.0</v>
      </c>
      <c r="I205" s="106">
        <f t="shared" si="1"/>
        <v>6.666666667</v>
      </c>
      <c r="J205" s="84" t="s">
        <v>206</v>
      </c>
      <c r="K205" s="107" t="s">
        <v>263</v>
      </c>
      <c r="L205" s="108">
        <f>iferror(if(and($M205=TRUE,$N205=TRUE),vlookup($E205,RH!$B$48:$S$70,month($G205)+6,false)*$H205,0),0)</f>
        <v>18319.52434</v>
      </c>
      <c r="M205" s="109" t="b">
        <f t="shared" si="2"/>
        <v>1</v>
      </c>
      <c r="N205" s="109" t="b">
        <v>1</v>
      </c>
      <c r="O205" s="69" t="s">
        <v>264</v>
      </c>
      <c r="P205" s="67"/>
    </row>
    <row r="206" hidden="1">
      <c r="A206" s="67"/>
      <c r="B206" s="84"/>
      <c r="C206" s="99" t="s">
        <v>99</v>
      </c>
      <c r="D206" s="84" t="s">
        <v>133</v>
      </c>
      <c r="E206" s="84" t="s">
        <v>270</v>
      </c>
      <c r="F206" s="87" t="s">
        <v>271</v>
      </c>
      <c r="G206" s="87">
        <v>45108.0</v>
      </c>
      <c r="H206" s="110">
        <v>205.0</v>
      </c>
      <c r="I206" s="106">
        <f t="shared" si="1"/>
        <v>8.541666667</v>
      </c>
      <c r="J206" s="84" t="s">
        <v>206</v>
      </c>
      <c r="K206" s="107" t="s">
        <v>267</v>
      </c>
      <c r="L206" s="108">
        <f>iferror(if(and($M206=TRUE,$N206=TRUE),vlookup($E206,RH!$B$48:$S$70,month($G206)+6,false)*$H206,0),0)</f>
        <v>20517.38685</v>
      </c>
      <c r="M206" s="109" t="b">
        <f t="shared" si="2"/>
        <v>1</v>
      </c>
      <c r="N206" s="109" t="b">
        <v>1</v>
      </c>
      <c r="O206" s="69" t="s">
        <v>264</v>
      </c>
      <c r="P206" s="67"/>
    </row>
    <row r="207" hidden="1">
      <c r="A207" s="67"/>
      <c r="B207" s="84"/>
      <c r="C207" s="99" t="s">
        <v>99</v>
      </c>
      <c r="D207" s="84" t="s">
        <v>133</v>
      </c>
      <c r="E207" s="84" t="s">
        <v>238</v>
      </c>
      <c r="F207" s="87" t="s">
        <v>239</v>
      </c>
      <c r="G207" s="87">
        <v>45108.0</v>
      </c>
      <c r="H207" s="110">
        <v>26.0</v>
      </c>
      <c r="I207" s="106">
        <f t="shared" si="1"/>
        <v>1.083333333</v>
      </c>
      <c r="J207" s="84" t="s">
        <v>205</v>
      </c>
      <c r="K207" s="107" t="s">
        <v>240</v>
      </c>
      <c r="L207" s="108">
        <f>iferror(if(and($M207=TRUE,$N207=TRUE),vlookup($E207,RH!$B$48:$S$70,month($G207)+6,false)*$H207,0),0)</f>
        <v>2779.527749</v>
      </c>
      <c r="M207" s="109" t="b">
        <f t="shared" si="2"/>
        <v>1</v>
      </c>
      <c r="N207" s="109" t="b">
        <v>1</v>
      </c>
      <c r="O207" s="69" t="s">
        <v>225</v>
      </c>
      <c r="P207" s="67"/>
    </row>
    <row r="208" hidden="1">
      <c r="A208" s="67"/>
      <c r="B208" s="84"/>
      <c r="C208" s="99" t="s">
        <v>99</v>
      </c>
      <c r="D208" s="84" t="s">
        <v>141</v>
      </c>
      <c r="E208" s="84" t="s">
        <v>247</v>
      </c>
      <c r="F208" s="87" t="s">
        <v>248</v>
      </c>
      <c r="G208" s="87">
        <v>45108.0</v>
      </c>
      <c r="H208" s="110">
        <v>40.0</v>
      </c>
      <c r="I208" s="106">
        <f t="shared" si="1"/>
        <v>1.666666667</v>
      </c>
      <c r="J208" s="84" t="s">
        <v>205</v>
      </c>
      <c r="K208" s="107" t="s">
        <v>276</v>
      </c>
      <c r="L208" s="108">
        <f>iferror(if(and($M208=TRUE,$N208=TRUE),vlookup($E208,RH!$B$48:$S$70,month($G208)+6,false)*$H208,0),0)</f>
        <v>3202.714045</v>
      </c>
      <c r="M208" s="109" t="b">
        <f t="shared" si="2"/>
        <v>1</v>
      </c>
      <c r="N208" s="109" t="b">
        <v>1</v>
      </c>
      <c r="O208" s="69" t="s">
        <v>225</v>
      </c>
      <c r="P208" s="67"/>
    </row>
    <row r="209">
      <c r="A209" s="67"/>
      <c r="B209" s="84"/>
      <c r="C209" s="99" t="s">
        <v>99</v>
      </c>
      <c r="D209" s="84" t="s">
        <v>133</v>
      </c>
      <c r="E209" s="84" t="s">
        <v>222</v>
      </c>
      <c r="F209" s="87" t="s">
        <v>223</v>
      </c>
      <c r="G209" s="87">
        <v>45139.0</v>
      </c>
      <c r="H209" s="110">
        <v>6.0</v>
      </c>
      <c r="I209" s="106">
        <f t="shared" si="1"/>
        <v>0.25</v>
      </c>
      <c r="J209" s="84" t="s">
        <v>205</v>
      </c>
      <c r="K209" s="107" t="s">
        <v>240</v>
      </c>
      <c r="L209" s="108">
        <f>iferror(if(and($M209=TRUE,$N209=TRUE),vlookup($E209,RH!$B$48:$S$70,month($G209)+6,false)*$H209,0),0)</f>
        <v>562.1754468</v>
      </c>
      <c r="M209" s="109" t="b">
        <f t="shared" si="2"/>
        <v>1</v>
      </c>
      <c r="N209" s="109" t="b">
        <v>1</v>
      </c>
      <c r="O209" s="69" t="s">
        <v>225</v>
      </c>
      <c r="P209" s="67"/>
    </row>
    <row r="210" hidden="1">
      <c r="A210" s="67"/>
      <c r="B210" s="84"/>
      <c r="C210" s="99" t="s">
        <v>99</v>
      </c>
      <c r="D210" s="84" t="s">
        <v>133</v>
      </c>
      <c r="E210" s="84" t="s">
        <v>265</v>
      </c>
      <c r="F210" s="87" t="s">
        <v>266</v>
      </c>
      <c r="G210" s="87">
        <v>45139.0</v>
      </c>
      <c r="H210" s="110">
        <v>199.0</v>
      </c>
      <c r="I210" s="106">
        <f t="shared" si="1"/>
        <v>8.291666667</v>
      </c>
      <c r="J210" s="84" t="s">
        <v>205</v>
      </c>
      <c r="K210" s="107" t="s">
        <v>240</v>
      </c>
      <c r="L210" s="108">
        <f>iferror(if(and($M210=TRUE,$N210=TRUE),vlookup($E210,RH!$B$48:$S$70,month($G210)+6,false)*$H210,0),0)</f>
        <v>21249.73623</v>
      </c>
      <c r="M210" s="109" t="b">
        <f t="shared" si="2"/>
        <v>1</v>
      </c>
      <c r="N210" s="109" t="b">
        <v>1</v>
      </c>
      <c r="O210" s="69" t="s">
        <v>264</v>
      </c>
      <c r="P210" s="67"/>
    </row>
    <row r="211" hidden="1">
      <c r="A211" s="67"/>
      <c r="B211" s="84"/>
      <c r="C211" s="99" t="s">
        <v>99</v>
      </c>
      <c r="D211" s="84" t="s">
        <v>133</v>
      </c>
      <c r="E211" s="84" t="s">
        <v>268</v>
      </c>
      <c r="F211" s="87" t="s">
        <v>269</v>
      </c>
      <c r="G211" s="87">
        <v>45139.0</v>
      </c>
      <c r="H211" s="110">
        <v>214.0</v>
      </c>
      <c r="I211" s="106">
        <f t="shared" si="1"/>
        <v>8.916666667</v>
      </c>
      <c r="J211" s="84" t="s">
        <v>206</v>
      </c>
      <c r="K211" s="107" t="s">
        <v>263</v>
      </c>
      <c r="L211" s="108">
        <f>iferror(if(and($M211=TRUE,$N211=TRUE),vlookup($E211,RH!$B$48:$S$70,month($G211)+6,false)*$H211,0),0)</f>
        <v>17823.00208</v>
      </c>
      <c r="M211" s="109" t="b">
        <f t="shared" si="2"/>
        <v>1</v>
      </c>
      <c r="N211" s="109" t="b">
        <v>1</v>
      </c>
      <c r="O211" s="69" t="s">
        <v>264</v>
      </c>
      <c r="P211" s="67"/>
    </row>
    <row r="212" hidden="1">
      <c r="A212" s="67"/>
      <c r="B212" s="84"/>
      <c r="C212" s="99" t="s">
        <v>99</v>
      </c>
      <c r="D212" s="84" t="s">
        <v>133</v>
      </c>
      <c r="E212" s="84" t="s">
        <v>261</v>
      </c>
      <c r="F212" s="87" t="s">
        <v>262</v>
      </c>
      <c r="G212" s="87">
        <v>45139.0</v>
      </c>
      <c r="H212" s="110">
        <v>107.0</v>
      </c>
      <c r="I212" s="106">
        <f t="shared" si="1"/>
        <v>4.458333333</v>
      </c>
      <c r="J212" s="84" t="s">
        <v>206</v>
      </c>
      <c r="K212" s="107" t="s">
        <v>263</v>
      </c>
      <c r="L212" s="108">
        <f>iferror(if(and($M212=TRUE,$N212=TRUE),vlookup($E212,RH!$B$48:$S$70,month($G212)+6,false)*$H212,0),0)</f>
        <v>10737.44483</v>
      </c>
      <c r="M212" s="109" t="b">
        <f t="shared" si="2"/>
        <v>1</v>
      </c>
      <c r="N212" s="109" t="b">
        <v>1</v>
      </c>
      <c r="O212" s="69" t="s">
        <v>264</v>
      </c>
      <c r="P212" s="67"/>
    </row>
    <row r="213" hidden="1">
      <c r="A213" s="67"/>
      <c r="B213" s="84"/>
      <c r="C213" s="99" t="s">
        <v>99</v>
      </c>
      <c r="D213" s="84" t="s">
        <v>133</v>
      </c>
      <c r="E213" s="84" t="s">
        <v>270</v>
      </c>
      <c r="F213" s="87" t="s">
        <v>271</v>
      </c>
      <c r="G213" s="87">
        <v>45139.0</v>
      </c>
      <c r="H213" s="110">
        <v>209.0</v>
      </c>
      <c r="I213" s="106">
        <f t="shared" si="1"/>
        <v>8.708333333</v>
      </c>
      <c r="J213" s="84" t="s">
        <v>206</v>
      </c>
      <c r="K213" s="107" t="s">
        <v>267</v>
      </c>
      <c r="L213" s="108">
        <f>iferror(if(and($M213=TRUE,$N213=TRUE),vlookup($E213,RH!$B$48:$S$70,month($G213)+6,false)*$H213,0),0)</f>
        <v>18522.37717</v>
      </c>
      <c r="M213" s="109" t="b">
        <f t="shared" si="2"/>
        <v>1</v>
      </c>
      <c r="N213" s="109" t="b">
        <v>1</v>
      </c>
      <c r="O213" s="69" t="s">
        <v>264</v>
      </c>
      <c r="P213" s="67"/>
    </row>
    <row r="214" hidden="1">
      <c r="A214" s="67"/>
      <c r="B214" s="84"/>
      <c r="C214" s="99" t="s">
        <v>99</v>
      </c>
      <c r="D214" s="84" t="s">
        <v>133</v>
      </c>
      <c r="E214" s="84" t="s">
        <v>238</v>
      </c>
      <c r="F214" s="87" t="s">
        <v>239</v>
      </c>
      <c r="G214" s="87">
        <v>45139.0</v>
      </c>
      <c r="H214" s="110">
        <v>80.0</v>
      </c>
      <c r="I214" s="106">
        <f t="shared" si="1"/>
        <v>3.333333333</v>
      </c>
      <c r="J214" s="84" t="s">
        <v>205</v>
      </c>
      <c r="K214" s="107" t="s">
        <v>240</v>
      </c>
      <c r="L214" s="108">
        <f>iferror(if(and($M214=TRUE,$N214=TRUE),vlookup($E214,RH!$B$48:$S$70,month($G214)+6,false)*$H214,0),0)</f>
        <v>7495.672624</v>
      </c>
      <c r="M214" s="109" t="b">
        <f t="shared" si="2"/>
        <v>1</v>
      </c>
      <c r="N214" s="109" t="b">
        <v>1</v>
      </c>
      <c r="O214" s="69" t="s">
        <v>225</v>
      </c>
      <c r="P214" s="67"/>
    </row>
    <row r="215" hidden="1">
      <c r="A215" s="67"/>
      <c r="B215" s="84"/>
      <c r="C215" s="99" t="s">
        <v>99</v>
      </c>
      <c r="D215" s="84" t="s">
        <v>133</v>
      </c>
      <c r="E215" s="84" t="s">
        <v>256</v>
      </c>
      <c r="F215" s="87" t="s">
        <v>257</v>
      </c>
      <c r="G215" s="87">
        <v>45139.0</v>
      </c>
      <c r="H215" s="110">
        <v>22.0</v>
      </c>
      <c r="I215" s="106">
        <f t="shared" si="1"/>
        <v>0.9166666667</v>
      </c>
      <c r="J215" s="99" t="s">
        <v>206</v>
      </c>
      <c r="K215" s="107" t="s">
        <v>161</v>
      </c>
      <c r="L215" s="108">
        <f>iferror(if(and($M215=TRUE,$N215=TRUE),vlookup($E215,RH!$B$48:$S$70,month($G215)+6,false)*$H215,0),0)</f>
        <v>240.8398841</v>
      </c>
      <c r="M215" s="109" t="b">
        <f t="shared" si="2"/>
        <v>1</v>
      </c>
      <c r="N215" s="109" t="b">
        <v>1</v>
      </c>
      <c r="O215" s="69" t="s">
        <v>225</v>
      </c>
      <c r="P215" s="67"/>
    </row>
    <row r="216" hidden="1">
      <c r="A216" s="67"/>
      <c r="B216" s="84"/>
      <c r="C216" s="99" t="s">
        <v>99</v>
      </c>
      <c r="D216" s="84" t="s">
        <v>141</v>
      </c>
      <c r="E216" s="84" t="s">
        <v>272</v>
      </c>
      <c r="F216" s="87" t="s">
        <v>273</v>
      </c>
      <c r="G216" s="87">
        <v>45139.0</v>
      </c>
      <c r="H216" s="110">
        <v>1.0</v>
      </c>
      <c r="I216" s="106">
        <f t="shared" si="1"/>
        <v>0.04166666667</v>
      </c>
      <c r="J216" s="84" t="s">
        <v>208</v>
      </c>
      <c r="K216" s="107" t="s">
        <v>224</v>
      </c>
      <c r="L216" s="108">
        <f>iferror(if(and($M216=TRUE,$N216=TRUE),vlookup($E216,RH!$B$48:$S$70,month($G216)+6,false)*$H216,0),0)</f>
        <v>0</v>
      </c>
      <c r="M216" s="109" t="b">
        <f t="shared" si="2"/>
        <v>0</v>
      </c>
      <c r="N216" s="109" t="b">
        <v>1</v>
      </c>
      <c r="O216" s="69" t="s">
        <v>225</v>
      </c>
      <c r="P216" s="67"/>
    </row>
    <row r="217" hidden="1">
      <c r="A217" s="67"/>
      <c r="B217" s="84"/>
      <c r="C217" s="99" t="s">
        <v>99</v>
      </c>
      <c r="D217" s="84" t="s">
        <v>141</v>
      </c>
      <c r="E217" s="84" t="s">
        <v>247</v>
      </c>
      <c r="F217" s="87" t="s">
        <v>248</v>
      </c>
      <c r="G217" s="87">
        <v>45139.0</v>
      </c>
      <c r="H217" s="110">
        <v>18.0</v>
      </c>
      <c r="I217" s="106">
        <f t="shared" si="1"/>
        <v>0.75</v>
      </c>
      <c r="J217" s="84" t="s">
        <v>205</v>
      </c>
      <c r="K217" s="107" t="s">
        <v>276</v>
      </c>
      <c r="L217" s="108">
        <f>iferror(if(and($M217=TRUE,$N217=TRUE),vlookup($E217,RH!$B$48:$S$70,month($G217)+6,false)*$H217,0),0)</f>
        <v>1263.146245</v>
      </c>
      <c r="M217" s="109" t="b">
        <f t="shared" si="2"/>
        <v>1</v>
      </c>
      <c r="N217" s="109" t="b">
        <v>1</v>
      </c>
      <c r="O217" s="69" t="s">
        <v>225</v>
      </c>
      <c r="P217" s="67"/>
    </row>
    <row r="218" hidden="1">
      <c r="A218" s="67"/>
      <c r="B218" s="84"/>
      <c r="C218" s="99" t="s">
        <v>99</v>
      </c>
      <c r="D218" s="84" t="s">
        <v>133</v>
      </c>
      <c r="E218" s="84" t="s">
        <v>270</v>
      </c>
      <c r="F218" s="87" t="s">
        <v>271</v>
      </c>
      <c r="G218" s="87">
        <v>45170.0</v>
      </c>
      <c r="H218" s="110">
        <v>226.0</v>
      </c>
      <c r="I218" s="106">
        <f t="shared" si="1"/>
        <v>9.416666667</v>
      </c>
      <c r="J218" s="84" t="s">
        <v>206</v>
      </c>
      <c r="K218" s="107" t="s">
        <v>267</v>
      </c>
      <c r="L218" s="108">
        <f>iferror(if(and($M218=TRUE,$N218=TRUE),vlookup($E218,RH!$B$48:$S$70,month($G218)+6,false)*$H218,0),0)</f>
        <v>22338.66351</v>
      </c>
      <c r="M218" s="109" t="b">
        <f t="shared" si="2"/>
        <v>1</v>
      </c>
      <c r="N218" s="109" t="b">
        <v>1</v>
      </c>
      <c r="O218" s="69" t="s">
        <v>264</v>
      </c>
      <c r="P218" s="67"/>
    </row>
    <row r="219" hidden="1">
      <c r="A219" s="67"/>
      <c r="B219" s="84"/>
      <c r="C219" s="99" t="s">
        <v>99</v>
      </c>
      <c r="D219" s="84" t="s">
        <v>133</v>
      </c>
      <c r="E219" s="84" t="s">
        <v>238</v>
      </c>
      <c r="F219" s="87" t="s">
        <v>239</v>
      </c>
      <c r="G219" s="87">
        <v>45170.0</v>
      </c>
      <c r="H219" s="110">
        <v>24.0</v>
      </c>
      <c r="I219" s="106">
        <f t="shared" si="1"/>
        <v>1</v>
      </c>
      <c r="J219" s="84" t="s">
        <v>205</v>
      </c>
      <c r="K219" s="107" t="s">
        <v>240</v>
      </c>
      <c r="L219" s="108">
        <f>iferror(if(and($M219=TRUE,$N219=TRUE),vlookup($E219,RH!$B$48:$S$70,month($G219)+6,false)*$H219,0),0)</f>
        <v>2508.015262</v>
      </c>
      <c r="M219" s="109" t="b">
        <f t="shared" si="2"/>
        <v>1</v>
      </c>
      <c r="N219" s="109" t="b">
        <v>1</v>
      </c>
      <c r="O219" s="69" t="s">
        <v>225</v>
      </c>
      <c r="P219" s="67"/>
    </row>
    <row r="220" hidden="1">
      <c r="A220" s="67"/>
      <c r="B220" s="84"/>
      <c r="C220" s="99" t="s">
        <v>99</v>
      </c>
      <c r="D220" s="84" t="s">
        <v>133</v>
      </c>
      <c r="E220" s="84" t="s">
        <v>256</v>
      </c>
      <c r="F220" s="87" t="s">
        <v>257</v>
      </c>
      <c r="G220" s="87">
        <v>45170.0</v>
      </c>
      <c r="H220" s="110">
        <v>68.0</v>
      </c>
      <c r="I220" s="106">
        <f t="shared" si="1"/>
        <v>2.833333333</v>
      </c>
      <c r="J220" s="99" t="s">
        <v>206</v>
      </c>
      <c r="K220" s="107" t="s">
        <v>161</v>
      </c>
      <c r="L220" s="108">
        <f>iferror(if(and($M220=TRUE,$N220=TRUE),vlookup($E220,RH!$B$48:$S$70,month($G220)+6,false)*$H220,0),0)</f>
        <v>830.2577749</v>
      </c>
      <c r="M220" s="109" t="b">
        <f t="shared" si="2"/>
        <v>1</v>
      </c>
      <c r="N220" s="109" t="b">
        <v>1</v>
      </c>
      <c r="O220" s="69" t="s">
        <v>225</v>
      </c>
      <c r="P220" s="67"/>
    </row>
    <row r="221" hidden="1">
      <c r="A221" s="67"/>
      <c r="B221" s="84"/>
      <c r="C221" s="99" t="s">
        <v>99</v>
      </c>
      <c r="D221" s="84" t="s">
        <v>141</v>
      </c>
      <c r="E221" s="84" t="s">
        <v>247</v>
      </c>
      <c r="F221" s="87" t="s">
        <v>248</v>
      </c>
      <c r="G221" s="87">
        <v>45170.0</v>
      </c>
      <c r="H221" s="110">
        <v>102.0</v>
      </c>
      <c r="I221" s="106">
        <f t="shared" si="1"/>
        <v>4.25</v>
      </c>
      <c r="J221" s="84" t="s">
        <v>205</v>
      </c>
      <c r="K221" s="107" t="s">
        <v>276</v>
      </c>
      <c r="L221" s="108">
        <f>iferror(if(and($M221=TRUE,$N221=TRUE),vlookup($E221,RH!$B$48:$S$70,month($G221)+6,false)*$H221,0),0)</f>
        <v>7983.247835</v>
      </c>
      <c r="M221" s="109" t="b">
        <f t="shared" si="2"/>
        <v>1</v>
      </c>
      <c r="N221" s="109" t="b">
        <v>1</v>
      </c>
      <c r="O221" s="69" t="s">
        <v>225</v>
      </c>
      <c r="P221" s="67"/>
    </row>
    <row r="222" hidden="1">
      <c r="A222" s="67"/>
      <c r="B222" s="84"/>
      <c r="C222" s="99" t="s">
        <v>99</v>
      </c>
      <c r="D222" s="84" t="s">
        <v>146</v>
      </c>
      <c r="E222" s="84" t="s">
        <v>268</v>
      </c>
      <c r="F222" s="87" t="s">
        <v>269</v>
      </c>
      <c r="G222" s="87">
        <v>45170.0</v>
      </c>
      <c r="H222" s="110">
        <v>175.0</v>
      </c>
      <c r="I222" s="106">
        <f t="shared" si="1"/>
        <v>7.291666667</v>
      </c>
      <c r="J222" s="84" t="s">
        <v>206</v>
      </c>
      <c r="K222" s="107" t="s">
        <v>263</v>
      </c>
      <c r="L222" s="108">
        <f>iferror(if(and($M222=TRUE,$N222=TRUE),vlookup($E222,RH!$B$48:$S$70,month($G222)+6,false)*$H222,0),0)</f>
        <v>16255.61643</v>
      </c>
      <c r="M222" s="109" t="b">
        <f t="shared" si="2"/>
        <v>1</v>
      </c>
      <c r="N222" s="109" t="b">
        <v>1</v>
      </c>
      <c r="O222" s="69" t="s">
        <v>264</v>
      </c>
      <c r="P222" s="67"/>
    </row>
    <row r="223">
      <c r="A223" s="67"/>
      <c r="B223" s="84"/>
      <c r="C223" s="99" t="s">
        <v>99</v>
      </c>
      <c r="D223" s="84" t="s">
        <v>136</v>
      </c>
      <c r="E223" s="84" t="s">
        <v>222</v>
      </c>
      <c r="F223" s="87" t="s">
        <v>223</v>
      </c>
      <c r="G223" s="87">
        <v>45170.0</v>
      </c>
      <c r="H223" s="110">
        <v>3.0</v>
      </c>
      <c r="I223" s="106">
        <f t="shared" si="1"/>
        <v>0.125</v>
      </c>
      <c r="J223" s="84" t="s">
        <v>205</v>
      </c>
      <c r="K223" s="107" t="s">
        <v>240</v>
      </c>
      <c r="L223" s="108">
        <f>iferror(if(and($M223=TRUE,$N223=TRUE),vlookup($E223,RH!$B$48:$S$70,month($G223)+6,false)*$H223,0),0)</f>
        <v>313.5019077</v>
      </c>
      <c r="M223" s="109" t="b">
        <f t="shared" si="2"/>
        <v>1</v>
      </c>
      <c r="N223" s="109" t="b">
        <v>1</v>
      </c>
      <c r="O223" s="69" t="s">
        <v>225</v>
      </c>
      <c r="P223" s="67"/>
    </row>
    <row r="224" hidden="1">
      <c r="A224" s="67"/>
      <c r="B224" s="84"/>
      <c r="C224" s="99" t="s">
        <v>99</v>
      </c>
      <c r="D224" s="84" t="s">
        <v>136</v>
      </c>
      <c r="E224" s="84" t="s">
        <v>265</v>
      </c>
      <c r="F224" s="87" t="s">
        <v>266</v>
      </c>
      <c r="G224" s="87">
        <v>45170.0</v>
      </c>
      <c r="H224" s="110">
        <v>124.0</v>
      </c>
      <c r="I224" s="106">
        <f t="shared" si="1"/>
        <v>5.166666667</v>
      </c>
      <c r="J224" s="84" t="s">
        <v>205</v>
      </c>
      <c r="K224" s="107" t="s">
        <v>240</v>
      </c>
      <c r="L224" s="108">
        <f>iferror(if(and($M224=TRUE,$N224=TRUE),vlookup($E224,RH!$B$48:$S$70,month($G224)+6,false)*$H224,0),0)</f>
        <v>14767.95846</v>
      </c>
      <c r="M224" s="109" t="b">
        <f t="shared" si="2"/>
        <v>1</v>
      </c>
      <c r="N224" s="109" t="b">
        <v>1</v>
      </c>
      <c r="O224" s="69" t="s">
        <v>264</v>
      </c>
      <c r="P224" s="67"/>
    </row>
    <row r="225" hidden="1">
      <c r="A225" s="67"/>
      <c r="B225" s="84"/>
      <c r="C225" s="99" t="s">
        <v>99</v>
      </c>
      <c r="D225" s="84" t="s">
        <v>136</v>
      </c>
      <c r="E225" s="84" t="s">
        <v>261</v>
      </c>
      <c r="F225" s="87" t="s">
        <v>262</v>
      </c>
      <c r="G225" s="87">
        <v>45170.0</v>
      </c>
      <c r="H225" s="110">
        <v>190.0</v>
      </c>
      <c r="I225" s="106">
        <f t="shared" si="1"/>
        <v>7.916666667</v>
      </c>
      <c r="J225" s="84" t="s">
        <v>205</v>
      </c>
      <c r="K225" s="107" t="s">
        <v>240</v>
      </c>
      <c r="L225" s="108">
        <f>iferror(if(and($M225=TRUE,$N225=TRUE),vlookup($E225,RH!$B$48:$S$70,month($G225)+6,false)*$H225,0),0)</f>
        <v>21265.18075</v>
      </c>
      <c r="M225" s="109" t="b">
        <f t="shared" si="2"/>
        <v>1</v>
      </c>
      <c r="N225" s="109" t="b">
        <v>1</v>
      </c>
      <c r="O225" s="69" t="s">
        <v>264</v>
      </c>
      <c r="P225" s="67"/>
    </row>
    <row r="226" hidden="1">
      <c r="A226" s="67"/>
      <c r="B226" s="84"/>
      <c r="C226" s="99" t="s">
        <v>99</v>
      </c>
      <c r="D226" s="84" t="s">
        <v>141</v>
      </c>
      <c r="E226" s="84" t="s">
        <v>247</v>
      </c>
      <c r="F226" s="87" t="s">
        <v>248</v>
      </c>
      <c r="G226" s="87">
        <v>45200.0</v>
      </c>
      <c r="H226" s="110">
        <v>66.0</v>
      </c>
      <c r="I226" s="106">
        <f t="shared" si="1"/>
        <v>2.75</v>
      </c>
      <c r="J226" s="84" t="s">
        <v>205</v>
      </c>
      <c r="K226" s="107" t="s">
        <v>276</v>
      </c>
      <c r="L226" s="108">
        <f>iferror(if(and($M226=TRUE,$N226=TRUE),vlookup($E226,RH!$B$48:$S$70,month($G226)+6,false)*$H226,0),0)</f>
        <v>5613.951754</v>
      </c>
      <c r="M226" s="109" t="b">
        <f t="shared" si="2"/>
        <v>1</v>
      </c>
      <c r="N226" s="109" t="b">
        <v>1</v>
      </c>
      <c r="O226" s="69" t="s">
        <v>225</v>
      </c>
      <c r="P226" s="67"/>
    </row>
    <row r="227" hidden="1">
      <c r="A227" s="67"/>
      <c r="B227" s="84"/>
      <c r="C227" s="99" t="s">
        <v>99</v>
      </c>
      <c r="D227" s="84" t="s">
        <v>146</v>
      </c>
      <c r="E227" s="84" t="s">
        <v>268</v>
      </c>
      <c r="F227" s="87" t="s">
        <v>269</v>
      </c>
      <c r="G227" s="87">
        <v>45200.0</v>
      </c>
      <c r="H227" s="110">
        <v>120.0</v>
      </c>
      <c r="I227" s="106">
        <f t="shared" si="1"/>
        <v>5</v>
      </c>
      <c r="J227" s="84" t="s">
        <v>206</v>
      </c>
      <c r="K227" s="107" t="s">
        <v>263</v>
      </c>
      <c r="L227" s="108">
        <f>iferror(if(and($M227=TRUE,$N227=TRUE),vlookup($E227,RH!$B$48:$S$70,month($G227)+6,false)*$H227,0),0)</f>
        <v>12114.12193</v>
      </c>
      <c r="M227" s="109" t="b">
        <f t="shared" si="2"/>
        <v>1</v>
      </c>
      <c r="N227" s="109" t="b">
        <v>1</v>
      </c>
      <c r="O227" s="69" t="s">
        <v>264</v>
      </c>
      <c r="P227" s="67"/>
    </row>
    <row r="228" hidden="1">
      <c r="A228" s="67"/>
      <c r="B228" s="84"/>
      <c r="C228" s="99" t="s">
        <v>99</v>
      </c>
      <c r="D228" s="84" t="s">
        <v>146</v>
      </c>
      <c r="E228" s="84" t="s">
        <v>256</v>
      </c>
      <c r="F228" s="87" t="s">
        <v>257</v>
      </c>
      <c r="G228" s="87">
        <v>45200.0</v>
      </c>
      <c r="H228" s="110">
        <v>64.0</v>
      </c>
      <c r="I228" s="106">
        <f t="shared" si="1"/>
        <v>2.666666667</v>
      </c>
      <c r="J228" s="99" t="s">
        <v>206</v>
      </c>
      <c r="K228" s="107" t="s">
        <v>161</v>
      </c>
      <c r="L228" s="108">
        <f>iferror(if(and($M228=TRUE,$N228=TRUE),vlookup($E228,RH!$B$48:$S$70,month($G228)+6,false)*$H228,0),0)</f>
        <v>849.2377927</v>
      </c>
      <c r="M228" s="109" t="b">
        <f t="shared" si="2"/>
        <v>1</v>
      </c>
      <c r="N228" s="109" t="b">
        <v>1</v>
      </c>
      <c r="O228" s="69" t="s">
        <v>225</v>
      </c>
      <c r="P228" s="67"/>
    </row>
    <row r="229" hidden="1">
      <c r="A229" s="67"/>
      <c r="B229" s="84"/>
      <c r="C229" s="99" t="s">
        <v>99</v>
      </c>
      <c r="D229" s="84" t="s">
        <v>150</v>
      </c>
      <c r="E229" s="84" t="s">
        <v>261</v>
      </c>
      <c r="F229" s="87" t="s">
        <v>262</v>
      </c>
      <c r="G229" s="87">
        <v>45200.0</v>
      </c>
      <c r="H229" s="110">
        <v>201.0</v>
      </c>
      <c r="I229" s="106">
        <f t="shared" si="1"/>
        <v>8.375</v>
      </c>
      <c r="J229" s="84" t="s">
        <v>206</v>
      </c>
      <c r="K229" s="107" t="s">
        <v>263</v>
      </c>
      <c r="L229" s="108">
        <f>iferror(if(and($M229=TRUE,$N229=TRUE),vlookup($E229,RH!$B$48:$S$70,month($G229)+6,false)*$H229,0),0)</f>
        <v>24448.75989</v>
      </c>
      <c r="M229" s="109" t="b">
        <f t="shared" si="2"/>
        <v>1</v>
      </c>
      <c r="N229" s="109" t="b">
        <v>1</v>
      </c>
      <c r="O229" s="69" t="s">
        <v>264</v>
      </c>
      <c r="P229" s="67"/>
    </row>
    <row r="230" hidden="1">
      <c r="A230" s="67"/>
      <c r="B230" s="84"/>
      <c r="C230" s="99" t="s">
        <v>99</v>
      </c>
      <c r="D230" s="84" t="s">
        <v>150</v>
      </c>
      <c r="E230" s="84" t="s">
        <v>270</v>
      </c>
      <c r="F230" s="87" t="s">
        <v>271</v>
      </c>
      <c r="G230" s="87">
        <v>45200.0</v>
      </c>
      <c r="H230" s="110">
        <v>223.0</v>
      </c>
      <c r="I230" s="106">
        <f t="shared" si="1"/>
        <v>9.291666667</v>
      </c>
      <c r="J230" s="84" t="s">
        <v>206</v>
      </c>
      <c r="K230" s="107" t="s">
        <v>267</v>
      </c>
      <c r="L230" s="108">
        <f>iferror(if(and($M230=TRUE,$N230=TRUE),vlookup($E230,RH!$B$48:$S$70,month($G230)+6,false)*$H230,0),0)</f>
        <v>23955.15089</v>
      </c>
      <c r="M230" s="109" t="b">
        <f t="shared" si="2"/>
        <v>1</v>
      </c>
      <c r="N230" s="109" t="b">
        <v>1</v>
      </c>
      <c r="O230" s="69" t="s">
        <v>264</v>
      </c>
      <c r="P230" s="67"/>
    </row>
    <row r="231" hidden="1">
      <c r="A231" s="67"/>
      <c r="B231" s="84"/>
      <c r="C231" s="99" t="s">
        <v>99</v>
      </c>
      <c r="D231" s="84" t="s">
        <v>150</v>
      </c>
      <c r="E231" s="84" t="s">
        <v>265</v>
      </c>
      <c r="F231" s="87" t="s">
        <v>266</v>
      </c>
      <c r="G231" s="87">
        <v>45200.0</v>
      </c>
      <c r="H231" s="110">
        <v>181.0</v>
      </c>
      <c r="I231" s="106">
        <f t="shared" si="1"/>
        <v>7.541666667</v>
      </c>
      <c r="J231" s="84" t="s">
        <v>205</v>
      </c>
      <c r="K231" s="107" t="s">
        <v>240</v>
      </c>
      <c r="L231" s="108">
        <f>iferror(if(and($M231=TRUE,$N231=TRUE),vlookup($E231,RH!$B$48:$S$70,month($G231)+6,false)*$H231,0),0)</f>
        <v>23427.32229</v>
      </c>
      <c r="M231" s="109" t="b">
        <f t="shared" si="2"/>
        <v>1</v>
      </c>
      <c r="N231" s="109" t="b">
        <v>1</v>
      </c>
      <c r="O231" s="69" t="s">
        <v>264</v>
      </c>
      <c r="P231" s="67"/>
    </row>
    <row r="232" hidden="1">
      <c r="A232" s="67"/>
      <c r="B232" s="84"/>
      <c r="C232" s="99" t="s">
        <v>99</v>
      </c>
      <c r="D232" s="84" t="s">
        <v>141</v>
      </c>
      <c r="E232" s="84" t="s">
        <v>247</v>
      </c>
      <c r="F232" s="87" t="s">
        <v>248</v>
      </c>
      <c r="G232" s="87">
        <v>45231.0</v>
      </c>
      <c r="H232" s="110">
        <v>43.0</v>
      </c>
      <c r="I232" s="106">
        <f t="shared" si="1"/>
        <v>1.791666667</v>
      </c>
      <c r="J232" s="84" t="s">
        <v>205</v>
      </c>
      <c r="K232" s="107" t="s">
        <v>276</v>
      </c>
      <c r="L232" s="108">
        <f>iferror(if(and($M232=TRUE,$N232=TRUE),vlookup($E232,RH!$B$48:$S$70,month($G232)+6,false)*$H232,0),0)</f>
        <v>3639.917727</v>
      </c>
      <c r="M232" s="109" t="b">
        <f t="shared" si="2"/>
        <v>1</v>
      </c>
      <c r="N232" s="109" t="b">
        <v>1</v>
      </c>
      <c r="O232" s="69" t="s">
        <v>225</v>
      </c>
      <c r="P232" s="67"/>
    </row>
    <row r="233" hidden="1">
      <c r="A233" s="67"/>
      <c r="B233" s="84"/>
      <c r="C233" s="99" t="s">
        <v>99</v>
      </c>
      <c r="D233" s="84" t="s">
        <v>141</v>
      </c>
      <c r="E233" s="84" t="s">
        <v>272</v>
      </c>
      <c r="F233" s="87" t="s">
        <v>273</v>
      </c>
      <c r="G233" s="87">
        <v>45231.0</v>
      </c>
      <c r="H233" s="110">
        <v>2.0</v>
      </c>
      <c r="I233" s="106">
        <f t="shared" si="1"/>
        <v>0.08333333333</v>
      </c>
      <c r="J233" s="84" t="s">
        <v>208</v>
      </c>
      <c r="K233" s="107" t="s">
        <v>224</v>
      </c>
      <c r="L233" s="108">
        <f>iferror(if(and($M233=TRUE,$N233=TRUE),vlookup($E233,RH!$B$48:$S$70,month($G233)+6,false)*$H233,0),0)</f>
        <v>0</v>
      </c>
      <c r="M233" s="109" t="b">
        <f t="shared" si="2"/>
        <v>0</v>
      </c>
      <c r="N233" s="109" t="b">
        <v>1</v>
      </c>
      <c r="O233" s="69" t="s">
        <v>225</v>
      </c>
      <c r="P233" s="67"/>
    </row>
    <row r="234" hidden="1">
      <c r="A234" s="67"/>
      <c r="B234" s="84"/>
      <c r="C234" s="99" t="s">
        <v>99</v>
      </c>
      <c r="D234" s="84" t="s">
        <v>146</v>
      </c>
      <c r="E234" s="84" t="s">
        <v>268</v>
      </c>
      <c r="F234" s="87" t="s">
        <v>269</v>
      </c>
      <c r="G234" s="87">
        <v>45231.0</v>
      </c>
      <c r="H234" s="110">
        <v>186.0</v>
      </c>
      <c r="I234" s="106">
        <f t="shared" si="1"/>
        <v>7.75</v>
      </c>
      <c r="J234" s="84" t="s">
        <v>206</v>
      </c>
      <c r="K234" s="107" t="s">
        <v>263</v>
      </c>
      <c r="L234" s="108">
        <f>iferror(if(and($M234=TRUE,$N234=TRUE),vlookup($E234,RH!$B$48:$S$70,month($G234)+6,false)*$H234,0),0)</f>
        <v>18686.24823</v>
      </c>
      <c r="M234" s="109" t="b">
        <f t="shared" si="2"/>
        <v>1</v>
      </c>
      <c r="N234" s="109" t="b">
        <v>1</v>
      </c>
      <c r="O234" s="69" t="s">
        <v>264</v>
      </c>
      <c r="P234" s="67"/>
    </row>
    <row r="235" hidden="1">
      <c r="A235" s="67"/>
      <c r="B235" s="84"/>
      <c r="C235" s="99" t="s">
        <v>99</v>
      </c>
      <c r="D235" s="84" t="s">
        <v>146</v>
      </c>
      <c r="E235" s="84" t="s">
        <v>256</v>
      </c>
      <c r="F235" s="87" t="s">
        <v>257</v>
      </c>
      <c r="G235" s="87">
        <v>45231.0</v>
      </c>
      <c r="H235" s="110">
        <v>21.0</v>
      </c>
      <c r="I235" s="106">
        <f t="shared" si="1"/>
        <v>0.875</v>
      </c>
      <c r="J235" s="99" t="s">
        <v>206</v>
      </c>
      <c r="K235" s="107" t="s">
        <v>161</v>
      </c>
      <c r="L235" s="108">
        <f>iferror(if(and($M235=TRUE,$N235=TRUE),vlookup($E235,RH!$B$48:$S$70,month($G235)+6,false)*$H235,0),0)</f>
        <v>277.4489049</v>
      </c>
      <c r="M235" s="109" t="b">
        <f t="shared" si="2"/>
        <v>1</v>
      </c>
      <c r="N235" s="109" t="b">
        <v>1</v>
      </c>
      <c r="O235" s="69" t="s">
        <v>225</v>
      </c>
      <c r="P235" s="67"/>
    </row>
    <row r="236" hidden="1">
      <c r="A236" s="67"/>
      <c r="B236" s="84"/>
      <c r="C236" s="99" t="s">
        <v>99</v>
      </c>
      <c r="D236" s="84" t="s">
        <v>150</v>
      </c>
      <c r="E236" s="84" t="s">
        <v>261</v>
      </c>
      <c r="F236" s="87" t="s">
        <v>262</v>
      </c>
      <c r="G236" s="87">
        <v>45231.0</v>
      </c>
      <c r="H236" s="110">
        <v>140.0</v>
      </c>
      <c r="I236" s="106">
        <f t="shared" si="1"/>
        <v>5.833333333</v>
      </c>
      <c r="J236" s="84" t="s">
        <v>206</v>
      </c>
      <c r="K236" s="107" t="s">
        <v>263</v>
      </c>
      <c r="L236" s="108">
        <f>iferror(if(and($M236=TRUE,$N236=TRUE),vlookup($E236,RH!$B$48:$S$70,month($G236)+6,false)*$H236,0),0)</f>
        <v>16946.77974</v>
      </c>
      <c r="M236" s="109" t="b">
        <f t="shared" si="2"/>
        <v>1</v>
      </c>
      <c r="N236" s="109" t="b">
        <v>1</v>
      </c>
      <c r="O236" s="69" t="s">
        <v>264</v>
      </c>
      <c r="P236" s="67"/>
    </row>
    <row r="237" hidden="1">
      <c r="A237" s="67"/>
      <c r="B237" s="84"/>
      <c r="C237" s="99" t="s">
        <v>99</v>
      </c>
      <c r="D237" s="84" t="s">
        <v>150</v>
      </c>
      <c r="E237" s="84" t="s">
        <v>270</v>
      </c>
      <c r="F237" s="87" t="s">
        <v>271</v>
      </c>
      <c r="G237" s="87">
        <v>45231.0</v>
      </c>
      <c r="H237" s="110">
        <v>199.0</v>
      </c>
      <c r="I237" s="106">
        <f t="shared" si="1"/>
        <v>8.291666667</v>
      </c>
      <c r="J237" s="84" t="s">
        <v>206</v>
      </c>
      <c r="K237" s="107" t="s">
        <v>267</v>
      </c>
      <c r="L237" s="108">
        <f>iferror(if(and($M237=TRUE,$N237=TRUE),vlookup($E237,RH!$B$48:$S$70,month($G237)+6,false)*$H237,0),0)</f>
        <v>21273.83498</v>
      </c>
      <c r="M237" s="109" t="b">
        <f t="shared" si="2"/>
        <v>1</v>
      </c>
      <c r="N237" s="109" t="b">
        <v>1</v>
      </c>
      <c r="O237" s="69" t="s">
        <v>264</v>
      </c>
      <c r="P237" s="67"/>
    </row>
    <row r="238" hidden="1">
      <c r="A238" s="67"/>
      <c r="B238" s="84"/>
      <c r="C238" s="99" t="s">
        <v>99</v>
      </c>
      <c r="D238" s="84" t="s">
        <v>150</v>
      </c>
      <c r="E238" s="84" t="s">
        <v>265</v>
      </c>
      <c r="F238" s="87" t="s">
        <v>266</v>
      </c>
      <c r="G238" s="87">
        <v>45231.0</v>
      </c>
      <c r="H238" s="110">
        <v>179.0</v>
      </c>
      <c r="I238" s="106">
        <f t="shared" si="1"/>
        <v>7.458333333</v>
      </c>
      <c r="J238" s="84" t="s">
        <v>205</v>
      </c>
      <c r="K238" s="107" t="s">
        <v>240</v>
      </c>
      <c r="L238" s="108">
        <f>iferror(if(and($M238=TRUE,$N238=TRUE),vlookup($E238,RH!$B$48:$S$70,month($G238)+6,false)*$H238,0),0)</f>
        <v>23056.61668</v>
      </c>
      <c r="M238" s="109" t="b">
        <f t="shared" si="2"/>
        <v>1</v>
      </c>
      <c r="N238" s="109" t="b">
        <v>1</v>
      </c>
      <c r="O238" s="69" t="s">
        <v>264</v>
      </c>
      <c r="P238" s="67"/>
    </row>
    <row r="239" hidden="1">
      <c r="A239" s="67"/>
      <c r="B239" s="84"/>
      <c r="C239" s="99" t="s">
        <v>99</v>
      </c>
      <c r="D239" s="84" t="s">
        <v>141</v>
      </c>
      <c r="E239" s="84" t="s">
        <v>247</v>
      </c>
      <c r="F239" s="87" t="s">
        <v>248</v>
      </c>
      <c r="G239" s="87">
        <v>45261.0</v>
      </c>
      <c r="H239" s="110">
        <v>7.0</v>
      </c>
      <c r="I239" s="106">
        <f t="shared" si="1"/>
        <v>0.2916666667</v>
      </c>
      <c r="J239" s="84" t="s">
        <v>205</v>
      </c>
      <c r="K239" s="107" t="s">
        <v>276</v>
      </c>
      <c r="L239" s="108">
        <f>iferror(if(and($M239=TRUE,$N239=TRUE),vlookup($E239,RH!$B$48:$S$70,month($G239)+6,false)*$H239,0),0)</f>
        <v>546.0512035</v>
      </c>
      <c r="M239" s="109" t="b">
        <f t="shared" si="2"/>
        <v>1</v>
      </c>
      <c r="N239" s="109" t="b">
        <v>1</v>
      </c>
      <c r="O239" s="69" t="s">
        <v>225</v>
      </c>
      <c r="P239" s="67"/>
    </row>
    <row r="240" hidden="1">
      <c r="A240" s="67"/>
      <c r="B240" s="84"/>
      <c r="C240" s="99" t="s">
        <v>99</v>
      </c>
      <c r="D240" s="84" t="s">
        <v>146</v>
      </c>
      <c r="E240" s="84" t="s">
        <v>268</v>
      </c>
      <c r="F240" s="87" t="s">
        <v>269</v>
      </c>
      <c r="G240" s="87">
        <v>45261.0</v>
      </c>
      <c r="H240" s="110">
        <v>55.0</v>
      </c>
      <c r="I240" s="106">
        <f t="shared" si="1"/>
        <v>2.291666667</v>
      </c>
      <c r="J240" s="84" t="s">
        <v>206</v>
      </c>
      <c r="K240" s="107" t="s">
        <v>263</v>
      </c>
      <c r="L240" s="108">
        <f>iferror(if(and($M240=TRUE,$N240=TRUE),vlookup($E240,RH!$B$48:$S$70,month($G240)+6,false)*$H240,0),0)</f>
        <v>5091.94936</v>
      </c>
      <c r="M240" s="109" t="b">
        <f t="shared" si="2"/>
        <v>1</v>
      </c>
      <c r="N240" s="109" t="b">
        <v>1</v>
      </c>
      <c r="O240" s="69" t="s">
        <v>264</v>
      </c>
      <c r="P240" s="67"/>
    </row>
    <row r="241" hidden="1">
      <c r="A241" s="67"/>
      <c r="B241" s="84"/>
      <c r="C241" s="99" t="s">
        <v>99</v>
      </c>
      <c r="D241" s="84" t="s">
        <v>146</v>
      </c>
      <c r="E241" s="84" t="s">
        <v>256</v>
      </c>
      <c r="F241" s="87" t="s">
        <v>257</v>
      </c>
      <c r="G241" s="87">
        <v>45261.0</v>
      </c>
      <c r="H241" s="110">
        <v>24.0</v>
      </c>
      <c r="I241" s="106">
        <f t="shared" si="1"/>
        <v>1</v>
      </c>
      <c r="J241" s="99" t="s">
        <v>206</v>
      </c>
      <c r="K241" s="107" t="s">
        <v>161</v>
      </c>
      <c r="L241" s="108">
        <f>iferror(if(and($M241=TRUE,$N241=TRUE),vlookup($E241,RH!$B$48:$S$70,month($G241)+6,false)*$H241,0),0)</f>
        <v>292.2046876</v>
      </c>
      <c r="M241" s="109" t="b">
        <f t="shared" si="2"/>
        <v>1</v>
      </c>
      <c r="N241" s="109" t="b">
        <v>1</v>
      </c>
      <c r="O241" s="69" t="s">
        <v>225</v>
      </c>
      <c r="P241" s="67"/>
    </row>
    <row r="242" hidden="1">
      <c r="A242" s="67"/>
      <c r="B242" s="84"/>
      <c r="C242" s="99" t="s">
        <v>99</v>
      </c>
      <c r="D242" s="84" t="s">
        <v>150</v>
      </c>
      <c r="E242" s="84" t="s">
        <v>261</v>
      </c>
      <c r="F242" s="87" t="s">
        <v>262</v>
      </c>
      <c r="G242" s="87">
        <v>45261.0</v>
      </c>
      <c r="H242" s="110">
        <v>172.0</v>
      </c>
      <c r="I242" s="106">
        <f t="shared" si="1"/>
        <v>7.166666667</v>
      </c>
      <c r="J242" s="84" t="s">
        <v>206</v>
      </c>
      <c r="K242" s="107" t="s">
        <v>263</v>
      </c>
      <c r="L242" s="108">
        <f>iferror(if(and($M242=TRUE,$N242=TRUE),vlookup($E242,RH!$B$48:$S$70,month($G242)+6,false)*$H242,0),0)</f>
        <v>19186.67914</v>
      </c>
      <c r="M242" s="109" t="b">
        <f t="shared" si="2"/>
        <v>1</v>
      </c>
      <c r="N242" s="109" t="b">
        <v>1</v>
      </c>
      <c r="O242" s="69" t="s">
        <v>264</v>
      </c>
      <c r="P242" s="67"/>
    </row>
    <row r="243" hidden="1">
      <c r="A243" s="67"/>
      <c r="B243" s="84"/>
      <c r="C243" s="99" t="s">
        <v>99</v>
      </c>
      <c r="D243" s="84" t="s">
        <v>150</v>
      </c>
      <c r="E243" s="84" t="s">
        <v>270</v>
      </c>
      <c r="F243" s="87" t="s">
        <v>271</v>
      </c>
      <c r="G243" s="87">
        <v>45261.0</v>
      </c>
      <c r="H243" s="110">
        <v>163.0</v>
      </c>
      <c r="I243" s="106">
        <f t="shared" si="1"/>
        <v>6.791666667</v>
      </c>
      <c r="J243" s="84" t="s">
        <v>206</v>
      </c>
      <c r="K243" s="107" t="s">
        <v>267</v>
      </c>
      <c r="L243" s="108">
        <f>iferror(if(and($M243=TRUE,$N243=TRUE),vlookup($E243,RH!$B$48:$S$70,month($G243)+6,false)*$H243,0),0)</f>
        <v>16058.03983</v>
      </c>
      <c r="M243" s="109" t="b">
        <f t="shared" si="2"/>
        <v>1</v>
      </c>
      <c r="N243" s="109" t="b">
        <v>1</v>
      </c>
      <c r="O243" s="69" t="s">
        <v>264</v>
      </c>
      <c r="P243" s="67"/>
    </row>
    <row r="244" hidden="1">
      <c r="A244" s="67"/>
      <c r="B244" s="84"/>
      <c r="C244" s="99" t="s">
        <v>99</v>
      </c>
      <c r="D244" s="84" t="s">
        <v>150</v>
      </c>
      <c r="E244" s="84" t="s">
        <v>265</v>
      </c>
      <c r="F244" s="87" t="s">
        <v>266</v>
      </c>
      <c r="G244" s="87">
        <v>45261.0</v>
      </c>
      <c r="H244" s="110">
        <v>111.0</v>
      </c>
      <c r="I244" s="106">
        <f t="shared" si="1"/>
        <v>4.625</v>
      </c>
      <c r="J244" s="84" t="s">
        <v>205</v>
      </c>
      <c r="K244" s="107" t="s">
        <v>240</v>
      </c>
      <c r="L244" s="108">
        <f>iferror(if(and($M244=TRUE,$N244=TRUE),vlookup($E244,RH!$B$48:$S$70,month($G244)+6,false)*$H244,0),0)</f>
        <v>13175.82276</v>
      </c>
      <c r="M244" s="109" t="b">
        <f t="shared" si="2"/>
        <v>1</v>
      </c>
      <c r="N244" s="109" t="b">
        <v>1</v>
      </c>
      <c r="O244" s="69" t="s">
        <v>264</v>
      </c>
      <c r="P244" s="67"/>
    </row>
    <row r="245" hidden="1">
      <c r="A245" s="67"/>
      <c r="B245" s="84"/>
      <c r="C245" s="99" t="s">
        <v>99</v>
      </c>
      <c r="D245" s="84" t="s">
        <v>136</v>
      </c>
      <c r="E245" s="84" t="s">
        <v>238</v>
      </c>
      <c r="F245" s="87" t="s">
        <v>239</v>
      </c>
      <c r="G245" s="87">
        <v>45261.0</v>
      </c>
      <c r="H245" s="110">
        <v>40.0</v>
      </c>
      <c r="I245" s="106">
        <f t="shared" si="1"/>
        <v>1.666666667</v>
      </c>
      <c r="J245" s="84" t="s">
        <v>205</v>
      </c>
      <c r="K245" s="107" t="s">
        <v>240</v>
      </c>
      <c r="L245" s="108">
        <f>iferror(if(and($M245=TRUE,$N245=TRUE),vlookup($E245,RH!$B$48:$S$70,month($G245)+6,false)*$H245,0),0)</f>
        <v>5415.995781</v>
      </c>
      <c r="M245" s="109" t="b">
        <f t="shared" si="2"/>
        <v>1</v>
      </c>
      <c r="N245" s="109" t="b">
        <v>1</v>
      </c>
      <c r="O245" s="69" t="s">
        <v>225</v>
      </c>
      <c r="P245" s="67"/>
    </row>
    <row r="246">
      <c r="A246" s="67"/>
      <c r="B246" s="84"/>
      <c r="C246" s="99" t="s">
        <v>99</v>
      </c>
      <c r="D246" s="84" t="s">
        <v>136</v>
      </c>
      <c r="E246" s="84" t="s">
        <v>222</v>
      </c>
      <c r="F246" s="87" t="s">
        <v>223</v>
      </c>
      <c r="G246" s="87">
        <v>45261.0</v>
      </c>
      <c r="H246" s="110">
        <v>40.0</v>
      </c>
      <c r="I246" s="106">
        <f t="shared" si="1"/>
        <v>1.666666667</v>
      </c>
      <c r="J246" s="84" t="s">
        <v>205</v>
      </c>
      <c r="K246" s="107" t="s">
        <v>240</v>
      </c>
      <c r="L246" s="108">
        <f>iferror(if(and($M246=TRUE,$N246=TRUE),vlookup($E246,RH!$B$48:$S$70,month($G246)+6,false)*$H246,0),0)</f>
        <v>5620.883322</v>
      </c>
      <c r="M246" s="109" t="b">
        <f t="shared" si="2"/>
        <v>1</v>
      </c>
      <c r="N246" s="109" t="b">
        <v>1</v>
      </c>
      <c r="O246" s="69" t="s">
        <v>225</v>
      </c>
      <c r="P246" s="67"/>
    </row>
    <row r="247" hidden="1">
      <c r="A247" s="67"/>
      <c r="B247" s="84"/>
      <c r="C247" s="111" t="s">
        <v>52</v>
      </c>
      <c r="D247" s="112" t="s">
        <v>277</v>
      </c>
      <c r="E247" s="112" t="s">
        <v>278</v>
      </c>
      <c r="F247" s="113"/>
      <c r="G247" s="113">
        <v>45021.0</v>
      </c>
      <c r="H247" s="114">
        <v>96.0</v>
      </c>
      <c r="I247" s="115">
        <f t="shared" si="1"/>
        <v>4</v>
      </c>
      <c r="J247" s="112" t="s">
        <v>205</v>
      </c>
      <c r="K247" s="116" t="s">
        <v>279</v>
      </c>
      <c r="L247" s="108">
        <f>iferror(if(and($M247=TRUE,$N247=TRUE),vlookup($E247,RH!$B$48:$S$70,month($G247)+6,false)*$H247,0),0)</f>
        <v>32085.5615</v>
      </c>
      <c r="M247" s="109" t="b">
        <f t="shared" si="2"/>
        <v>1</v>
      </c>
      <c r="N247" s="117" t="b">
        <v>1</v>
      </c>
      <c r="O247" s="112" t="s">
        <v>225</v>
      </c>
      <c r="P247" s="67"/>
    </row>
    <row r="248" hidden="1">
      <c r="A248" s="67"/>
      <c r="B248" s="84"/>
      <c r="C248" s="99" t="s">
        <v>52</v>
      </c>
      <c r="D248" s="84" t="s">
        <v>280</v>
      </c>
      <c r="E248" s="99" t="s">
        <v>281</v>
      </c>
      <c r="F248" s="87"/>
      <c r="G248" s="87">
        <v>45021.0</v>
      </c>
      <c r="H248" s="105">
        <v>44.0</v>
      </c>
      <c r="I248" s="106">
        <f t="shared" si="1"/>
        <v>1.833333333</v>
      </c>
      <c r="J248" s="99" t="s">
        <v>206</v>
      </c>
      <c r="K248" s="107" t="s">
        <v>282</v>
      </c>
      <c r="L248" s="108">
        <f>iferror(if(and($M248=TRUE,$N248=TRUE),vlookup($E248,RH!$B$48:$S$70,month($G248)+6,false)*$H248,0),0)</f>
        <v>2741.360667</v>
      </c>
      <c r="M248" s="109" t="b">
        <f t="shared" si="2"/>
        <v>1</v>
      </c>
      <c r="N248" s="109" t="b">
        <v>1</v>
      </c>
      <c r="O248" s="69" t="s">
        <v>225</v>
      </c>
      <c r="P248" s="67"/>
    </row>
    <row r="249" hidden="1">
      <c r="A249" s="67"/>
      <c r="B249" s="84"/>
      <c r="C249" s="99" t="s">
        <v>52</v>
      </c>
      <c r="D249" s="84" t="s">
        <v>280</v>
      </c>
      <c r="E249" s="99" t="s">
        <v>278</v>
      </c>
      <c r="F249" s="87"/>
      <c r="G249" s="87">
        <v>45021.0</v>
      </c>
      <c r="H249" s="105">
        <v>44.0</v>
      </c>
      <c r="I249" s="106">
        <f t="shared" si="1"/>
        <v>1.833333333</v>
      </c>
      <c r="J249" s="99" t="s">
        <v>206</v>
      </c>
      <c r="K249" s="107" t="s">
        <v>282</v>
      </c>
      <c r="L249" s="108">
        <f>iferror(if(and($M249=TRUE,$N249=TRUE),vlookup($E249,RH!$B$48:$S$70,month($G249)+6,false)*$H249,0),0)</f>
        <v>14705.88235</v>
      </c>
      <c r="M249" s="109" t="b">
        <f t="shared" si="2"/>
        <v>1</v>
      </c>
      <c r="N249" s="109" t="b">
        <v>1</v>
      </c>
      <c r="O249" s="69" t="s">
        <v>225</v>
      </c>
      <c r="P249" s="67"/>
    </row>
    <row r="250" hidden="1">
      <c r="A250" s="67"/>
      <c r="B250" s="84"/>
      <c r="C250" s="111" t="s">
        <v>52</v>
      </c>
      <c r="D250" s="112" t="s">
        <v>283</v>
      </c>
      <c r="E250" s="111" t="s">
        <v>278</v>
      </c>
      <c r="F250" s="113"/>
      <c r="G250" s="113">
        <v>45021.0</v>
      </c>
      <c r="H250" s="118">
        <v>108.0</v>
      </c>
      <c r="I250" s="115">
        <f t="shared" si="1"/>
        <v>4.5</v>
      </c>
      <c r="J250" s="111" t="s">
        <v>206</v>
      </c>
      <c r="K250" s="116" t="s">
        <v>284</v>
      </c>
      <c r="L250" s="108">
        <f>iferror(if(and($M250=TRUE,$N250=TRUE),vlookup($E250,RH!$B$48:$S$70,month($G250)+6,false)*$H250,0),0)</f>
        <v>36096.25668</v>
      </c>
      <c r="M250" s="109" t="b">
        <f t="shared" si="2"/>
        <v>1</v>
      </c>
      <c r="N250" s="117" t="b">
        <v>1</v>
      </c>
      <c r="O250" s="112" t="s">
        <v>225</v>
      </c>
      <c r="P250" s="67"/>
    </row>
    <row r="251" hidden="1">
      <c r="A251" s="67"/>
      <c r="B251" s="84"/>
      <c r="C251" s="99" t="s">
        <v>52</v>
      </c>
      <c r="D251" s="84" t="s">
        <v>283</v>
      </c>
      <c r="E251" s="99" t="s">
        <v>281</v>
      </c>
      <c r="F251" s="87"/>
      <c r="G251" s="87">
        <v>45021.0</v>
      </c>
      <c r="H251" s="105">
        <v>108.0</v>
      </c>
      <c r="I251" s="106">
        <f t="shared" si="1"/>
        <v>4.5</v>
      </c>
      <c r="J251" s="99" t="s">
        <v>206</v>
      </c>
      <c r="K251" s="107" t="s">
        <v>284</v>
      </c>
      <c r="L251" s="108">
        <f>iferror(if(and($M251=TRUE,$N251=TRUE),vlookup($E251,RH!$B$48:$S$70,month($G251)+6,false)*$H251,0),0)</f>
        <v>6728.794364</v>
      </c>
      <c r="M251" s="109" t="b">
        <f t="shared" si="2"/>
        <v>1</v>
      </c>
      <c r="N251" s="109" t="b">
        <v>1</v>
      </c>
      <c r="O251" s="69" t="s">
        <v>225</v>
      </c>
      <c r="P251" s="67"/>
    </row>
    <row r="252" hidden="1">
      <c r="A252" s="67"/>
      <c r="B252" s="84"/>
      <c r="C252" s="111" t="s">
        <v>52</v>
      </c>
      <c r="D252" s="112" t="s">
        <v>285</v>
      </c>
      <c r="E252" s="111" t="s">
        <v>278</v>
      </c>
      <c r="F252" s="113"/>
      <c r="G252" s="113">
        <v>45195.0</v>
      </c>
      <c r="H252" s="118">
        <v>44.0</v>
      </c>
      <c r="I252" s="115">
        <f t="shared" si="1"/>
        <v>1.833333333</v>
      </c>
      <c r="J252" s="112" t="s">
        <v>206</v>
      </c>
      <c r="K252" s="116" t="s">
        <v>286</v>
      </c>
      <c r="L252" s="108">
        <f>iferror(if(and($M252=TRUE,$N252=TRUE),vlookup($E252,RH!$B$48:$S$70,month($G252)+6,false)*$H252,0),0)</f>
        <v>5952.380952</v>
      </c>
      <c r="M252" s="109" t="b">
        <f t="shared" si="2"/>
        <v>1</v>
      </c>
      <c r="N252" s="117" t="b">
        <v>1</v>
      </c>
      <c r="O252" s="112" t="s">
        <v>225</v>
      </c>
      <c r="P252" s="67"/>
    </row>
    <row r="253" hidden="1">
      <c r="A253" s="67"/>
      <c r="B253" s="84"/>
      <c r="C253" s="99" t="s">
        <v>52</v>
      </c>
      <c r="D253" s="84" t="s">
        <v>285</v>
      </c>
      <c r="E253" s="99" t="s">
        <v>281</v>
      </c>
      <c r="F253" s="87"/>
      <c r="G253" s="87">
        <v>45195.0</v>
      </c>
      <c r="H253" s="105">
        <v>44.0</v>
      </c>
      <c r="I253" s="106">
        <f t="shared" si="1"/>
        <v>1.833333333</v>
      </c>
      <c r="J253" s="84" t="s">
        <v>206</v>
      </c>
      <c r="K253" s="107" t="s">
        <v>286</v>
      </c>
      <c r="L253" s="108">
        <f>iferror(if(and($M253=TRUE,$N253=TRUE),vlookup($E253,RH!$B$48:$S$70,month($G253)+6,false)*$H253,0),0)</f>
        <v>2420.377045</v>
      </c>
      <c r="M253" s="109" t="b">
        <f t="shared" si="2"/>
        <v>1</v>
      </c>
      <c r="N253" s="109" t="b">
        <v>1</v>
      </c>
      <c r="O253" s="69" t="s">
        <v>225</v>
      </c>
      <c r="P253" s="67"/>
    </row>
    <row r="254" hidden="1">
      <c r="A254" s="67"/>
      <c r="B254" s="84"/>
      <c r="C254" s="99" t="s">
        <v>53</v>
      </c>
      <c r="D254" s="84" t="s">
        <v>162</v>
      </c>
      <c r="E254" s="84" t="s">
        <v>281</v>
      </c>
      <c r="F254" s="87"/>
      <c r="G254" s="87">
        <v>45203.0</v>
      </c>
      <c r="H254" s="110">
        <v>88.0</v>
      </c>
      <c r="I254" s="106">
        <f t="shared" si="1"/>
        <v>3.666666667</v>
      </c>
      <c r="J254" s="84" t="s">
        <v>206</v>
      </c>
      <c r="K254" s="107" t="s">
        <v>287</v>
      </c>
      <c r="L254" s="108">
        <f>iferror(if(and($M254=TRUE,$N254=TRUE),vlookup($E254,RH!$B$48:$S$70,month($G254)+6,false)*$H254,0),0)</f>
        <v>5260.879101</v>
      </c>
      <c r="M254" s="109" t="b">
        <f t="shared" si="2"/>
        <v>1</v>
      </c>
      <c r="N254" s="109" t="b">
        <v>1</v>
      </c>
      <c r="O254" s="69" t="s">
        <v>225</v>
      </c>
      <c r="P254" s="67"/>
    </row>
    <row r="255" hidden="1">
      <c r="A255" s="67"/>
      <c r="B255" s="84"/>
      <c r="C255" s="99" t="s">
        <v>53</v>
      </c>
      <c r="D255" s="84" t="s">
        <v>162</v>
      </c>
      <c r="E255" s="84" t="s">
        <v>281</v>
      </c>
      <c r="F255" s="87"/>
      <c r="G255" s="87">
        <v>45260.0</v>
      </c>
      <c r="H255" s="110">
        <v>16.0</v>
      </c>
      <c r="I255" s="106">
        <f t="shared" si="1"/>
        <v>0.6666666667</v>
      </c>
      <c r="J255" s="99" t="s">
        <v>206</v>
      </c>
      <c r="K255" s="107" t="s">
        <v>288</v>
      </c>
      <c r="L255" s="108">
        <f>iferror(if(and($M255=TRUE,$N255=TRUE),vlookup($E255,RH!$B$48:$S$70,month($G255)+6,false)*$H255,0),0)</f>
        <v>951.9064933</v>
      </c>
      <c r="M255" s="109" t="b">
        <f t="shared" si="2"/>
        <v>1</v>
      </c>
      <c r="N255" s="109" t="b">
        <v>1</v>
      </c>
      <c r="O255" s="69" t="s">
        <v>225</v>
      </c>
      <c r="P255" s="67"/>
    </row>
    <row r="256" hidden="1">
      <c r="A256" s="67"/>
      <c r="B256" s="84"/>
      <c r="C256" s="99" t="s">
        <v>53</v>
      </c>
      <c r="D256" s="84" t="s">
        <v>162</v>
      </c>
      <c r="E256" s="84" t="s">
        <v>281</v>
      </c>
      <c r="F256" s="87"/>
      <c r="G256" s="87">
        <v>44951.0</v>
      </c>
      <c r="H256" s="110">
        <v>88.0</v>
      </c>
      <c r="I256" s="106">
        <f t="shared" si="1"/>
        <v>3.666666667</v>
      </c>
      <c r="J256" s="84" t="s">
        <v>206</v>
      </c>
      <c r="K256" s="107" t="s">
        <v>289</v>
      </c>
      <c r="L256" s="108">
        <f>iferror(if(and($M256=TRUE,$N256=TRUE),vlookup($E256,RH!$B$48:$S$70,month($G256)+6,false)*$H256,0),0)</f>
        <v>4058.572334</v>
      </c>
      <c r="M256" s="109" t="b">
        <f t="shared" si="2"/>
        <v>1</v>
      </c>
      <c r="N256" s="109" t="b">
        <v>1</v>
      </c>
      <c r="O256" s="69" t="s">
        <v>225</v>
      </c>
      <c r="P256" s="67"/>
    </row>
    <row r="257" hidden="1">
      <c r="A257" s="67"/>
      <c r="B257" s="84"/>
      <c r="C257" s="99" t="s">
        <v>53</v>
      </c>
      <c r="D257" s="84" t="s">
        <v>162</v>
      </c>
      <c r="E257" s="84" t="s">
        <v>281</v>
      </c>
      <c r="F257" s="87"/>
      <c r="G257" s="87">
        <v>45125.0</v>
      </c>
      <c r="H257" s="110">
        <v>88.0</v>
      </c>
      <c r="I257" s="106">
        <f t="shared" si="1"/>
        <v>3.666666667</v>
      </c>
      <c r="J257" s="99" t="s">
        <v>206</v>
      </c>
      <c r="K257" s="107" t="s">
        <v>290</v>
      </c>
      <c r="L257" s="108">
        <f>iferror(if(and($M257=TRUE,$N257=TRUE),vlookup($E257,RH!$B$48:$S$70,month($G257)+6,false)*$H257,0),0)</f>
        <v>4952.126773</v>
      </c>
      <c r="M257" s="109" t="b">
        <f t="shared" si="2"/>
        <v>1</v>
      </c>
      <c r="N257" s="109" t="b">
        <v>1</v>
      </c>
      <c r="O257" s="69" t="s">
        <v>225</v>
      </c>
      <c r="P257" s="67"/>
    </row>
    <row r="258" hidden="1">
      <c r="A258" s="67"/>
      <c r="B258" s="84"/>
      <c r="C258" s="99" t="s">
        <v>53</v>
      </c>
      <c r="D258" s="84" t="s">
        <v>291</v>
      </c>
      <c r="E258" s="84" t="s">
        <v>281</v>
      </c>
      <c r="F258" s="87"/>
      <c r="G258" s="87">
        <v>45111.0</v>
      </c>
      <c r="H258" s="110">
        <v>108.0</v>
      </c>
      <c r="I258" s="106">
        <f t="shared" si="1"/>
        <v>4.5</v>
      </c>
      <c r="J258" s="84" t="s">
        <v>206</v>
      </c>
      <c r="K258" s="107" t="s">
        <v>292</v>
      </c>
      <c r="L258" s="108">
        <f>iferror(if(and($M258=TRUE,$N258=TRUE),vlookup($E258,RH!$B$48:$S$70,month($G258)+6,false)*$H258,0),0)</f>
        <v>6077.610131</v>
      </c>
      <c r="M258" s="109" t="b">
        <f t="shared" si="2"/>
        <v>1</v>
      </c>
      <c r="N258" s="109" t="b">
        <v>1</v>
      </c>
      <c r="O258" s="69" t="s">
        <v>225</v>
      </c>
      <c r="P258" s="67"/>
    </row>
    <row r="259" hidden="1">
      <c r="A259" s="67"/>
      <c r="B259" s="84"/>
      <c r="C259" s="99" t="s">
        <v>53</v>
      </c>
      <c r="D259" s="84" t="s">
        <v>293</v>
      </c>
      <c r="E259" s="84" t="s">
        <v>281</v>
      </c>
      <c r="F259" s="87"/>
      <c r="G259" s="87">
        <v>45198.0</v>
      </c>
      <c r="H259" s="110">
        <v>176.0</v>
      </c>
      <c r="I259" s="106">
        <f t="shared" si="1"/>
        <v>7.333333333</v>
      </c>
      <c r="J259" s="84" t="s">
        <v>205</v>
      </c>
      <c r="K259" s="107" t="s">
        <v>294</v>
      </c>
      <c r="L259" s="108">
        <f>iferror(if(and($M259=TRUE,$N259=TRUE),vlookup($E259,RH!$B$48:$S$70,month($G259)+6,false)*$H259,0),0)</f>
        <v>9681.508181</v>
      </c>
      <c r="M259" s="109" t="b">
        <f t="shared" si="2"/>
        <v>1</v>
      </c>
      <c r="N259" s="109" t="b">
        <v>1</v>
      </c>
      <c r="O259" s="69" t="s">
        <v>225</v>
      </c>
      <c r="P259" s="67"/>
    </row>
    <row r="260" hidden="1">
      <c r="A260" s="67"/>
      <c r="B260" s="84"/>
      <c r="C260" s="99" t="s">
        <v>53</v>
      </c>
      <c r="D260" s="84" t="s">
        <v>167</v>
      </c>
      <c r="E260" s="84" t="s">
        <v>281</v>
      </c>
      <c r="F260" s="87"/>
      <c r="G260" s="87">
        <v>45217.0</v>
      </c>
      <c r="H260" s="110">
        <v>176.0</v>
      </c>
      <c r="I260" s="106">
        <f t="shared" si="1"/>
        <v>7.333333333</v>
      </c>
      <c r="J260" s="84" t="s">
        <v>206</v>
      </c>
      <c r="K260" s="107" t="s">
        <v>295</v>
      </c>
      <c r="L260" s="108">
        <f>iferror(if(and($M260=TRUE,$N260=TRUE),vlookup($E260,RH!$B$48:$S$70,month($G260)+6,false)*$H260,0),0)</f>
        <v>10521.7582</v>
      </c>
      <c r="M260" s="109" t="b">
        <f t="shared" si="2"/>
        <v>1</v>
      </c>
      <c r="N260" s="109" t="b">
        <v>1</v>
      </c>
      <c r="O260" s="69" t="s">
        <v>225</v>
      </c>
      <c r="P260" s="67"/>
    </row>
    <row r="261" hidden="1">
      <c r="A261" s="67"/>
      <c r="B261" s="84"/>
      <c r="C261" s="99" t="s">
        <v>53</v>
      </c>
      <c r="D261" s="84" t="s">
        <v>296</v>
      </c>
      <c r="E261" s="84" t="s">
        <v>281</v>
      </c>
      <c r="F261" s="87"/>
      <c r="G261" s="87">
        <v>45167.0</v>
      </c>
      <c r="H261" s="110">
        <v>88.0</v>
      </c>
      <c r="I261" s="106">
        <f t="shared" si="1"/>
        <v>3.666666667</v>
      </c>
      <c r="J261" s="84" t="s">
        <v>206</v>
      </c>
      <c r="K261" s="107" t="s">
        <v>297</v>
      </c>
      <c r="L261" s="108">
        <f>iferror(if(and($M261=TRUE,$N261=TRUE),vlookup($E261,RH!$B$48:$S$70,month($G261)+6,false)*$H261,0),0)</f>
        <v>4340.249655</v>
      </c>
      <c r="M261" s="109" t="b">
        <f t="shared" si="2"/>
        <v>1</v>
      </c>
      <c r="N261" s="109" t="b">
        <v>1</v>
      </c>
      <c r="O261" s="69" t="s">
        <v>225</v>
      </c>
      <c r="P261" s="67"/>
    </row>
    <row r="262" hidden="1">
      <c r="A262" s="67"/>
      <c r="B262" s="84"/>
      <c r="C262" s="99" t="s">
        <v>54</v>
      </c>
      <c r="D262" s="84" t="s">
        <v>173</v>
      </c>
      <c r="E262" s="84" t="s">
        <v>281</v>
      </c>
      <c r="F262" s="87"/>
      <c r="G262" s="87">
        <v>45024.0</v>
      </c>
      <c r="H262" s="110">
        <v>132.0</v>
      </c>
      <c r="I262" s="106">
        <f t="shared" si="1"/>
        <v>5.5</v>
      </c>
      <c r="J262" s="84" t="s">
        <v>206</v>
      </c>
      <c r="K262" s="107" t="s">
        <v>298</v>
      </c>
      <c r="L262" s="108">
        <f>iferror(if(and($M262=TRUE,$N262=TRUE),vlookup($E262,RH!$B$48:$S$70,month($G262)+6,false)*$H262,0),0)</f>
        <v>8224.082</v>
      </c>
      <c r="M262" s="109" t="b">
        <f t="shared" si="2"/>
        <v>1</v>
      </c>
      <c r="N262" s="109" t="b">
        <v>1</v>
      </c>
      <c r="O262" s="69" t="s">
        <v>225</v>
      </c>
      <c r="P262" s="67"/>
    </row>
    <row r="263" hidden="1">
      <c r="A263" s="67"/>
      <c r="B263" s="84"/>
      <c r="C263" s="99" t="s">
        <v>54</v>
      </c>
      <c r="D263" s="84" t="s">
        <v>184</v>
      </c>
      <c r="E263" s="84" t="s">
        <v>281</v>
      </c>
      <c r="F263" s="87"/>
      <c r="G263" s="87">
        <v>45148.0</v>
      </c>
      <c r="H263" s="110">
        <v>88.0</v>
      </c>
      <c r="I263" s="106">
        <f t="shared" si="1"/>
        <v>3.666666667</v>
      </c>
      <c r="J263" s="84" t="s">
        <v>206</v>
      </c>
      <c r="K263" s="107" t="s">
        <v>299</v>
      </c>
      <c r="L263" s="108">
        <f>iferror(if(and($M263=TRUE,$N263=TRUE),vlookup($E263,RH!$B$48:$S$70,month($G263)+6,false)*$H263,0),0)</f>
        <v>4340.249655</v>
      </c>
      <c r="M263" s="109" t="b">
        <f t="shared" si="2"/>
        <v>1</v>
      </c>
      <c r="N263" s="109" t="b">
        <v>1</v>
      </c>
      <c r="O263" s="69" t="s">
        <v>225</v>
      </c>
      <c r="P263" s="67"/>
    </row>
    <row r="264" hidden="1">
      <c r="A264" s="67"/>
      <c r="B264" s="84"/>
      <c r="C264" s="99" t="s">
        <v>54</v>
      </c>
      <c r="D264" s="84" t="s">
        <v>184</v>
      </c>
      <c r="E264" s="84" t="s">
        <v>281</v>
      </c>
      <c r="F264" s="87"/>
      <c r="G264" s="87">
        <v>45201.0</v>
      </c>
      <c r="H264" s="110">
        <v>88.0</v>
      </c>
      <c r="I264" s="106">
        <f t="shared" si="1"/>
        <v>3.666666667</v>
      </c>
      <c r="J264" s="84" t="s">
        <v>206</v>
      </c>
      <c r="K264" s="107" t="s">
        <v>300</v>
      </c>
      <c r="L264" s="108">
        <f>iferror(if(and($M264=TRUE,$N264=TRUE),vlookup($E264,RH!$B$48:$S$70,month($G264)+6,false)*$H264,0),0)</f>
        <v>5260.879101</v>
      </c>
      <c r="M264" s="109" t="b">
        <f t="shared" si="2"/>
        <v>1</v>
      </c>
      <c r="N264" s="109" t="b">
        <v>1</v>
      </c>
      <c r="O264" s="69" t="s">
        <v>225</v>
      </c>
      <c r="P264" s="67"/>
    </row>
    <row r="265" hidden="1">
      <c r="A265" s="67"/>
      <c r="B265" s="84"/>
      <c r="C265" s="99" t="s">
        <v>54</v>
      </c>
      <c r="D265" s="84" t="s">
        <v>184</v>
      </c>
      <c r="E265" s="99" t="s">
        <v>281</v>
      </c>
      <c r="F265" s="87"/>
      <c r="G265" s="87">
        <v>45244.0</v>
      </c>
      <c r="H265" s="105">
        <v>4.0</v>
      </c>
      <c r="I265" s="106">
        <f t="shared" si="1"/>
        <v>0.1666666667</v>
      </c>
      <c r="J265" s="99" t="s">
        <v>206</v>
      </c>
      <c r="K265" s="107" t="s">
        <v>301</v>
      </c>
      <c r="L265" s="108">
        <f>iferror(if(and($M265=TRUE,$N265=TRUE),vlookup($E265,RH!$B$48:$S$70,month($G265)+6,false)*$H265,0),0)</f>
        <v>237.9766233</v>
      </c>
      <c r="M265" s="109" t="b">
        <f t="shared" si="2"/>
        <v>1</v>
      </c>
      <c r="N265" s="109" t="b">
        <v>1</v>
      </c>
      <c r="O265" s="69" t="s">
        <v>225</v>
      </c>
      <c r="P265" s="67"/>
    </row>
    <row r="266" hidden="1">
      <c r="A266" s="67"/>
      <c r="B266" s="84"/>
      <c r="C266" s="99" t="s">
        <v>54</v>
      </c>
      <c r="D266" s="84" t="s">
        <v>184</v>
      </c>
      <c r="E266" s="99" t="s">
        <v>278</v>
      </c>
      <c r="F266" s="87"/>
      <c r="G266" s="87">
        <v>45244.0</v>
      </c>
      <c r="H266" s="105">
        <v>4.0</v>
      </c>
      <c r="I266" s="106">
        <f t="shared" si="1"/>
        <v>0.1666666667</v>
      </c>
      <c r="J266" s="99" t="s">
        <v>206</v>
      </c>
      <c r="K266" s="107" t="s">
        <v>301</v>
      </c>
      <c r="L266" s="108">
        <f>iferror(if(and($M266=TRUE,$N266=TRUE),vlookup($E266,RH!$B$48:$S$70,month($G266)+6,false)*$H266,0),0)</f>
        <v>568.1818182</v>
      </c>
      <c r="M266" s="109" t="b">
        <f t="shared" si="2"/>
        <v>1</v>
      </c>
      <c r="N266" s="109" t="b">
        <v>1</v>
      </c>
      <c r="O266" s="69" t="s">
        <v>225</v>
      </c>
      <c r="P266" s="67"/>
    </row>
    <row r="267" hidden="1">
      <c r="A267" s="67"/>
      <c r="B267" s="84"/>
      <c r="C267" s="99" t="s">
        <v>54</v>
      </c>
      <c r="D267" s="84" t="s">
        <v>184</v>
      </c>
      <c r="E267" s="99" t="s">
        <v>281</v>
      </c>
      <c r="F267" s="87"/>
      <c r="G267" s="87">
        <v>45268.0</v>
      </c>
      <c r="H267" s="105">
        <v>5.33</v>
      </c>
      <c r="I267" s="106">
        <f t="shared" si="1"/>
        <v>0.2220833333</v>
      </c>
      <c r="J267" s="99" t="s">
        <v>206</v>
      </c>
      <c r="K267" s="107" t="s">
        <v>302</v>
      </c>
      <c r="L267" s="108">
        <f>iferror(if(and($M267=TRUE,$N267=TRUE),vlookup($E267,RH!$B$48:$S$70,month($G267)+6,false)*$H267,0),0)</f>
        <v>292.2225542</v>
      </c>
      <c r="M267" s="109" t="b">
        <f t="shared" si="2"/>
        <v>1</v>
      </c>
      <c r="N267" s="109" t="b">
        <v>1</v>
      </c>
      <c r="O267" s="69" t="s">
        <v>225</v>
      </c>
      <c r="P267" s="67"/>
    </row>
    <row r="268" hidden="1">
      <c r="A268" s="67"/>
      <c r="B268" s="84"/>
      <c r="C268" s="99" t="s">
        <v>54</v>
      </c>
      <c r="D268" s="84" t="s">
        <v>184</v>
      </c>
      <c r="E268" s="99" t="s">
        <v>278</v>
      </c>
      <c r="F268" s="87"/>
      <c r="G268" s="87">
        <v>45268.0</v>
      </c>
      <c r="H268" s="105">
        <v>5.33</v>
      </c>
      <c r="I268" s="106">
        <f t="shared" si="1"/>
        <v>0.2220833333</v>
      </c>
      <c r="J268" s="99" t="s">
        <v>206</v>
      </c>
      <c r="K268" s="107" t="s">
        <v>302</v>
      </c>
      <c r="L268" s="108">
        <f>iferror(if(and($M268=TRUE,$N268=TRUE),vlookup($E268,RH!$B$48:$S$70,month($G268)+6,false)*$H268,0),0)</f>
        <v>688.2747934</v>
      </c>
      <c r="M268" s="109" t="b">
        <f t="shared" si="2"/>
        <v>1</v>
      </c>
      <c r="N268" s="109" t="b">
        <v>1</v>
      </c>
      <c r="O268" s="69" t="s">
        <v>225</v>
      </c>
      <c r="P268" s="67"/>
    </row>
    <row r="269" hidden="1">
      <c r="A269" s="67"/>
      <c r="B269" s="84"/>
      <c r="C269" s="99" t="s">
        <v>54</v>
      </c>
      <c r="D269" s="84" t="s">
        <v>184</v>
      </c>
      <c r="E269" s="99" t="s">
        <v>303</v>
      </c>
      <c r="F269" s="119"/>
      <c r="G269" s="87">
        <v>45268.0</v>
      </c>
      <c r="H269" s="105">
        <v>5.33</v>
      </c>
      <c r="I269" s="106">
        <f t="shared" si="1"/>
        <v>0.2220833333</v>
      </c>
      <c r="J269" s="99" t="s">
        <v>206</v>
      </c>
      <c r="K269" s="107" t="s">
        <v>302</v>
      </c>
      <c r="L269" s="108">
        <f>iferror(if(and($M269=TRUE,$N269=TRUE),vlookup($E269,RH!$B$48:$S$70,month($G269)+6,false)*$H269,0),0)</f>
        <v>0</v>
      </c>
      <c r="M269" s="109" t="b">
        <f t="shared" si="2"/>
        <v>1</v>
      </c>
      <c r="N269" s="109" t="b">
        <v>1</v>
      </c>
      <c r="O269" s="69" t="s">
        <v>225</v>
      </c>
      <c r="P269" s="67"/>
    </row>
    <row r="270" hidden="1">
      <c r="A270" s="67"/>
      <c r="B270" s="84"/>
      <c r="C270" s="99" t="s">
        <v>54</v>
      </c>
      <c r="D270" s="84" t="s">
        <v>184</v>
      </c>
      <c r="E270" s="99" t="s">
        <v>281</v>
      </c>
      <c r="F270" s="119"/>
      <c r="G270" s="87">
        <v>45275.0</v>
      </c>
      <c r="H270" s="105">
        <v>5.33</v>
      </c>
      <c r="I270" s="106">
        <f t="shared" si="1"/>
        <v>0.2220833333</v>
      </c>
      <c r="J270" s="99" t="s">
        <v>206</v>
      </c>
      <c r="K270" s="107" t="s">
        <v>304</v>
      </c>
      <c r="L270" s="108">
        <f>iferror(if(and($M270=TRUE,$N270=TRUE),vlookup($E270,RH!$B$48:$S$70,month($G270)+6,false)*$H270,0),0)</f>
        <v>292.2225542</v>
      </c>
      <c r="M270" s="109" t="b">
        <f t="shared" si="2"/>
        <v>1</v>
      </c>
      <c r="N270" s="109" t="b">
        <v>1</v>
      </c>
      <c r="O270" s="69" t="s">
        <v>225</v>
      </c>
      <c r="P270" s="67"/>
    </row>
    <row r="271" hidden="1">
      <c r="A271" s="67"/>
      <c r="B271" s="84"/>
      <c r="C271" s="111" t="s">
        <v>54</v>
      </c>
      <c r="D271" s="112" t="s">
        <v>184</v>
      </c>
      <c r="E271" s="111" t="s">
        <v>278</v>
      </c>
      <c r="F271" s="113"/>
      <c r="G271" s="113">
        <v>45275.0</v>
      </c>
      <c r="H271" s="118">
        <v>5.33</v>
      </c>
      <c r="I271" s="115">
        <f t="shared" si="1"/>
        <v>0.2220833333</v>
      </c>
      <c r="J271" s="111" t="s">
        <v>206</v>
      </c>
      <c r="K271" s="116" t="s">
        <v>304</v>
      </c>
      <c r="L271" s="108">
        <f>iferror(if(and($M271=TRUE,$N271=TRUE),vlookup($E271,RH!$B$48:$S$70,month($G271)+6,false)*$H271,0),0)</f>
        <v>688.2747934</v>
      </c>
      <c r="M271" s="109" t="b">
        <f t="shared" si="2"/>
        <v>1</v>
      </c>
      <c r="N271" s="117" t="b">
        <v>1</v>
      </c>
      <c r="O271" s="112" t="s">
        <v>225</v>
      </c>
      <c r="P271" s="67"/>
    </row>
    <row r="272" hidden="1">
      <c r="A272" s="67"/>
      <c r="B272" s="84"/>
      <c r="C272" s="99" t="s">
        <v>54</v>
      </c>
      <c r="D272" s="84" t="s">
        <v>184</v>
      </c>
      <c r="E272" s="99" t="s">
        <v>303</v>
      </c>
      <c r="F272" s="87"/>
      <c r="G272" s="87">
        <v>45275.0</v>
      </c>
      <c r="H272" s="105">
        <v>5.33</v>
      </c>
      <c r="I272" s="106">
        <f t="shared" si="1"/>
        <v>0.2220833333</v>
      </c>
      <c r="J272" s="99" t="s">
        <v>206</v>
      </c>
      <c r="K272" s="107" t="s">
        <v>304</v>
      </c>
      <c r="L272" s="108">
        <f>iferror(if(and($M272=TRUE,$N272=TRUE),vlookup($E272,RH!$B$48:$S$70,month($G272)+6,false)*$H272,0),0)</f>
        <v>0</v>
      </c>
      <c r="M272" s="109" t="b">
        <f t="shared" si="2"/>
        <v>1</v>
      </c>
      <c r="N272" s="109" t="b">
        <v>1</v>
      </c>
      <c r="O272" s="69" t="s">
        <v>225</v>
      </c>
      <c r="P272" s="67"/>
    </row>
    <row r="273" hidden="1">
      <c r="A273" s="67"/>
      <c r="B273" s="84"/>
      <c r="C273" s="99" t="s">
        <v>54</v>
      </c>
      <c r="D273" s="84" t="s">
        <v>305</v>
      </c>
      <c r="E273" s="84" t="s">
        <v>303</v>
      </c>
      <c r="F273" s="87"/>
      <c r="G273" s="87">
        <v>45268.0</v>
      </c>
      <c r="H273" s="110">
        <v>44.0</v>
      </c>
      <c r="I273" s="106">
        <f t="shared" si="1"/>
        <v>1.833333333</v>
      </c>
      <c r="J273" s="84" t="s">
        <v>205</v>
      </c>
      <c r="K273" s="107" t="s">
        <v>306</v>
      </c>
      <c r="L273" s="108">
        <f>iferror(if(and($M273=TRUE,$N273=TRUE),vlookup($E273,RH!$B$48:$S$70,month($G273)+6,false)*$H273,0),0)</f>
        <v>0</v>
      </c>
      <c r="M273" s="109" t="b">
        <f t="shared" si="2"/>
        <v>1</v>
      </c>
      <c r="N273" s="109" t="b">
        <v>1</v>
      </c>
      <c r="O273" s="69" t="s">
        <v>225</v>
      </c>
      <c r="P273" s="67"/>
    </row>
  </sheetData>
  <autoFilter ref="$B$11:$P$273">
    <filterColumn colId="3">
      <filters>
        <filter val="Alberto Reuters"/>
        <filter val="Eduardo Flohr"/>
      </filters>
    </filterColumn>
    <filterColumn colId="11">
      <filters>
        <filter val="TRUE"/>
      </filters>
    </filterColumn>
  </autoFilter>
  <mergeCells count="1">
    <mergeCell ref="B5:D6"/>
  </mergeCells>
  <dataValidations>
    <dataValidation type="list" allowBlank="1" sqref="E247:E253">
      <formula1>'P&amp;D_1'!$E$28:$E$34</formula1>
    </dataValidation>
    <dataValidation type="list" allowBlank="1" sqref="J12:J273">
      <formula1>$J$6:$J$9</formula1>
    </dataValidation>
    <dataValidation type="list" allowBlank="1" sqref="E254:E261">
      <formula1>'P&amp;D_2'!$E$28:$E$29</formula1>
    </dataValidation>
    <dataValidation type="list" allowBlank="1" sqref="E12:E13 E15:E19 E21:E28 E30:E31 E33:E38 E40:E57 E59:E69 E71:E82 E84:E85 E87:E97 E99:E107 E109:E124 E126:E131 E133:E135 E137:E143 E145:E151 E154 E161 E169 E172 E177 E181 E186 E191 E194 E196 E201 E207 E214 E219 E245">
      <formula1>IRIS!$E$28:$E$41</formula1>
    </dataValidation>
    <dataValidation type="list" allowBlank="1" sqref="E262:E273">
      <formula1>'P&amp;D_3'!$E$28:$E$30</formula1>
    </dataValidation>
    <dataValidation type="list" allowBlank="1" sqref="E14 E20 E29 E32 E39 E58 E70 E83 E86 E98 E108 E125 E132 E136 E144 E152:E153 E155:E160 E162:E168 E170:E171 E173:E176 E178:E180 E182:E185 E187:E190 E192:E193 E195 E197:E200 E202:E206 E208:E213 E215:E218 E220:E244 E246">
      <formula1>NOTIFY!$E$28:$E$39</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6C60"/>
    <outlinePr summaryBelow="0" summaryRight="0"/>
  </sheetPr>
  <sheetViews>
    <sheetView showGridLines="0" workbookViewId="0"/>
  </sheetViews>
  <sheetFormatPr customHeight="1" defaultColWidth="12.63" defaultRowHeight="15.75"/>
  <cols>
    <col customWidth="1" min="1" max="1" width="2.63"/>
    <col customWidth="1" min="2" max="2" width="17.0"/>
    <col customWidth="1" min="3" max="3" width="12.63"/>
    <col customWidth="1" min="4" max="4" width="8.13"/>
    <col customWidth="1" min="5" max="5" width="18.88"/>
    <col customWidth="1" min="6" max="6" width="17.38"/>
    <col customWidth="1" min="7" max="7" width="10.38"/>
    <col customWidth="1" min="8" max="19" width="9.13"/>
    <col customWidth="1" min="20" max="25" width="11.38"/>
  </cols>
  <sheetData>
    <row r="1" ht="11.25" customHeight="1">
      <c r="A1" s="67"/>
      <c r="B1" s="67"/>
      <c r="C1" s="67"/>
      <c r="D1" s="67"/>
      <c r="E1" s="124"/>
      <c r="F1" s="124"/>
      <c r="G1" s="67"/>
      <c r="H1" s="67"/>
      <c r="I1" s="67"/>
      <c r="J1" s="67"/>
      <c r="K1" s="67"/>
      <c r="L1" s="67"/>
      <c r="M1" s="67"/>
      <c r="N1" s="67"/>
      <c r="O1" s="67"/>
      <c r="P1" s="67"/>
      <c r="Q1" s="67"/>
      <c r="R1" s="67"/>
      <c r="S1" s="67"/>
      <c r="T1" s="67"/>
      <c r="U1" s="67"/>
      <c r="V1" s="67"/>
      <c r="W1" s="67"/>
      <c r="X1" s="67"/>
      <c r="Y1" s="67"/>
    </row>
    <row r="2">
      <c r="A2" s="67"/>
      <c r="B2" s="70" t="s">
        <v>56</v>
      </c>
      <c r="C2" s="71"/>
      <c r="D2" s="71"/>
      <c r="E2" s="125"/>
      <c r="F2" s="126"/>
      <c r="G2" s="71"/>
      <c r="H2" s="67"/>
      <c r="I2" s="67"/>
      <c r="J2" s="67"/>
      <c r="K2" s="67"/>
      <c r="L2" s="67"/>
      <c r="M2" s="67"/>
      <c r="N2" s="67"/>
      <c r="O2" s="67"/>
      <c r="P2" s="67"/>
      <c r="Q2" s="67"/>
      <c r="R2" s="67"/>
      <c r="S2" s="67"/>
      <c r="T2" s="67"/>
      <c r="U2" s="67"/>
      <c r="V2" s="67"/>
      <c r="W2" s="67"/>
      <c r="X2" s="67"/>
      <c r="Y2" s="67"/>
    </row>
    <row r="3">
      <c r="A3" s="67"/>
      <c r="B3" s="79" t="s">
        <v>309</v>
      </c>
      <c r="C3" s="71"/>
      <c r="D3" s="71"/>
      <c r="E3" s="125"/>
      <c r="F3" s="126"/>
      <c r="G3" s="71"/>
      <c r="H3" s="67"/>
      <c r="I3" s="67"/>
      <c r="J3" s="67"/>
      <c r="K3" s="67"/>
      <c r="L3" s="67"/>
      <c r="M3" s="67"/>
      <c r="N3" s="67"/>
      <c r="O3" s="67"/>
      <c r="P3" s="67"/>
      <c r="Q3" s="67"/>
      <c r="R3" s="67"/>
      <c r="S3" s="67"/>
      <c r="T3" s="67"/>
      <c r="U3" s="67"/>
      <c r="V3" s="67"/>
      <c r="W3" s="67"/>
      <c r="X3" s="67"/>
      <c r="Y3" s="67"/>
    </row>
    <row r="4">
      <c r="A4" s="67"/>
      <c r="B4" s="96" t="s">
        <v>310</v>
      </c>
      <c r="C4" s="71"/>
      <c r="D4" s="71"/>
      <c r="E4" s="125"/>
      <c r="F4" s="125"/>
      <c r="G4" s="71"/>
      <c r="H4" s="67"/>
      <c r="I4" s="67"/>
      <c r="J4" s="67"/>
      <c r="K4" s="67"/>
      <c r="L4" s="67"/>
      <c r="M4" s="67"/>
      <c r="N4" s="67"/>
      <c r="O4" s="67"/>
      <c r="P4" s="67"/>
      <c r="Q4" s="67"/>
      <c r="R4" s="67"/>
      <c r="S4" s="67"/>
      <c r="T4" s="67"/>
      <c r="U4" s="67"/>
      <c r="V4" s="67"/>
      <c r="W4" s="67"/>
      <c r="X4" s="67"/>
      <c r="Y4" s="67"/>
    </row>
    <row r="5">
      <c r="A5" s="67"/>
      <c r="B5" s="127" t="s">
        <v>311</v>
      </c>
      <c r="E5" s="128"/>
      <c r="F5" s="128"/>
      <c r="G5" s="127"/>
      <c r="H5" s="67"/>
      <c r="I5" s="67"/>
      <c r="J5" s="67"/>
      <c r="K5" s="67"/>
      <c r="L5" s="67"/>
      <c r="M5" s="67"/>
      <c r="N5" s="67"/>
      <c r="O5" s="67"/>
      <c r="P5" s="67"/>
      <c r="Q5" s="67"/>
      <c r="R5" s="67"/>
      <c r="S5" s="67"/>
      <c r="T5" s="67"/>
      <c r="U5" s="67"/>
      <c r="V5" s="67"/>
      <c r="W5" s="67"/>
      <c r="X5" s="67"/>
      <c r="Y5" s="67"/>
    </row>
    <row r="6">
      <c r="A6" s="67"/>
      <c r="E6" s="128"/>
      <c r="F6" s="128"/>
      <c r="G6" s="127"/>
      <c r="H6" s="67"/>
      <c r="I6" s="67"/>
      <c r="J6" s="67"/>
      <c r="K6" s="67"/>
      <c r="L6" s="67"/>
      <c r="M6" s="67"/>
      <c r="N6" s="67"/>
      <c r="O6" s="67"/>
      <c r="P6" s="67"/>
      <c r="Q6" s="67"/>
      <c r="R6" s="67"/>
      <c r="S6" s="67"/>
      <c r="T6" s="67"/>
      <c r="U6" s="67"/>
      <c r="V6" s="67"/>
      <c r="W6" s="67"/>
      <c r="X6" s="67"/>
      <c r="Y6" s="67"/>
    </row>
    <row r="7">
      <c r="A7" s="67"/>
      <c r="B7" s="71"/>
      <c r="C7" s="71"/>
      <c r="D7" s="71"/>
      <c r="E7" s="125"/>
      <c r="F7" s="125"/>
      <c r="G7" s="71"/>
      <c r="H7" s="67"/>
      <c r="I7" s="67"/>
      <c r="J7" s="67"/>
      <c r="K7" s="67"/>
      <c r="L7" s="67"/>
      <c r="M7" s="67"/>
      <c r="N7" s="67"/>
      <c r="O7" s="67"/>
      <c r="P7" s="67"/>
      <c r="Q7" s="67"/>
      <c r="R7" s="67"/>
      <c r="S7" s="67"/>
      <c r="T7" s="67"/>
      <c r="U7" s="67"/>
      <c r="V7" s="67"/>
      <c r="W7" s="67"/>
      <c r="X7" s="67"/>
      <c r="Y7" s="67"/>
    </row>
    <row r="8">
      <c r="A8" s="67"/>
      <c r="B8" s="70" t="s">
        <v>60</v>
      </c>
      <c r="C8" s="71"/>
      <c r="D8" s="71"/>
      <c r="E8" s="125"/>
      <c r="F8" s="125"/>
      <c r="G8" s="71"/>
      <c r="H8" s="67"/>
      <c r="I8" s="67"/>
      <c r="J8" s="67"/>
      <c r="K8" s="67"/>
      <c r="L8" s="67"/>
      <c r="M8" s="67"/>
      <c r="N8" s="67"/>
      <c r="O8" s="67"/>
      <c r="P8" s="67"/>
      <c r="Q8" s="67"/>
      <c r="R8" s="67"/>
      <c r="S8" s="67"/>
      <c r="T8" s="67"/>
      <c r="U8" s="67"/>
      <c r="V8" s="67"/>
      <c r="W8" s="67"/>
      <c r="X8" s="67"/>
      <c r="Y8" s="67"/>
    </row>
    <row r="9">
      <c r="A9" s="67"/>
      <c r="B9" s="79" t="s">
        <v>312</v>
      </c>
      <c r="C9" s="71"/>
      <c r="D9" s="71"/>
      <c r="E9" s="125"/>
      <c r="F9" s="125"/>
      <c r="G9" s="71"/>
      <c r="H9" s="67"/>
      <c r="I9" s="67"/>
      <c r="J9" s="67"/>
      <c r="K9" s="67"/>
      <c r="L9" s="67"/>
      <c r="M9" s="67"/>
      <c r="N9" s="67"/>
      <c r="O9" s="67"/>
      <c r="P9" s="67"/>
      <c r="Q9" s="67"/>
      <c r="R9" s="67"/>
      <c r="S9" s="67"/>
      <c r="T9" s="67"/>
      <c r="U9" s="67"/>
      <c r="V9" s="67"/>
      <c r="W9" s="67"/>
      <c r="X9" s="67"/>
      <c r="Y9" s="67"/>
    </row>
    <row r="10">
      <c r="A10" s="67"/>
      <c r="B10" s="67"/>
      <c r="C10" s="67"/>
      <c r="D10" s="67"/>
      <c r="E10" s="124"/>
      <c r="F10" s="124"/>
      <c r="G10" s="67"/>
      <c r="H10" s="67"/>
      <c r="I10" s="67"/>
      <c r="J10" s="67"/>
      <c r="K10" s="67"/>
      <c r="L10" s="67"/>
      <c r="M10" s="67"/>
      <c r="N10" s="67"/>
      <c r="O10" s="67"/>
      <c r="P10" s="67"/>
      <c r="Q10" s="67"/>
      <c r="R10" s="67"/>
      <c r="S10" s="67"/>
      <c r="T10" s="129"/>
      <c r="U10" s="130"/>
      <c r="V10" s="67"/>
      <c r="W10" s="67"/>
      <c r="X10" s="67"/>
      <c r="Y10" s="67"/>
    </row>
    <row r="11">
      <c r="A11" s="67"/>
      <c r="B11" s="131" t="s">
        <v>313</v>
      </c>
      <c r="C11" s="67"/>
      <c r="D11" s="67"/>
      <c r="E11" s="124"/>
      <c r="F11" s="124"/>
      <c r="G11" s="67"/>
      <c r="H11" s="67"/>
      <c r="I11" s="67"/>
      <c r="J11" s="67"/>
      <c r="K11" s="67"/>
      <c r="L11" s="67"/>
      <c r="M11" s="67"/>
      <c r="N11" s="67"/>
      <c r="O11" s="67"/>
      <c r="P11" s="67"/>
      <c r="Q11" s="67"/>
      <c r="R11" s="67"/>
      <c r="S11" s="67"/>
      <c r="T11" s="129">
        <f>(U11/12)*24</f>
        <v>183.3333333</v>
      </c>
      <c r="U11" s="130">
        <f>(SUM(H47:S47)*8.8)/24</f>
        <v>91.66666667</v>
      </c>
      <c r="V11" s="67"/>
      <c r="W11" s="67"/>
      <c r="X11" s="67"/>
      <c r="Y11" s="67"/>
    </row>
    <row r="12">
      <c r="A12" s="67"/>
      <c r="B12" s="80" t="s">
        <v>314</v>
      </c>
      <c r="C12" s="80" t="s">
        <v>211</v>
      </c>
      <c r="D12" s="80" t="s">
        <v>315</v>
      </c>
      <c r="E12" s="132" t="s">
        <v>316</v>
      </c>
      <c r="F12" s="132" t="s">
        <v>317</v>
      </c>
      <c r="G12" s="80" t="s">
        <v>318</v>
      </c>
      <c r="H12" s="133" t="s">
        <v>319</v>
      </c>
      <c r="I12" s="133" t="s">
        <v>320</v>
      </c>
      <c r="J12" s="133" t="s">
        <v>321</v>
      </c>
      <c r="K12" s="133" t="s">
        <v>322</v>
      </c>
      <c r="L12" s="133" t="s">
        <v>323</v>
      </c>
      <c r="M12" s="133" t="s">
        <v>324</v>
      </c>
      <c r="N12" s="133" t="s">
        <v>325</v>
      </c>
      <c r="O12" s="133" t="s">
        <v>326</v>
      </c>
      <c r="P12" s="133" t="s">
        <v>327</v>
      </c>
      <c r="Q12" s="133" t="s">
        <v>328</v>
      </c>
      <c r="R12" s="133" t="s">
        <v>329</v>
      </c>
      <c r="S12" s="133" t="s">
        <v>330</v>
      </c>
      <c r="T12" s="133" t="s">
        <v>331</v>
      </c>
      <c r="U12" s="133" t="s">
        <v>332</v>
      </c>
      <c r="V12" s="133" t="s">
        <v>214</v>
      </c>
      <c r="W12" s="133" t="s">
        <v>333</v>
      </c>
      <c r="X12" s="134"/>
      <c r="Y12" s="134"/>
    </row>
    <row r="13" ht="11.25" customHeight="1">
      <c r="A13" s="69"/>
      <c r="B13" s="99" t="s">
        <v>272</v>
      </c>
      <c r="C13" s="135" t="s">
        <v>273</v>
      </c>
      <c r="D13" s="135"/>
      <c r="E13" s="136" t="s">
        <v>334</v>
      </c>
      <c r="F13" s="137" t="s">
        <v>43</v>
      </c>
      <c r="G13" s="135"/>
      <c r="H13" s="138">
        <v>14837.22</v>
      </c>
      <c r="I13" s="138">
        <v>14837.22</v>
      </c>
      <c r="J13" s="138">
        <v>14837.22</v>
      </c>
      <c r="K13" s="138">
        <v>14837.22</v>
      </c>
      <c r="L13" s="138">
        <v>14837.22</v>
      </c>
      <c r="M13" s="138">
        <v>14837.22</v>
      </c>
      <c r="N13" s="138">
        <v>14837.22</v>
      </c>
      <c r="O13" s="138">
        <v>14837.22</v>
      </c>
      <c r="P13" s="138">
        <v>14837.22</v>
      </c>
      <c r="Q13" s="138">
        <v>24932.42</v>
      </c>
      <c r="R13" s="138">
        <v>26213.95</v>
      </c>
      <c r="S13" s="138">
        <v>26213.95</v>
      </c>
      <c r="T13" s="130">
        <f>IFERROR(__xludf.DUMMYFUNCTION("IFERROR(if(W13=true, SUM(FILTER('Resumo - TIMESHEETS'!$H:$H,'Resumo - TIMESHEETS'!M:M = TRUE,'Resumo - TIMESHEETS'!N:N = TRUE,'Resumo - TIMESHEETS'!E:E = B13))/24,0),0)"),0.0)</f>
        <v>0</v>
      </c>
      <c r="U13" s="139">
        <f t="shared" ref="U13:U34" si="1">T13/$U$11</f>
        <v>0</v>
      </c>
      <c r="V13" s="108" t="str">
        <f t="shared" ref="V13:V34" si="2">IF(U13&lt;80%,"Parcial","Exclusivo")</f>
        <v>Parcial</v>
      </c>
      <c r="W13" s="140" t="b">
        <v>1</v>
      </c>
      <c r="X13" s="141"/>
      <c r="Y13" s="140"/>
    </row>
    <row r="14" ht="11.25" customHeight="1">
      <c r="A14" s="69"/>
      <c r="B14" s="99" t="s">
        <v>220</v>
      </c>
      <c r="C14" s="135" t="s">
        <v>335</v>
      </c>
      <c r="D14" s="135"/>
      <c r="E14" s="136" t="s">
        <v>336</v>
      </c>
      <c r="F14" s="137" t="s">
        <v>41</v>
      </c>
      <c r="G14" s="135"/>
      <c r="H14" s="138">
        <v>6923.08</v>
      </c>
      <c r="I14" s="138">
        <v>6923.08</v>
      </c>
      <c r="J14" s="138">
        <v>6923.08</v>
      </c>
      <c r="K14" s="138">
        <v>6923.08</v>
      </c>
      <c r="L14" s="138">
        <v>6923.08</v>
      </c>
      <c r="M14" s="138">
        <v>6923.08</v>
      </c>
      <c r="N14" s="138">
        <v>6923.08</v>
      </c>
      <c r="O14" s="138">
        <v>6923.08</v>
      </c>
      <c r="P14" s="138">
        <v>6923.08</v>
      </c>
      <c r="Q14" s="138">
        <v>6923.08</v>
      </c>
      <c r="R14" s="138">
        <v>7278.93</v>
      </c>
      <c r="S14" s="138">
        <v>7278.93</v>
      </c>
      <c r="T14" s="130">
        <f>IFERROR(__xludf.DUMMYFUNCTION("IFERROR(if(W14=true, SUM(FILTER('Resumo - TIMESHEETS'!$H:$H,'Resumo - TIMESHEETS'!M:M = TRUE,'Resumo - TIMESHEETS'!N:N = TRUE,'Resumo - TIMESHEETS'!E:E = B14))/24,0),0)"),2.56625)</f>
        <v>2.56625</v>
      </c>
      <c r="U14" s="139">
        <f t="shared" si="1"/>
        <v>0.02799545455</v>
      </c>
      <c r="V14" s="108" t="str">
        <f t="shared" si="2"/>
        <v>Parcial</v>
      </c>
      <c r="W14" s="140" t="b">
        <v>1</v>
      </c>
      <c r="X14" s="141"/>
      <c r="Y14" s="140"/>
    </row>
    <row r="15" ht="11.25" customHeight="1">
      <c r="A15" s="69"/>
      <c r="B15" s="99" t="s">
        <v>268</v>
      </c>
      <c r="C15" s="135" t="s">
        <v>269</v>
      </c>
      <c r="D15" s="135"/>
      <c r="E15" s="136" t="s">
        <v>337</v>
      </c>
      <c r="F15" s="137" t="s">
        <v>41</v>
      </c>
      <c r="G15" s="135"/>
      <c r="H15" s="138">
        <v>11291.29</v>
      </c>
      <c r="I15" s="138">
        <v>11291.29</v>
      </c>
      <c r="J15" s="138">
        <v>11291.29</v>
      </c>
      <c r="K15" s="138">
        <v>11291.29</v>
      </c>
      <c r="L15" s="138">
        <v>11291.29</v>
      </c>
      <c r="M15" s="138">
        <v>11291.29</v>
      </c>
      <c r="N15" s="138">
        <v>11868.23</v>
      </c>
      <c r="O15" s="138">
        <v>11868.23</v>
      </c>
      <c r="P15" s="138">
        <v>11868.23</v>
      </c>
      <c r="Q15" s="138">
        <v>11868.23</v>
      </c>
      <c r="R15" s="138">
        <v>12478.26</v>
      </c>
      <c r="S15" s="138">
        <v>12478.26</v>
      </c>
      <c r="T15" s="130">
        <f>IFERROR(__xludf.DUMMYFUNCTION("IFERROR(if(W15=true, SUM(FILTER('Resumo - TIMESHEETS'!$H:$H,'Resumo - TIMESHEETS'!M:M = TRUE,'Resumo - TIMESHEETS'!N:N = TRUE,'Resumo - TIMESHEETS'!E:E = B15))/24,0),0)"),81.08333333333333)</f>
        <v>81.08333333</v>
      </c>
      <c r="U15" s="139">
        <f t="shared" si="1"/>
        <v>0.8845454545</v>
      </c>
      <c r="V15" s="108" t="str">
        <f t="shared" si="2"/>
        <v>Exclusivo</v>
      </c>
      <c r="W15" s="140" t="b">
        <v>1</v>
      </c>
      <c r="X15" s="141"/>
      <c r="Y15" s="140"/>
    </row>
    <row r="16" ht="11.25" customHeight="1">
      <c r="A16" s="69"/>
      <c r="B16" s="99" t="s">
        <v>261</v>
      </c>
      <c r="C16" s="135" t="s">
        <v>262</v>
      </c>
      <c r="D16" s="135"/>
      <c r="E16" s="136" t="s">
        <v>337</v>
      </c>
      <c r="F16" s="137" t="s">
        <v>41</v>
      </c>
      <c r="G16" s="135"/>
      <c r="H16" s="138">
        <v>14024.96</v>
      </c>
      <c r="I16" s="138">
        <v>14024.96</v>
      </c>
      <c r="J16" s="138">
        <v>14024.96</v>
      </c>
      <c r="K16" s="138">
        <v>14024.96</v>
      </c>
      <c r="L16" s="138">
        <v>14024.96</v>
      </c>
      <c r="M16" s="138">
        <v>14024.96</v>
      </c>
      <c r="N16" s="138">
        <v>14300.0</v>
      </c>
      <c r="O16" s="138">
        <v>14300.0</v>
      </c>
      <c r="P16" s="138">
        <v>14300.0</v>
      </c>
      <c r="Q16" s="138">
        <v>14300.0</v>
      </c>
      <c r="R16" s="138">
        <v>15035.02</v>
      </c>
      <c r="S16" s="138">
        <v>15035.02</v>
      </c>
      <c r="T16" s="130">
        <f>IFERROR(__xludf.DUMMYFUNCTION("IFERROR(if(W16=true, SUM(FILTER('Resumo - TIMESHEETS'!$H:$H,'Resumo - TIMESHEETS'!M:M = TRUE,'Resumo - TIMESHEETS'!N:N = TRUE,'Resumo - TIMESHEETS'!E:E = B16))/24,0),0)"),88.33333333333333)</f>
        <v>88.33333333</v>
      </c>
      <c r="U16" s="139">
        <f t="shared" si="1"/>
        <v>0.9636363636</v>
      </c>
      <c r="V16" s="108" t="str">
        <f t="shared" si="2"/>
        <v>Exclusivo</v>
      </c>
      <c r="W16" s="140" t="b">
        <v>1</v>
      </c>
      <c r="X16" s="141"/>
      <c r="Y16" s="140"/>
    </row>
    <row r="17" ht="11.25" customHeight="1">
      <c r="A17" s="69"/>
      <c r="B17" s="99" t="s">
        <v>270</v>
      </c>
      <c r="C17" s="135" t="s">
        <v>271</v>
      </c>
      <c r="D17" s="135"/>
      <c r="E17" s="136" t="s">
        <v>337</v>
      </c>
      <c r="F17" s="137" t="s">
        <v>41</v>
      </c>
      <c r="G17" s="135"/>
      <c r="H17" s="138">
        <v>12500.0</v>
      </c>
      <c r="I17" s="138">
        <v>12500.0</v>
      </c>
      <c r="J17" s="138">
        <v>12500.0</v>
      </c>
      <c r="K17" s="138">
        <v>12500.0</v>
      </c>
      <c r="L17" s="138">
        <v>12500.0</v>
      </c>
      <c r="M17" s="138">
        <v>12500.0</v>
      </c>
      <c r="N17" s="138">
        <v>12500.0</v>
      </c>
      <c r="O17" s="138">
        <v>12629.01</v>
      </c>
      <c r="P17" s="138">
        <v>12629.01</v>
      </c>
      <c r="Q17" s="138">
        <v>12629.01</v>
      </c>
      <c r="R17" s="138">
        <v>13278.15</v>
      </c>
      <c r="S17" s="138">
        <v>13278.15</v>
      </c>
      <c r="T17" s="130">
        <f>IFERROR(__xludf.DUMMYFUNCTION("IFERROR(if(W17=true, SUM(FILTER('Resumo - TIMESHEETS'!$H:$H,'Resumo - TIMESHEETS'!M:M = TRUE,'Resumo - TIMESHEETS'!N:N = TRUE,'Resumo - TIMESHEETS'!E:E = B17))/24,0),0)"),95.625)</f>
        <v>95.625</v>
      </c>
      <c r="U17" s="139">
        <f t="shared" si="1"/>
        <v>1.043181818</v>
      </c>
      <c r="V17" s="108" t="str">
        <f t="shared" si="2"/>
        <v>Exclusivo</v>
      </c>
      <c r="W17" s="140" t="b">
        <v>1</v>
      </c>
      <c r="X17" s="141"/>
      <c r="Y17" s="140"/>
    </row>
    <row r="18" ht="11.25" customHeight="1">
      <c r="A18" s="69"/>
      <c r="B18" s="99" t="s">
        <v>222</v>
      </c>
      <c r="C18" s="135" t="s">
        <v>223</v>
      </c>
      <c r="D18" s="135"/>
      <c r="E18" s="136" t="s">
        <v>338</v>
      </c>
      <c r="F18" s="137" t="s">
        <v>41</v>
      </c>
      <c r="G18" s="135"/>
      <c r="H18" s="138">
        <v>13351.79</v>
      </c>
      <c r="I18" s="138">
        <v>13351.79</v>
      </c>
      <c r="J18" s="138">
        <v>13351.79</v>
      </c>
      <c r="K18" s="138">
        <v>13351.79</v>
      </c>
      <c r="L18" s="138">
        <v>13351.79</v>
      </c>
      <c r="M18" s="138">
        <v>13351.79</v>
      </c>
      <c r="N18" s="138">
        <v>13351.79</v>
      </c>
      <c r="O18" s="138">
        <v>13351.79</v>
      </c>
      <c r="P18" s="138">
        <v>13351.79</v>
      </c>
      <c r="Q18" s="138">
        <v>18013.96</v>
      </c>
      <c r="R18" s="138">
        <v>18939.88</v>
      </c>
      <c r="S18" s="138">
        <v>18939.88</v>
      </c>
      <c r="T18" s="130">
        <f>IFERROR(__xludf.DUMMYFUNCTION("IFERROR(if(W18=true, SUM(FILTER('Resumo - TIMESHEETS'!$H:$H,'Resumo - TIMESHEETS'!M:M = TRUE,'Resumo - TIMESHEETS'!N:N = TRUE,'Resumo - TIMESHEETS'!E:E = B18))/24,0),0)"),5.53125)</f>
        <v>5.53125</v>
      </c>
      <c r="U18" s="139">
        <f t="shared" si="1"/>
        <v>0.06034090909</v>
      </c>
      <c r="V18" s="108" t="str">
        <f t="shared" si="2"/>
        <v>Parcial</v>
      </c>
      <c r="W18" s="140" t="b">
        <v>1</v>
      </c>
      <c r="X18" s="141"/>
      <c r="Y18" s="140"/>
    </row>
    <row r="19" ht="11.25" hidden="1" customHeight="1">
      <c r="A19" s="142"/>
      <c r="B19" s="143" t="s">
        <v>303</v>
      </c>
      <c r="C19" s="144" t="s">
        <v>339</v>
      </c>
      <c r="D19" s="144"/>
      <c r="E19" s="145"/>
      <c r="F19" s="146"/>
      <c r="G19" s="144"/>
      <c r="H19" s="147"/>
      <c r="I19" s="147"/>
      <c r="J19" s="147"/>
      <c r="K19" s="147"/>
      <c r="L19" s="147"/>
      <c r="M19" s="147"/>
      <c r="N19" s="147"/>
      <c r="O19" s="147"/>
      <c r="P19" s="147"/>
      <c r="Q19" s="147"/>
      <c r="R19" s="147"/>
      <c r="S19" s="147"/>
      <c r="T19" s="148">
        <f>IFERROR(__xludf.DUMMYFUNCTION("IFERROR(if(W19=true, SUM(FILTER('Resumo - TIMESHEETS'!$H:$H,'Resumo - TIMESHEETS'!M:M = TRUE,'Resumo - TIMESHEETS'!N:N = TRUE,'Resumo - TIMESHEETS'!E:E = B19))/24,0),0)"),0.0)</f>
        <v>0</v>
      </c>
      <c r="U19" s="149">
        <f t="shared" si="1"/>
        <v>0</v>
      </c>
      <c r="V19" s="150" t="str">
        <f t="shared" si="2"/>
        <v>Parcial</v>
      </c>
      <c r="W19" s="151" t="b">
        <v>0</v>
      </c>
      <c r="X19" s="151"/>
      <c r="Y19" s="152"/>
    </row>
    <row r="20" ht="11.25" customHeight="1">
      <c r="A20" s="69"/>
      <c r="B20" s="99" t="s">
        <v>228</v>
      </c>
      <c r="C20" s="135" t="s">
        <v>340</v>
      </c>
      <c r="D20" s="135"/>
      <c r="E20" s="136" t="s">
        <v>336</v>
      </c>
      <c r="F20" s="137" t="s">
        <v>39</v>
      </c>
      <c r="G20" s="135"/>
      <c r="H20" s="138">
        <v>5470.86</v>
      </c>
      <c r="I20" s="138">
        <v>5470.86</v>
      </c>
      <c r="J20" s="138">
        <v>5470.86</v>
      </c>
      <c r="K20" s="138">
        <v>5470.86</v>
      </c>
      <c r="L20" s="138">
        <v>5470.86</v>
      </c>
      <c r="M20" s="138">
        <v>5470.86</v>
      </c>
      <c r="N20" s="138">
        <v>5909.62</v>
      </c>
      <c r="O20" s="138">
        <v>5909.62</v>
      </c>
      <c r="P20" s="138">
        <v>5909.62</v>
      </c>
      <c r="Q20" s="138">
        <v>5909.62</v>
      </c>
      <c r="R20" s="138">
        <v>6213.38</v>
      </c>
      <c r="S20" s="138">
        <v>6213.38</v>
      </c>
      <c r="T20" s="130">
        <f>IFERROR(__xludf.DUMMYFUNCTION("IFERROR(if(W20=true, SUM(FILTER('Resumo - TIMESHEETS'!$H:$H,'Resumo - TIMESHEETS'!M:M = TRUE,'Resumo - TIMESHEETS'!N:N = TRUE,'Resumo - TIMESHEETS'!E:E = B20))/24,0),0)"),63.09625)</f>
        <v>63.09625</v>
      </c>
      <c r="U20" s="139">
        <f t="shared" si="1"/>
        <v>0.6883227273</v>
      </c>
      <c r="V20" s="108" t="str">
        <f t="shared" si="2"/>
        <v>Parcial</v>
      </c>
      <c r="W20" s="140" t="b">
        <v>1</v>
      </c>
      <c r="X20" s="141"/>
      <c r="Y20" s="140"/>
    </row>
    <row r="21" ht="11.25" customHeight="1">
      <c r="A21" s="69"/>
      <c r="B21" s="99" t="s">
        <v>226</v>
      </c>
      <c r="C21" s="135" t="s">
        <v>227</v>
      </c>
      <c r="D21" s="135"/>
      <c r="E21" s="136" t="s">
        <v>336</v>
      </c>
      <c r="F21" s="137" t="s">
        <v>41</v>
      </c>
      <c r="G21" s="135"/>
      <c r="H21" s="138">
        <v>2769.45</v>
      </c>
      <c r="I21" s="138">
        <v>2769.45</v>
      </c>
      <c r="J21" s="138">
        <v>2769.45</v>
      </c>
      <c r="K21" s="138">
        <v>2769.45</v>
      </c>
      <c r="L21" s="138">
        <v>2769.45</v>
      </c>
      <c r="M21" s="138">
        <v>2769.45</v>
      </c>
      <c r="N21" s="138">
        <v>2963.31</v>
      </c>
      <c r="O21" s="138">
        <v>2963.31</v>
      </c>
      <c r="P21" s="138">
        <v>2963.31</v>
      </c>
      <c r="Q21" s="138">
        <v>2963.31</v>
      </c>
      <c r="R21" s="138">
        <v>3115.63</v>
      </c>
      <c r="S21" s="138">
        <v>3115.63</v>
      </c>
      <c r="T21" s="130">
        <f>IFERROR(__xludf.DUMMYFUNCTION("IFERROR(if(W21=true, SUM(FILTER('Resumo - TIMESHEETS'!$H:$H,'Resumo - TIMESHEETS'!M:M = TRUE,'Resumo - TIMESHEETS'!N:N = TRUE,'Resumo - TIMESHEETS'!E:E = B21))/24,0),0)"),20.992916666666666)</f>
        <v>20.99291667</v>
      </c>
      <c r="U21" s="139">
        <f t="shared" si="1"/>
        <v>0.2290136364</v>
      </c>
      <c r="V21" s="108" t="str">
        <f t="shared" si="2"/>
        <v>Parcial</v>
      </c>
      <c r="W21" s="140" t="b">
        <v>1</v>
      </c>
      <c r="X21" s="141"/>
      <c r="Y21" s="140"/>
    </row>
    <row r="22">
      <c r="A22" s="69"/>
      <c r="B22" s="99" t="s">
        <v>247</v>
      </c>
      <c r="C22" s="135" t="s">
        <v>248</v>
      </c>
      <c r="D22" s="135"/>
      <c r="E22" s="136" t="s">
        <v>341</v>
      </c>
      <c r="F22" s="137" t="s">
        <v>41</v>
      </c>
      <c r="G22" s="135"/>
      <c r="H22" s="138">
        <v>0.0</v>
      </c>
      <c r="I22" s="138">
        <v>0.0</v>
      </c>
      <c r="J22" s="138">
        <v>0.0</v>
      </c>
      <c r="K22" s="138">
        <v>10000.0</v>
      </c>
      <c r="L22" s="138">
        <v>10000.0</v>
      </c>
      <c r="M22" s="138">
        <v>10000.0</v>
      </c>
      <c r="N22" s="138">
        <v>10000.0</v>
      </c>
      <c r="O22" s="138">
        <v>10000.0</v>
      </c>
      <c r="P22" s="138">
        <v>10000.0</v>
      </c>
      <c r="Q22" s="138">
        <v>10000.0</v>
      </c>
      <c r="R22" s="138">
        <v>10514.0</v>
      </c>
      <c r="S22" s="138">
        <v>10514.0</v>
      </c>
      <c r="T22" s="130">
        <f>IFERROR(__xludf.DUMMYFUNCTION("IFERROR(if(W22=true, SUM(FILTER('Resumo - TIMESHEETS'!$H:$H,'Resumo - TIMESHEETS'!M:M = TRUE,'Resumo - TIMESHEETS'!N:N = TRUE,'Resumo - TIMESHEETS'!E:E = B22))/24,0),0)"),63.04749999999999)</f>
        <v>63.0475</v>
      </c>
      <c r="U22" s="139">
        <f t="shared" si="1"/>
        <v>0.6877909091</v>
      </c>
      <c r="V22" s="108" t="str">
        <f t="shared" si="2"/>
        <v>Parcial</v>
      </c>
      <c r="W22" s="140" t="b">
        <v>1</v>
      </c>
      <c r="X22" s="141"/>
      <c r="Y22" s="140"/>
    </row>
    <row r="23" ht="11.25" customHeight="1">
      <c r="A23" s="69"/>
      <c r="B23" s="99" t="s">
        <v>265</v>
      </c>
      <c r="C23" s="135" t="s">
        <v>266</v>
      </c>
      <c r="D23" s="135"/>
      <c r="E23" s="136" t="s">
        <v>337</v>
      </c>
      <c r="F23" s="137" t="s">
        <v>41</v>
      </c>
      <c r="G23" s="135"/>
      <c r="H23" s="138">
        <v>14856.95</v>
      </c>
      <c r="I23" s="138">
        <v>14856.95</v>
      </c>
      <c r="J23" s="138">
        <v>14856.95</v>
      </c>
      <c r="K23" s="138">
        <v>14856.95</v>
      </c>
      <c r="L23" s="138">
        <v>14856.95</v>
      </c>
      <c r="M23" s="138">
        <v>14856.95</v>
      </c>
      <c r="N23" s="138">
        <v>15216.66</v>
      </c>
      <c r="O23" s="138">
        <v>15216.66</v>
      </c>
      <c r="P23" s="138">
        <v>15216.66</v>
      </c>
      <c r="Q23" s="138">
        <v>15216.66</v>
      </c>
      <c r="R23" s="138">
        <v>15998.8</v>
      </c>
      <c r="S23" s="138">
        <v>15998.8</v>
      </c>
      <c r="T23" s="130">
        <f>IFERROR(__xludf.DUMMYFUNCTION("IFERROR(if(W23=true, SUM(FILTER('Resumo - TIMESHEETS'!$H:$H,'Resumo - TIMESHEETS'!M:M = TRUE,'Resumo - TIMESHEETS'!N:N = TRUE,'Resumo - TIMESHEETS'!E:E = B23))/24,0),0)"),81.875)</f>
        <v>81.875</v>
      </c>
      <c r="U23" s="139">
        <f t="shared" si="1"/>
        <v>0.8931818182</v>
      </c>
      <c r="V23" s="108" t="str">
        <f t="shared" si="2"/>
        <v>Exclusivo</v>
      </c>
      <c r="W23" s="140" t="b">
        <v>1</v>
      </c>
      <c r="X23" s="141"/>
      <c r="Y23" s="140"/>
    </row>
    <row r="24" ht="11.25" customHeight="1">
      <c r="A24" s="69"/>
      <c r="B24" s="99" t="s">
        <v>245</v>
      </c>
      <c r="C24" s="135" t="s">
        <v>342</v>
      </c>
      <c r="D24" s="135"/>
      <c r="E24" s="136" t="s">
        <v>336</v>
      </c>
      <c r="F24" s="137" t="s">
        <v>39</v>
      </c>
      <c r="G24" s="135"/>
      <c r="H24" s="138">
        <v>0.0</v>
      </c>
      <c r="I24" s="138">
        <v>0.0</v>
      </c>
      <c r="J24" s="138">
        <v>0.0</v>
      </c>
      <c r="K24" s="138">
        <v>5236.48</v>
      </c>
      <c r="L24" s="138">
        <v>5236.48</v>
      </c>
      <c r="M24" s="138">
        <v>5236.48</v>
      </c>
      <c r="N24" s="138">
        <v>5236.48</v>
      </c>
      <c r="O24" s="138">
        <v>5236.48</v>
      </c>
      <c r="P24" s="138">
        <v>5236.48</v>
      </c>
      <c r="Q24" s="138">
        <v>5236.48</v>
      </c>
      <c r="R24" s="138">
        <v>5505.64</v>
      </c>
      <c r="S24" s="138">
        <v>5505.64</v>
      </c>
      <c r="T24" s="130">
        <f>IFERROR(__xludf.DUMMYFUNCTION("IFERROR(if(W24=true, SUM(FILTER('Resumo - TIMESHEETS'!$H:$H,'Resumo - TIMESHEETS'!M:M = TRUE,'Resumo - TIMESHEETS'!N:N = TRUE,'Resumo - TIMESHEETS'!E:E = B24))/24,0),0)"),2.966666666666667)</f>
        <v>2.966666667</v>
      </c>
      <c r="U24" s="139">
        <f t="shared" si="1"/>
        <v>0.03236363636</v>
      </c>
      <c r="V24" s="108" t="str">
        <f t="shared" si="2"/>
        <v>Parcial</v>
      </c>
      <c r="W24" s="140" t="b">
        <v>1</v>
      </c>
      <c r="X24" s="141"/>
      <c r="Y24" s="140"/>
    </row>
    <row r="25" ht="11.25" customHeight="1">
      <c r="A25" s="69"/>
      <c r="B25" s="99" t="s">
        <v>256</v>
      </c>
      <c r="C25" s="135" t="s">
        <v>257</v>
      </c>
      <c r="D25" s="135"/>
      <c r="E25" s="136" t="s">
        <v>343</v>
      </c>
      <c r="F25" s="137" t="s">
        <v>39</v>
      </c>
      <c r="G25" s="135"/>
      <c r="H25" s="138">
        <v>0.0</v>
      </c>
      <c r="I25" s="138">
        <v>0.0</v>
      </c>
      <c r="J25" s="138">
        <v>0.0</v>
      </c>
      <c r="K25" s="138">
        <v>0.0</v>
      </c>
      <c r="L25" s="138">
        <v>0.0</v>
      </c>
      <c r="M25" s="138">
        <v>0.0</v>
      </c>
      <c r="N25" s="138">
        <v>0.0</v>
      </c>
      <c r="O25" s="138">
        <v>1560.0</v>
      </c>
      <c r="P25" s="138">
        <v>1560.0</v>
      </c>
      <c r="Q25" s="138">
        <v>1560.0</v>
      </c>
      <c r="R25" s="138">
        <v>1641.0</v>
      </c>
      <c r="S25" s="138">
        <v>1641.0</v>
      </c>
      <c r="T25" s="130">
        <f>IFERROR(__xludf.DUMMYFUNCTION("IFERROR(if(W25=true, SUM(FILTER('Resumo - TIMESHEETS'!$H:$H,'Resumo - TIMESHEETS'!M:M = TRUE,'Resumo - TIMESHEETS'!N:N = TRUE,'Resumo - TIMESHEETS'!E:E = B25))/24,0),0)"),11.479166666666666)</f>
        <v>11.47916667</v>
      </c>
      <c r="U25" s="139">
        <f t="shared" si="1"/>
        <v>0.1252272727</v>
      </c>
      <c r="V25" s="108" t="str">
        <f t="shared" si="2"/>
        <v>Parcial</v>
      </c>
      <c r="W25" s="140" t="b">
        <v>1</v>
      </c>
      <c r="X25" s="141"/>
      <c r="Y25" s="140"/>
    </row>
    <row r="26" ht="11.25" customHeight="1">
      <c r="A26" s="69"/>
      <c r="B26" s="99" t="s">
        <v>229</v>
      </c>
      <c r="C26" s="135" t="s">
        <v>344</v>
      </c>
      <c r="D26" s="135"/>
      <c r="E26" s="136" t="s">
        <v>336</v>
      </c>
      <c r="F26" s="137" t="s">
        <v>41</v>
      </c>
      <c r="G26" s="135"/>
      <c r="H26" s="138">
        <v>8113.41</v>
      </c>
      <c r="I26" s="138">
        <v>8113.41</v>
      </c>
      <c r="J26" s="138">
        <v>8113.41</v>
      </c>
      <c r="K26" s="138">
        <v>8113.41</v>
      </c>
      <c r="L26" s="138">
        <v>8113.41</v>
      </c>
      <c r="M26" s="138">
        <v>8113.41</v>
      </c>
      <c r="N26" s="138">
        <v>8113.41</v>
      </c>
      <c r="O26" s="138">
        <v>8113.41</v>
      </c>
      <c r="P26" s="138">
        <v>8113.41</v>
      </c>
      <c r="Q26" s="138">
        <v>8113.41</v>
      </c>
      <c r="R26" s="138">
        <v>8530.44</v>
      </c>
      <c r="S26" s="138">
        <v>8530.44</v>
      </c>
      <c r="T26" s="130">
        <f>IFERROR(__xludf.DUMMYFUNCTION("IFERROR(if(W26=true, SUM(FILTER('Resumo - TIMESHEETS'!$H:$H,'Resumo - TIMESHEETS'!M:M = TRUE,'Resumo - TIMESHEETS'!N:N = TRUE,'Resumo - TIMESHEETS'!E:E = B26))/24,0),0)"),44.840833333333336)</f>
        <v>44.84083333</v>
      </c>
      <c r="U26" s="139">
        <f t="shared" si="1"/>
        <v>0.4891727273</v>
      </c>
      <c r="V26" s="108" t="str">
        <f t="shared" si="2"/>
        <v>Parcial</v>
      </c>
      <c r="W26" s="140" t="b">
        <v>1</v>
      </c>
      <c r="X26" s="141"/>
      <c r="Y26" s="140"/>
    </row>
    <row r="27" ht="11.25" customHeight="1">
      <c r="A27" s="69"/>
      <c r="B27" s="99" t="s">
        <v>281</v>
      </c>
      <c r="C27" s="135" t="s">
        <v>345</v>
      </c>
      <c r="D27" s="135"/>
      <c r="E27" s="136" t="s">
        <v>346</v>
      </c>
      <c r="F27" s="137" t="s">
        <v>41</v>
      </c>
      <c r="G27" s="135"/>
      <c r="H27" s="138">
        <v>5971.56</v>
      </c>
      <c r="I27" s="138">
        <v>6518.08</v>
      </c>
      <c r="J27" s="138">
        <v>6518.08</v>
      </c>
      <c r="K27" s="138">
        <v>6518.08</v>
      </c>
      <c r="L27" s="138">
        <v>6518.08</v>
      </c>
      <c r="M27" s="138">
        <v>6518.08</v>
      </c>
      <c r="N27" s="138">
        <v>7028.31</v>
      </c>
      <c r="O27" s="138">
        <v>7028.31</v>
      </c>
      <c r="P27" s="138">
        <v>7028.31</v>
      </c>
      <c r="Q27" s="138">
        <v>7028.31</v>
      </c>
      <c r="R27" s="138">
        <v>7389.57</v>
      </c>
      <c r="S27" s="138">
        <v>7389.57</v>
      </c>
      <c r="T27" s="130">
        <f>IFERROR(__xludf.DUMMYFUNCTION("IFERROR(if(W27=true, SUM(FILTER('Resumo - TIMESHEETS'!$H:$H,'Resumo - TIMESHEETS'!M:M = TRUE,'Resumo - TIMESHEETS'!N:N = TRUE,'Resumo - TIMESHEETS'!E:E = B27))/24,0),0)"),56.110833333333325)</f>
        <v>56.11083333</v>
      </c>
      <c r="U27" s="139">
        <f t="shared" si="1"/>
        <v>0.6121181818</v>
      </c>
      <c r="V27" s="108" t="str">
        <f t="shared" si="2"/>
        <v>Parcial</v>
      </c>
      <c r="W27" s="140" t="b">
        <v>1</v>
      </c>
      <c r="X27" s="141"/>
      <c r="Y27" s="140"/>
    </row>
    <row r="28" ht="11.25" customHeight="1">
      <c r="A28" s="69"/>
      <c r="B28" s="99" t="s">
        <v>236</v>
      </c>
      <c r="C28" s="135" t="s">
        <v>237</v>
      </c>
      <c r="D28" s="135"/>
      <c r="E28" s="136" t="s">
        <v>343</v>
      </c>
      <c r="F28" s="137" t="s">
        <v>39</v>
      </c>
      <c r="G28" s="135"/>
      <c r="H28" s="138">
        <v>0.0</v>
      </c>
      <c r="I28" s="138">
        <v>1560.0</v>
      </c>
      <c r="J28" s="138">
        <v>1560.0</v>
      </c>
      <c r="K28" s="138">
        <v>1560.0</v>
      </c>
      <c r="L28" s="138">
        <v>1560.0</v>
      </c>
      <c r="M28" s="138">
        <v>1560.0</v>
      </c>
      <c r="N28" s="138">
        <v>1560.0</v>
      </c>
      <c r="O28" s="138">
        <v>1560.0</v>
      </c>
      <c r="P28" s="138">
        <v>1560.0</v>
      </c>
      <c r="Q28" s="138">
        <v>1560.0</v>
      </c>
      <c r="R28" s="138">
        <v>1641.0</v>
      </c>
      <c r="S28" s="138">
        <v>1641.0</v>
      </c>
      <c r="T28" s="130">
        <f>IFERROR(__xludf.DUMMYFUNCTION("IFERROR(if(W28=true, SUM(FILTER('Resumo - TIMESHEETS'!$H:$H,'Resumo - TIMESHEETS'!M:M = TRUE,'Resumo - TIMESHEETS'!N:N = TRUE,'Resumo - TIMESHEETS'!E:E = B28))/24,0),0)"),23.579583333333332)</f>
        <v>23.57958333</v>
      </c>
      <c r="U28" s="139">
        <f t="shared" si="1"/>
        <v>0.2572318182</v>
      </c>
      <c r="V28" s="108" t="str">
        <f t="shared" si="2"/>
        <v>Parcial</v>
      </c>
      <c r="W28" s="140" t="b">
        <v>1</v>
      </c>
      <c r="X28" s="141"/>
      <c r="Y28" s="140"/>
    </row>
    <row r="29" ht="11.25" customHeight="1">
      <c r="A29" s="69"/>
      <c r="B29" s="99" t="s">
        <v>232</v>
      </c>
      <c r="C29" s="135" t="s">
        <v>233</v>
      </c>
      <c r="D29" s="135"/>
      <c r="E29" s="136" t="s">
        <v>343</v>
      </c>
      <c r="F29" s="137" t="s">
        <v>39</v>
      </c>
      <c r="G29" s="135"/>
      <c r="H29" s="138">
        <v>1560.0</v>
      </c>
      <c r="I29" s="138">
        <v>1560.0</v>
      </c>
      <c r="J29" s="138">
        <v>1560.0</v>
      </c>
      <c r="K29" s="138">
        <v>1560.0</v>
      </c>
      <c r="L29" s="138">
        <v>1560.0</v>
      </c>
      <c r="M29" s="138">
        <v>1560.0</v>
      </c>
      <c r="N29" s="138">
        <v>1560.0</v>
      </c>
      <c r="O29" s="138">
        <v>0.0</v>
      </c>
      <c r="P29" s="138">
        <v>0.0</v>
      </c>
      <c r="Q29" s="138">
        <v>0.0</v>
      </c>
      <c r="R29" s="138">
        <v>0.0</v>
      </c>
      <c r="S29" s="138">
        <v>0.0</v>
      </c>
      <c r="T29" s="130">
        <f>IFERROR(__xludf.DUMMYFUNCTION("IFERROR(if(W29=true, SUM(FILTER('Resumo - TIMESHEETS'!$H:$H,'Resumo - TIMESHEETS'!M:M = TRUE,'Resumo - TIMESHEETS'!N:N = TRUE,'Resumo - TIMESHEETS'!E:E = B29))/24,0),0)"),6.430416666666666)</f>
        <v>6.430416667</v>
      </c>
      <c r="U29" s="139">
        <f t="shared" si="1"/>
        <v>0.07015</v>
      </c>
      <c r="V29" s="108" t="str">
        <f t="shared" si="2"/>
        <v>Parcial</v>
      </c>
      <c r="W29" s="140" t="b">
        <v>1</v>
      </c>
      <c r="X29" s="141"/>
      <c r="Y29" s="140"/>
    </row>
    <row r="30" ht="11.25" customHeight="1">
      <c r="A30" s="69"/>
      <c r="B30" s="99" t="s">
        <v>244</v>
      </c>
      <c r="C30" s="135" t="s">
        <v>347</v>
      </c>
      <c r="D30" s="135"/>
      <c r="E30" s="136" t="s">
        <v>336</v>
      </c>
      <c r="F30" s="137" t="s">
        <v>41</v>
      </c>
      <c r="G30" s="135"/>
      <c r="H30" s="138">
        <v>6518.08</v>
      </c>
      <c r="I30" s="138">
        <v>6518.08</v>
      </c>
      <c r="J30" s="138">
        <v>6518.08</v>
      </c>
      <c r="K30" s="138">
        <v>6518.08</v>
      </c>
      <c r="L30" s="138">
        <v>6518.08</v>
      </c>
      <c r="M30" s="138">
        <v>6518.08</v>
      </c>
      <c r="N30" s="138">
        <v>7120.49</v>
      </c>
      <c r="O30" s="138">
        <v>7120.49</v>
      </c>
      <c r="P30" s="138">
        <v>7120.49</v>
      </c>
      <c r="Q30" s="138">
        <v>7120.49</v>
      </c>
      <c r="R30" s="138">
        <v>7486.49</v>
      </c>
      <c r="S30" s="138">
        <v>7486.49</v>
      </c>
      <c r="T30" s="130">
        <f>IFERROR(__xludf.DUMMYFUNCTION("IFERROR(if(W30=true, SUM(FILTER('Resumo - TIMESHEETS'!$H:$H,'Resumo - TIMESHEETS'!M:M = TRUE,'Resumo - TIMESHEETS'!N:N = TRUE,'Resumo - TIMESHEETS'!E:E = B30))/24,0),0)"),2.03125)</f>
        <v>2.03125</v>
      </c>
      <c r="U30" s="139">
        <f t="shared" si="1"/>
        <v>0.02215909091</v>
      </c>
      <c r="V30" s="108" t="str">
        <f t="shared" si="2"/>
        <v>Parcial</v>
      </c>
      <c r="W30" s="140" t="b">
        <v>1</v>
      </c>
      <c r="X30" s="141"/>
      <c r="Y30" s="140"/>
    </row>
    <row r="31" ht="11.25" customHeight="1">
      <c r="A31" s="69"/>
      <c r="B31" s="99" t="s">
        <v>238</v>
      </c>
      <c r="C31" s="135" t="s">
        <v>239</v>
      </c>
      <c r="D31" s="135"/>
      <c r="E31" s="136" t="s">
        <v>348</v>
      </c>
      <c r="F31" s="137" t="s">
        <v>41</v>
      </c>
      <c r="G31" s="135"/>
      <c r="H31" s="138">
        <v>13351.79</v>
      </c>
      <c r="I31" s="138">
        <v>13351.79</v>
      </c>
      <c r="J31" s="138">
        <v>13351.79</v>
      </c>
      <c r="K31" s="138">
        <v>13351.79</v>
      </c>
      <c r="L31" s="138">
        <v>13351.79</v>
      </c>
      <c r="M31" s="138">
        <v>13351.79</v>
      </c>
      <c r="N31" s="138">
        <v>13351.79</v>
      </c>
      <c r="O31" s="138">
        <v>13351.79</v>
      </c>
      <c r="P31" s="138">
        <v>13351.79</v>
      </c>
      <c r="Q31" s="138">
        <v>17357.33</v>
      </c>
      <c r="R31" s="138">
        <v>18249.5</v>
      </c>
      <c r="S31" s="138">
        <v>18249.5</v>
      </c>
      <c r="T31" s="130">
        <f>IFERROR(__xludf.DUMMYFUNCTION("IFERROR(if(W31=true, SUM(FILTER('Resumo - TIMESHEETS'!$H:$H,'Resumo - TIMESHEETS'!M:M = TRUE,'Resumo - TIMESHEETS'!N:N = TRUE,'Resumo - TIMESHEETS'!E:E = B31))/24,0),0)"),27.30333333333333)</f>
        <v>27.30333333</v>
      </c>
      <c r="U31" s="139">
        <f t="shared" si="1"/>
        <v>0.2978545455</v>
      </c>
      <c r="V31" s="108" t="str">
        <f t="shared" si="2"/>
        <v>Parcial</v>
      </c>
      <c r="W31" s="140" t="b">
        <v>1</v>
      </c>
      <c r="X31" s="141"/>
      <c r="Y31" s="140"/>
    </row>
    <row r="32" ht="11.25" customHeight="1">
      <c r="A32" s="69"/>
      <c r="B32" s="99" t="s">
        <v>251</v>
      </c>
      <c r="C32" s="135" t="s">
        <v>349</v>
      </c>
      <c r="D32" s="135"/>
      <c r="E32" s="136" t="s">
        <v>336</v>
      </c>
      <c r="F32" s="137" t="s">
        <v>41</v>
      </c>
      <c r="G32" s="135"/>
      <c r="H32" s="138">
        <v>0.0</v>
      </c>
      <c r="I32" s="138">
        <v>0.0</v>
      </c>
      <c r="J32" s="138">
        <v>0.0</v>
      </c>
      <c r="K32" s="138">
        <v>2769.45</v>
      </c>
      <c r="L32" s="138">
        <v>2769.45</v>
      </c>
      <c r="M32" s="138">
        <v>2769.45</v>
      </c>
      <c r="N32" s="138">
        <v>2769.45</v>
      </c>
      <c r="O32" s="138">
        <v>2769.45</v>
      </c>
      <c r="P32" s="138">
        <v>2769.45</v>
      </c>
      <c r="Q32" s="138">
        <v>2769.45</v>
      </c>
      <c r="R32" s="138">
        <v>2911.8</v>
      </c>
      <c r="S32" s="138">
        <v>2911.8</v>
      </c>
      <c r="T32" s="130">
        <f>IFERROR(__xludf.DUMMYFUNCTION("IFERROR(if(W32=true, SUM(FILTER('Resumo - TIMESHEETS'!$H:$H,'Resumo - TIMESHEETS'!M:M = TRUE,'Resumo - TIMESHEETS'!N:N = TRUE,'Resumo - TIMESHEETS'!E:E = B32))/24,0),0)"),27.10833333333333)</f>
        <v>27.10833333</v>
      </c>
      <c r="U32" s="139">
        <f t="shared" si="1"/>
        <v>0.2957272727</v>
      </c>
      <c r="V32" s="108" t="str">
        <f t="shared" si="2"/>
        <v>Parcial</v>
      </c>
      <c r="W32" s="140" t="b">
        <v>1</v>
      </c>
      <c r="X32" s="141"/>
      <c r="Y32" s="140"/>
    </row>
    <row r="33" ht="11.25" customHeight="1">
      <c r="A33" s="69"/>
      <c r="B33" s="99" t="s">
        <v>246</v>
      </c>
      <c r="C33" s="135" t="s">
        <v>350</v>
      </c>
      <c r="D33" s="135"/>
      <c r="E33" s="136" t="s">
        <v>336</v>
      </c>
      <c r="F33" s="137" t="s">
        <v>41</v>
      </c>
      <c r="G33" s="135"/>
      <c r="H33" s="138">
        <v>0.0</v>
      </c>
      <c r="I33" s="138">
        <v>0.0</v>
      </c>
      <c r="J33" s="138">
        <v>0.0</v>
      </c>
      <c r="K33" s="138">
        <v>5236.48</v>
      </c>
      <c r="L33" s="138">
        <v>5236.48</v>
      </c>
      <c r="M33" s="138">
        <v>5236.48</v>
      </c>
      <c r="N33" s="138">
        <v>5236.48</v>
      </c>
      <c r="O33" s="138">
        <v>5236.48</v>
      </c>
      <c r="P33" s="138">
        <v>5236.48</v>
      </c>
      <c r="Q33" s="138">
        <v>5236.48</v>
      </c>
      <c r="R33" s="138">
        <v>5505.64</v>
      </c>
      <c r="S33" s="138">
        <v>5505.64</v>
      </c>
      <c r="T33" s="130">
        <f>IFERROR(__xludf.DUMMYFUNCTION("IFERROR(if(W33=true, SUM(FILTER('Resumo - TIMESHEETS'!$H:$H,'Resumo - TIMESHEETS'!M:M = TRUE,'Resumo - TIMESHEETS'!N:N = TRUE,'Resumo - TIMESHEETS'!E:E = B33))/24,0),0)"),0.7883333333333334)</f>
        <v>0.7883333333</v>
      </c>
      <c r="U33" s="139">
        <f t="shared" si="1"/>
        <v>0.0086</v>
      </c>
      <c r="V33" s="108" t="str">
        <f t="shared" si="2"/>
        <v>Parcial</v>
      </c>
      <c r="W33" s="140" t="b">
        <v>1</v>
      </c>
      <c r="X33" s="141"/>
      <c r="Y33" s="140"/>
    </row>
    <row r="34" ht="11.25" customHeight="1">
      <c r="A34" s="142"/>
      <c r="B34" s="143" t="s">
        <v>278</v>
      </c>
      <c r="C34" s="144" t="s">
        <v>351</v>
      </c>
      <c r="D34" s="144"/>
      <c r="E34" s="145" t="s">
        <v>352</v>
      </c>
      <c r="F34" s="146"/>
      <c r="G34" s="144"/>
      <c r="H34" s="147"/>
      <c r="I34" s="147"/>
      <c r="J34" s="147"/>
      <c r="K34" s="147">
        <v>50000.0</v>
      </c>
      <c r="L34" s="147">
        <v>25000.0</v>
      </c>
      <c r="M34" s="147">
        <v>25000.0</v>
      </c>
      <c r="N34" s="147">
        <v>25000.0</v>
      </c>
      <c r="O34" s="147">
        <v>25000.0</v>
      </c>
      <c r="P34" s="147">
        <v>25000.0</v>
      </c>
      <c r="Q34" s="147">
        <v>25000.0</v>
      </c>
      <c r="R34" s="147">
        <v>25000.0</v>
      </c>
      <c r="S34" s="147">
        <v>25000.0</v>
      </c>
      <c r="T34" s="148">
        <f>IFERROR(__xludf.DUMMYFUNCTION("IFERROR(if(W34=true, SUM(FILTER('Resumo - TIMESHEETS'!$H:$H,'Resumo - TIMESHEETS'!M:M = TRUE,'Resumo - TIMESHEETS'!N:N = TRUE,'Resumo - TIMESHEETS'!E:E = B34))/24,0),0)"),12.777499999999998)</f>
        <v>12.7775</v>
      </c>
      <c r="U34" s="149">
        <f t="shared" si="1"/>
        <v>0.1393909091</v>
      </c>
      <c r="V34" s="150" t="str">
        <f t="shared" si="2"/>
        <v>Parcial</v>
      </c>
      <c r="W34" s="151" t="b">
        <v>1</v>
      </c>
      <c r="X34" s="153"/>
      <c r="Y34" s="154"/>
    </row>
    <row r="35" ht="11.25" customHeight="1">
      <c r="A35" s="69"/>
      <c r="B35" s="155"/>
      <c r="C35" s="156"/>
      <c r="D35" s="157"/>
      <c r="E35" s="157"/>
      <c r="F35" s="157"/>
      <c r="G35" s="157"/>
      <c r="H35" s="157"/>
      <c r="I35" s="157"/>
      <c r="J35" s="157"/>
      <c r="K35" s="157"/>
      <c r="L35" s="157"/>
      <c r="M35" s="157"/>
      <c r="N35" s="157"/>
      <c r="O35" s="157"/>
      <c r="P35" s="157"/>
      <c r="Q35" s="157"/>
      <c r="R35" s="157"/>
      <c r="S35" s="157"/>
      <c r="T35" s="157"/>
      <c r="U35" s="157"/>
      <c r="V35" s="157"/>
      <c r="W35" s="157"/>
      <c r="X35" s="140"/>
      <c r="Y35" s="140"/>
    </row>
    <row r="36" ht="11.25" customHeight="1">
      <c r="A36" s="69"/>
      <c r="C36" s="158"/>
      <c r="D36" s="158"/>
      <c r="E36" s="159"/>
      <c r="F36" s="158"/>
      <c r="G36" s="157"/>
      <c r="H36" s="157"/>
      <c r="I36" s="157"/>
      <c r="J36" s="157"/>
      <c r="K36" s="157"/>
      <c r="L36" s="157"/>
      <c r="M36" s="157"/>
      <c r="N36" s="157"/>
      <c r="O36" s="157"/>
      <c r="P36" s="157"/>
      <c r="Q36" s="157"/>
      <c r="R36" s="157"/>
      <c r="S36" s="157"/>
      <c r="T36" s="157"/>
      <c r="U36" s="157"/>
      <c r="V36" s="157"/>
      <c r="W36" s="157"/>
      <c r="X36" s="140"/>
      <c r="Y36" s="140"/>
    </row>
    <row r="37" ht="11.25" customHeight="1">
      <c r="A37" s="69"/>
      <c r="B37" s="160"/>
      <c r="C37" s="161"/>
      <c r="D37" s="162"/>
      <c r="E37" s="157"/>
      <c r="F37" s="163"/>
      <c r="G37" s="158"/>
      <c r="H37" s="157"/>
      <c r="I37" s="157"/>
      <c r="J37" s="157"/>
      <c r="K37" s="157"/>
      <c r="L37" s="164"/>
      <c r="M37" s="164"/>
      <c r="N37" s="164"/>
      <c r="O37" s="164"/>
      <c r="P37" s="164"/>
      <c r="Q37" s="164"/>
      <c r="R37" s="164"/>
      <c r="S37" s="164"/>
      <c r="T37" s="108"/>
      <c r="U37" s="139"/>
      <c r="V37" s="108"/>
      <c r="W37" s="140"/>
      <c r="X37" s="140"/>
      <c r="Y37" s="141"/>
    </row>
    <row r="38" ht="11.25" customHeight="1">
      <c r="A38" s="69"/>
      <c r="C38" s="161"/>
      <c r="D38" s="165"/>
      <c r="E38" s="157"/>
      <c r="F38" s="166" t="s">
        <v>353</v>
      </c>
      <c r="G38" s="167" t="s">
        <v>354</v>
      </c>
      <c r="H38" s="168">
        <v>0.028600000000000004</v>
      </c>
      <c r="I38" s="168">
        <v>0.01238</v>
      </c>
      <c r="J38" s="168">
        <v>0.01176</v>
      </c>
      <c r="K38" s="168">
        <v>0.03086</v>
      </c>
      <c r="L38" s="168">
        <v>0.023739999999999997</v>
      </c>
      <c r="M38" s="168">
        <v>0.02114</v>
      </c>
      <c r="N38" s="168">
        <v>0.07246</v>
      </c>
      <c r="O38" s="168">
        <v>0.0228</v>
      </c>
      <c r="P38" s="168">
        <v>0.0446</v>
      </c>
      <c r="Q38" s="168">
        <v>0.02436</v>
      </c>
      <c r="R38" s="168">
        <v>0.02</v>
      </c>
      <c r="S38" s="168">
        <v>0.03624</v>
      </c>
      <c r="T38" s="169" t="s">
        <v>355</v>
      </c>
      <c r="U38" s="139"/>
      <c r="V38" s="108"/>
      <c r="W38" s="140"/>
      <c r="X38" s="140"/>
      <c r="Y38" s="141"/>
    </row>
    <row r="39" ht="11.25" customHeight="1">
      <c r="A39" s="69"/>
      <c r="B39" s="157"/>
      <c r="C39" s="157"/>
      <c r="D39" s="157"/>
      <c r="E39" s="157"/>
      <c r="F39" s="157"/>
      <c r="G39" s="167" t="s">
        <v>14</v>
      </c>
      <c r="H39" s="170">
        <v>0.058</v>
      </c>
      <c r="I39" s="170">
        <v>0.058</v>
      </c>
      <c r="J39" s="170">
        <v>0.058</v>
      </c>
      <c r="K39" s="170">
        <v>0.058</v>
      </c>
      <c r="L39" s="170">
        <v>0.058</v>
      </c>
      <c r="M39" s="170">
        <v>0.058</v>
      </c>
      <c r="N39" s="170">
        <v>0.058</v>
      </c>
      <c r="O39" s="170">
        <v>0.058</v>
      </c>
      <c r="P39" s="170">
        <v>0.058</v>
      </c>
      <c r="Q39" s="170">
        <v>0.058</v>
      </c>
      <c r="R39" s="170">
        <v>0.058</v>
      </c>
      <c r="S39" s="170">
        <v>0.058</v>
      </c>
      <c r="T39" s="171"/>
      <c r="U39" s="139"/>
      <c r="V39" s="108"/>
      <c r="W39" s="140"/>
      <c r="X39" s="140"/>
      <c r="Y39" s="141"/>
    </row>
    <row r="40" ht="11.25" customHeight="1">
      <c r="A40" s="69"/>
      <c r="B40" s="157"/>
      <c r="C40" s="157"/>
      <c r="D40" s="157"/>
      <c r="E40" s="157"/>
      <c r="F40" s="157"/>
      <c r="G40" s="172" t="s">
        <v>356</v>
      </c>
      <c r="H40" s="173">
        <v>0.02832</v>
      </c>
      <c r="I40" s="173">
        <v>0.02832</v>
      </c>
      <c r="J40" s="173">
        <v>0.02832</v>
      </c>
      <c r="K40" s="173">
        <v>0.02832</v>
      </c>
      <c r="L40" s="173">
        <v>0.02832</v>
      </c>
      <c r="M40" s="173">
        <v>0.02832</v>
      </c>
      <c r="N40" s="173">
        <v>0.02832</v>
      </c>
      <c r="O40" s="173">
        <v>0.02832</v>
      </c>
      <c r="P40" s="173">
        <v>0.02832</v>
      </c>
      <c r="Q40" s="173">
        <v>0.02832</v>
      </c>
      <c r="R40" s="173">
        <v>0.02832</v>
      </c>
      <c r="S40" s="173">
        <v>0.02832</v>
      </c>
      <c r="T40" s="171"/>
      <c r="U40" s="139"/>
      <c r="V40" s="108"/>
      <c r="W40" s="140"/>
      <c r="X40" s="140"/>
      <c r="Y40" s="141"/>
    </row>
    <row r="41">
      <c r="A41" s="69"/>
      <c r="B41" s="157"/>
      <c r="C41" s="157"/>
      <c r="D41" s="157"/>
      <c r="E41" s="157"/>
      <c r="F41" s="157"/>
      <c r="G41" s="174" t="s">
        <v>357</v>
      </c>
      <c r="H41" s="175">
        <f t="shared" ref="H41:S41" si="3">SUM(H38:H40)</f>
        <v>0.11492</v>
      </c>
      <c r="I41" s="175">
        <f t="shared" si="3"/>
        <v>0.0987</v>
      </c>
      <c r="J41" s="175">
        <f t="shared" si="3"/>
        <v>0.09808</v>
      </c>
      <c r="K41" s="175">
        <f t="shared" si="3"/>
        <v>0.11718</v>
      </c>
      <c r="L41" s="175">
        <f t="shared" si="3"/>
        <v>0.11006</v>
      </c>
      <c r="M41" s="175">
        <f t="shared" si="3"/>
        <v>0.10746</v>
      </c>
      <c r="N41" s="175">
        <f t="shared" si="3"/>
        <v>0.15878</v>
      </c>
      <c r="O41" s="175">
        <f t="shared" si="3"/>
        <v>0.10912</v>
      </c>
      <c r="P41" s="175">
        <f t="shared" si="3"/>
        <v>0.13092</v>
      </c>
      <c r="Q41" s="175">
        <f t="shared" si="3"/>
        <v>0.11068</v>
      </c>
      <c r="R41" s="175">
        <f t="shared" si="3"/>
        <v>0.10632</v>
      </c>
      <c r="S41" s="175">
        <f t="shared" si="3"/>
        <v>0.12256</v>
      </c>
      <c r="T41" s="157"/>
      <c r="U41" s="139"/>
      <c r="V41" s="108"/>
      <c r="W41" s="140"/>
      <c r="X41" s="140"/>
      <c r="Y41" s="141"/>
    </row>
    <row r="42">
      <c r="A42" s="69"/>
      <c r="B42" s="157"/>
      <c r="C42" s="157"/>
      <c r="D42" s="157"/>
      <c r="E42" s="157"/>
      <c r="F42" s="157"/>
      <c r="G42" s="174" t="s">
        <v>358</v>
      </c>
      <c r="H42" s="175">
        <v>0.08</v>
      </c>
      <c r="I42" s="175">
        <v>0.08</v>
      </c>
      <c r="J42" s="175">
        <v>0.08</v>
      </c>
      <c r="K42" s="175">
        <v>0.08</v>
      </c>
      <c r="L42" s="175">
        <v>0.08</v>
      </c>
      <c r="M42" s="175">
        <v>0.08</v>
      </c>
      <c r="N42" s="175">
        <v>0.08</v>
      </c>
      <c r="O42" s="175">
        <v>0.08</v>
      </c>
      <c r="P42" s="175">
        <v>0.08</v>
      </c>
      <c r="Q42" s="175">
        <v>0.08</v>
      </c>
      <c r="R42" s="175">
        <v>0.08</v>
      </c>
      <c r="S42" s="175">
        <v>0.08</v>
      </c>
      <c r="T42" s="157"/>
      <c r="U42" s="139"/>
      <c r="V42" s="108"/>
      <c r="W42" s="140"/>
      <c r="X42" s="140"/>
      <c r="Y42" s="141"/>
    </row>
    <row r="43">
      <c r="A43" s="69"/>
      <c r="B43" s="157"/>
      <c r="C43" s="157"/>
      <c r="D43" s="157"/>
      <c r="E43" s="157"/>
      <c r="F43" s="157"/>
      <c r="G43" s="174" t="s">
        <v>359</v>
      </c>
      <c r="H43" s="175">
        <f t="shared" ref="H43:S43" si="4">((1+(1/3))*(1+H41+H42)/12)</f>
        <v>0.1327688889</v>
      </c>
      <c r="I43" s="175">
        <f t="shared" si="4"/>
        <v>0.1309666667</v>
      </c>
      <c r="J43" s="175">
        <f t="shared" si="4"/>
        <v>0.1308977778</v>
      </c>
      <c r="K43" s="175">
        <f t="shared" si="4"/>
        <v>0.13302</v>
      </c>
      <c r="L43" s="175">
        <f t="shared" si="4"/>
        <v>0.1322288889</v>
      </c>
      <c r="M43" s="175">
        <f t="shared" si="4"/>
        <v>0.13194</v>
      </c>
      <c r="N43" s="175">
        <f t="shared" si="4"/>
        <v>0.1376422222</v>
      </c>
      <c r="O43" s="175">
        <f t="shared" si="4"/>
        <v>0.1321244444</v>
      </c>
      <c r="P43" s="175">
        <f t="shared" si="4"/>
        <v>0.1345466667</v>
      </c>
      <c r="Q43" s="175">
        <f t="shared" si="4"/>
        <v>0.1322977778</v>
      </c>
      <c r="R43" s="175">
        <f t="shared" si="4"/>
        <v>0.1318133333</v>
      </c>
      <c r="S43" s="175">
        <f t="shared" si="4"/>
        <v>0.1336177778</v>
      </c>
      <c r="T43" s="157"/>
      <c r="U43" s="139"/>
      <c r="V43" s="108"/>
      <c r="W43" s="140"/>
      <c r="X43" s="140"/>
      <c r="Y43" s="141"/>
    </row>
    <row r="44">
      <c r="A44" s="69"/>
      <c r="B44" s="157"/>
      <c r="C44" s="157"/>
      <c r="D44" s="157"/>
      <c r="E44" s="157"/>
      <c r="F44" s="157"/>
      <c r="G44" s="176" t="s">
        <v>360</v>
      </c>
      <c r="H44" s="177">
        <f t="shared" ref="H44:S44" si="5">(1/12)*(1+H41+H42)</f>
        <v>0.09957666667</v>
      </c>
      <c r="I44" s="177">
        <f t="shared" si="5"/>
        <v>0.098225</v>
      </c>
      <c r="J44" s="177">
        <f t="shared" si="5"/>
        <v>0.09817333333</v>
      </c>
      <c r="K44" s="177">
        <f t="shared" si="5"/>
        <v>0.099765</v>
      </c>
      <c r="L44" s="177">
        <f t="shared" si="5"/>
        <v>0.09917166667</v>
      </c>
      <c r="M44" s="177">
        <f t="shared" si="5"/>
        <v>0.098955</v>
      </c>
      <c r="N44" s="177">
        <f t="shared" si="5"/>
        <v>0.1032316667</v>
      </c>
      <c r="O44" s="177">
        <f t="shared" si="5"/>
        <v>0.09909333333</v>
      </c>
      <c r="P44" s="177">
        <f t="shared" si="5"/>
        <v>0.10091</v>
      </c>
      <c r="Q44" s="177">
        <f t="shared" si="5"/>
        <v>0.09922333333</v>
      </c>
      <c r="R44" s="177">
        <f t="shared" si="5"/>
        <v>0.09886</v>
      </c>
      <c r="S44" s="177">
        <f t="shared" si="5"/>
        <v>0.1002133333</v>
      </c>
      <c r="T44" s="157"/>
      <c r="U44" s="139"/>
      <c r="V44" s="108"/>
      <c r="W44" s="140"/>
      <c r="X44" s="140"/>
      <c r="Y44" s="141"/>
    </row>
    <row r="45">
      <c r="A45" s="69"/>
      <c r="B45" s="178"/>
      <c r="C45" s="178"/>
      <c r="D45" s="179"/>
      <c r="E45" s="179"/>
      <c r="F45" s="163"/>
      <c r="G45" s="180" t="s">
        <v>11</v>
      </c>
      <c r="H45" s="181">
        <f t="shared" ref="H45:S45" si="6">SUM(H41:H44)</f>
        <v>0.4272655556</v>
      </c>
      <c r="I45" s="181">
        <f t="shared" si="6"/>
        <v>0.4078916667</v>
      </c>
      <c r="J45" s="181">
        <f t="shared" si="6"/>
        <v>0.4071511111</v>
      </c>
      <c r="K45" s="181">
        <f t="shared" si="6"/>
        <v>0.429965</v>
      </c>
      <c r="L45" s="181">
        <f t="shared" si="6"/>
        <v>0.4214605556</v>
      </c>
      <c r="M45" s="181">
        <f t="shared" si="6"/>
        <v>0.418355</v>
      </c>
      <c r="N45" s="181">
        <f t="shared" si="6"/>
        <v>0.4796538889</v>
      </c>
      <c r="O45" s="181">
        <f t="shared" si="6"/>
        <v>0.4203377778</v>
      </c>
      <c r="P45" s="181">
        <f t="shared" si="6"/>
        <v>0.4463766667</v>
      </c>
      <c r="Q45" s="181">
        <f t="shared" si="6"/>
        <v>0.4222011111</v>
      </c>
      <c r="R45" s="181">
        <f t="shared" si="6"/>
        <v>0.4169933333</v>
      </c>
      <c r="S45" s="181">
        <f t="shared" si="6"/>
        <v>0.4363911111</v>
      </c>
      <c r="T45" s="157"/>
      <c r="U45" s="139"/>
      <c r="V45" s="108"/>
      <c r="W45" s="140"/>
      <c r="X45" s="140"/>
      <c r="Y45" s="141"/>
    </row>
    <row r="46" ht="11.25" customHeight="1">
      <c r="A46" s="69"/>
      <c r="B46" s="178"/>
      <c r="C46" s="178"/>
      <c r="D46" s="179"/>
      <c r="E46" s="179"/>
      <c r="F46" s="163"/>
      <c r="G46" s="182"/>
      <c r="H46" s="140"/>
      <c r="I46" s="183"/>
      <c r="J46" s="184"/>
      <c r="K46" s="185"/>
      <c r="L46" s="164"/>
      <c r="M46" s="164"/>
      <c r="N46" s="164"/>
      <c r="O46" s="164"/>
      <c r="P46" s="164"/>
      <c r="Q46" s="164"/>
      <c r="R46" s="164"/>
      <c r="S46" s="164"/>
      <c r="T46" s="108"/>
      <c r="U46" s="139"/>
      <c r="V46" s="108"/>
      <c r="W46" s="140"/>
      <c r="X46" s="140"/>
      <c r="Y46" s="141"/>
    </row>
    <row r="47" ht="11.25" customHeight="1">
      <c r="A47" s="69"/>
      <c r="B47" s="131"/>
      <c r="C47" s="67"/>
      <c r="D47" s="67"/>
      <c r="E47" s="124"/>
      <c r="F47" s="124"/>
      <c r="G47" s="67"/>
      <c r="H47" s="164">
        <v>21.0</v>
      </c>
      <c r="I47" s="164">
        <v>20.0</v>
      </c>
      <c r="J47" s="164">
        <v>23.0</v>
      </c>
      <c r="K47" s="164">
        <v>17.0</v>
      </c>
      <c r="L47" s="164">
        <v>22.0</v>
      </c>
      <c r="M47" s="164">
        <v>21.0</v>
      </c>
      <c r="N47" s="164">
        <v>21.0</v>
      </c>
      <c r="O47" s="164">
        <v>23.0</v>
      </c>
      <c r="P47" s="164">
        <v>21.0</v>
      </c>
      <c r="Q47" s="164">
        <v>19.0</v>
      </c>
      <c r="R47" s="164">
        <v>20.0</v>
      </c>
      <c r="S47" s="164">
        <v>22.0</v>
      </c>
      <c r="T47" s="104">
        <f t="shared" ref="T47:U47" si="7">sum(T49:T68)</f>
        <v>1334869.816</v>
      </c>
      <c r="U47" s="104">
        <f t="shared" si="7"/>
        <v>1334869.816</v>
      </c>
      <c r="V47" s="104">
        <f>U47-T47</f>
        <v>0</v>
      </c>
      <c r="W47" s="67"/>
      <c r="X47" s="140"/>
      <c r="Y47" s="141"/>
    </row>
    <row r="48">
      <c r="A48" s="69"/>
      <c r="B48" s="80" t="s">
        <v>314</v>
      </c>
      <c r="C48" s="80"/>
      <c r="D48" s="80"/>
      <c r="E48" s="132" t="s">
        <v>214</v>
      </c>
      <c r="F48" s="132" t="s">
        <v>317</v>
      </c>
      <c r="G48" s="80"/>
      <c r="H48" s="186">
        <v>44592.0</v>
      </c>
      <c r="I48" s="186">
        <v>44620.0</v>
      </c>
      <c r="J48" s="186">
        <v>44651.0</v>
      </c>
      <c r="K48" s="186">
        <v>44681.0</v>
      </c>
      <c r="L48" s="186">
        <v>44712.0</v>
      </c>
      <c r="M48" s="186">
        <v>44742.0</v>
      </c>
      <c r="N48" s="186">
        <v>44773.0</v>
      </c>
      <c r="O48" s="186">
        <v>44804.0</v>
      </c>
      <c r="P48" s="186">
        <v>44834.0</v>
      </c>
      <c r="Q48" s="187">
        <v>44865.0</v>
      </c>
      <c r="R48" s="187">
        <v>44895.0</v>
      </c>
      <c r="S48" s="187">
        <v>44926.0</v>
      </c>
      <c r="T48" s="133" t="s">
        <v>361</v>
      </c>
      <c r="U48" s="133" t="s">
        <v>362</v>
      </c>
      <c r="V48" s="133" t="s">
        <v>333</v>
      </c>
      <c r="W48" s="133"/>
      <c r="X48" s="140"/>
      <c r="Y48" s="141"/>
    </row>
    <row r="49" ht="11.25" customHeight="1">
      <c r="A49" s="69"/>
      <c r="B49" s="159" t="str">
        <f t="array" ref="B49:B70">unique(B13:B34)</f>
        <v>Alberto Reuters</v>
      </c>
      <c r="C49" s="127"/>
      <c r="D49" s="127"/>
      <c r="E49" s="188" t="str">
        <f t="array" ref="E49:E70">V13:V34</f>
        <v>Parcial</v>
      </c>
      <c r="F49" s="159" t="str">
        <f t="array" ref="F49:F70">F13:F34</f>
        <v>Mestrado</v>
      </c>
      <c r="G49" s="127"/>
      <c r="H49" s="189">
        <f t="shared" ref="H49:S49" si="8">iferror((xlookup($B49,$B$13:$B$34,H$13:H$34)*(1+H$45))/(H$47*8.8),"")</f>
        <v>114.5922784</v>
      </c>
      <c r="I49" s="189">
        <f t="shared" si="8"/>
        <v>118.6886272</v>
      </c>
      <c r="J49" s="189">
        <f t="shared" si="8"/>
        <v>103.1532145</v>
      </c>
      <c r="K49" s="189">
        <f t="shared" si="8"/>
        <v>141.8228964</v>
      </c>
      <c r="L49" s="189">
        <f t="shared" si="8"/>
        <v>108.9386518</v>
      </c>
      <c r="M49" s="189">
        <f t="shared" si="8"/>
        <v>113.8768678</v>
      </c>
      <c r="N49" s="189">
        <f t="shared" si="8"/>
        <v>118.7984322</v>
      </c>
      <c r="O49" s="189">
        <f t="shared" si="8"/>
        <v>104.1198818</v>
      </c>
      <c r="P49" s="189">
        <f t="shared" si="8"/>
        <v>116.126671</v>
      </c>
      <c r="Q49" s="189">
        <f t="shared" si="8"/>
        <v>212.074853</v>
      </c>
      <c r="R49" s="189">
        <f t="shared" si="8"/>
        <v>211.0510931</v>
      </c>
      <c r="S49" s="189">
        <f t="shared" si="8"/>
        <v>194.4911403</v>
      </c>
      <c r="T49" s="108">
        <f>SUMIF('Resumo - TIMESHEETS'!E:E,B49,'Resumo - TIMESHEETS'!L:L)</f>
        <v>0</v>
      </c>
      <c r="U49" s="108">
        <f t="shared" ref="U49:U70" si="10">SUMIF(V49,TRUE,T49)</f>
        <v>0</v>
      </c>
      <c r="V49" s="140" t="b">
        <v>1</v>
      </c>
      <c r="W49" s="140"/>
      <c r="X49" s="140"/>
      <c r="Y49" s="141"/>
    </row>
    <row r="50" ht="11.25" customHeight="1">
      <c r="A50" s="69"/>
      <c r="B50" s="159" t="s">
        <v>220</v>
      </c>
      <c r="C50" s="127"/>
      <c r="D50" s="127"/>
      <c r="E50" s="190" t="s">
        <v>225</v>
      </c>
      <c r="F50" s="128" t="s">
        <v>41</v>
      </c>
      <c r="G50" s="127"/>
      <c r="H50" s="189">
        <f t="shared" ref="H50:S50" si="9">iferror((xlookup($B50,$B$13:$B$34,H$13:H$34)*(1+H$45))/(H$47*8.8),"")</f>
        <v>53.46901311</v>
      </c>
      <c r="I50" s="189">
        <f t="shared" si="9"/>
        <v>55.38037863</v>
      </c>
      <c r="J50" s="189">
        <f t="shared" si="9"/>
        <v>48.13152033</v>
      </c>
      <c r="K50" s="189">
        <f t="shared" si="9"/>
        <v>66.1748803</v>
      </c>
      <c r="L50" s="189">
        <f t="shared" si="9"/>
        <v>50.8310183</v>
      </c>
      <c r="M50" s="189">
        <f t="shared" si="9"/>
        <v>53.13520094</v>
      </c>
      <c r="N50" s="189">
        <f t="shared" si="9"/>
        <v>55.43161388</v>
      </c>
      <c r="O50" s="189">
        <f t="shared" si="9"/>
        <v>48.58256948</v>
      </c>
      <c r="P50" s="189">
        <f t="shared" si="9"/>
        <v>54.18496414</v>
      </c>
      <c r="Q50" s="189">
        <f t="shared" si="9"/>
        <v>58.88763199</v>
      </c>
      <c r="R50" s="189">
        <f t="shared" si="9"/>
        <v>58.60338229</v>
      </c>
      <c r="S50" s="189">
        <f t="shared" si="9"/>
        <v>54.00511545</v>
      </c>
      <c r="T50" s="108">
        <f>SUMIF('Resumo - TIMESHEETS'!E:E,B50,'Resumo - TIMESHEETS'!L:L)</f>
        <v>3208.096846</v>
      </c>
      <c r="U50" s="108">
        <f t="shared" si="10"/>
        <v>3208.096846</v>
      </c>
      <c r="V50" s="140" t="b">
        <v>1</v>
      </c>
      <c r="W50" s="140"/>
      <c r="X50" s="140"/>
      <c r="Y50" s="140"/>
    </row>
    <row r="51" ht="11.25" customHeight="1">
      <c r="A51" s="69"/>
      <c r="B51" s="159" t="s">
        <v>268</v>
      </c>
      <c r="C51" s="127"/>
      <c r="D51" s="127"/>
      <c r="E51" s="190" t="s">
        <v>264</v>
      </c>
      <c r="F51" s="128" t="s">
        <v>41</v>
      </c>
      <c r="G51" s="127"/>
      <c r="H51" s="189">
        <f t="shared" ref="H51:S51" si="11">iferror((xlookup($B51,$B$13:$B$34,H$13:H$34)*(1+H$45))/(H$47*8.8),"")</f>
        <v>87.20600268</v>
      </c>
      <c r="I51" s="189">
        <f t="shared" si="11"/>
        <v>90.32336987</v>
      </c>
      <c r="J51" s="189">
        <f t="shared" si="11"/>
        <v>78.50074738</v>
      </c>
      <c r="K51" s="189">
        <f t="shared" si="11"/>
        <v>107.9288069</v>
      </c>
      <c r="L51" s="189">
        <f t="shared" si="11"/>
        <v>82.90352973</v>
      </c>
      <c r="M51" s="189">
        <f t="shared" si="11"/>
        <v>86.66156725</v>
      </c>
      <c r="N51" s="189">
        <f t="shared" si="11"/>
        <v>95.02636728</v>
      </c>
      <c r="O51" s="189">
        <f t="shared" si="11"/>
        <v>83.28505644</v>
      </c>
      <c r="P51" s="189">
        <f t="shared" si="11"/>
        <v>92.88923672</v>
      </c>
      <c r="Q51" s="189">
        <f t="shared" si="11"/>
        <v>100.9510161</v>
      </c>
      <c r="R51" s="189">
        <f t="shared" si="11"/>
        <v>100.4637002</v>
      </c>
      <c r="S51" s="189">
        <f t="shared" si="11"/>
        <v>92.58089745</v>
      </c>
      <c r="T51" s="108">
        <f>SUMIF('Resumo - TIMESHEETS'!E:E,B51,'Resumo - TIMESHEETS'!L:L)</f>
        <v>176592.257</v>
      </c>
      <c r="U51" s="108">
        <f t="shared" si="10"/>
        <v>176592.257</v>
      </c>
      <c r="V51" s="140" t="b">
        <v>1</v>
      </c>
      <c r="W51" s="140"/>
      <c r="X51" s="140"/>
      <c r="Y51" s="140"/>
    </row>
    <row r="52">
      <c r="A52" s="69"/>
      <c r="B52" s="159" t="s">
        <v>261</v>
      </c>
      <c r="C52" s="127"/>
      <c r="D52" s="127"/>
      <c r="E52" s="190" t="s">
        <v>264</v>
      </c>
      <c r="F52" s="128" t="s">
        <v>41</v>
      </c>
      <c r="G52" s="127"/>
      <c r="H52" s="189">
        <f t="shared" ref="H52:S52" si="12">iferror((xlookup($B52,$B$13:$B$34,H$13:H$34)*(1+H$45))/(H$47*8.8),"")</f>
        <v>108.318952</v>
      </c>
      <c r="I52" s="189">
        <f t="shared" si="12"/>
        <v>112.1910472</v>
      </c>
      <c r="J52" s="189">
        <f t="shared" si="12"/>
        <v>97.50611683</v>
      </c>
      <c r="K52" s="189">
        <f t="shared" si="12"/>
        <v>134.0588364</v>
      </c>
      <c r="L52" s="189">
        <f t="shared" si="12"/>
        <v>102.9748318</v>
      </c>
      <c r="M52" s="189">
        <f t="shared" si="12"/>
        <v>107.6427064</v>
      </c>
      <c r="N52" s="189">
        <f t="shared" si="12"/>
        <v>114.4970271</v>
      </c>
      <c r="O52" s="189">
        <f t="shared" si="12"/>
        <v>100.3499517</v>
      </c>
      <c r="P52" s="189">
        <f t="shared" si="12"/>
        <v>111.922004</v>
      </c>
      <c r="Q52" s="189">
        <f t="shared" si="12"/>
        <v>121.6356213</v>
      </c>
      <c r="R52" s="189">
        <f t="shared" si="12"/>
        <v>121.0484267</v>
      </c>
      <c r="S52" s="189">
        <f t="shared" si="12"/>
        <v>111.5504601</v>
      </c>
      <c r="T52" s="108">
        <f>SUMIF('Resumo - TIMESHEETS'!E:E,B52,'Resumo - TIMESHEETS'!L:L)</f>
        <v>236612.194</v>
      </c>
      <c r="U52" s="108">
        <f t="shared" si="10"/>
        <v>236612.194</v>
      </c>
      <c r="V52" s="140" t="b">
        <v>1</v>
      </c>
      <c r="W52" s="140"/>
      <c r="X52" s="140"/>
      <c r="Y52" s="140"/>
    </row>
    <row r="53">
      <c r="A53" s="69"/>
      <c r="B53" s="159" t="s">
        <v>270</v>
      </c>
      <c r="C53" s="127"/>
      <c r="D53" s="127"/>
      <c r="E53" s="190" t="s">
        <v>264</v>
      </c>
      <c r="F53" s="128" t="s">
        <v>41</v>
      </c>
      <c r="G53" s="127"/>
      <c r="H53" s="189">
        <f t="shared" ref="H53:S53" si="13">iferror((xlookup($B53,$B$13:$B$34,H$13:H$34)*(1+H$45))/(H$47*8.8),"")</f>
        <v>96.54123076</v>
      </c>
      <c r="I53" s="189">
        <f t="shared" si="13"/>
        <v>99.99230587</v>
      </c>
      <c r="J53" s="189">
        <f t="shared" si="13"/>
        <v>86.9040953</v>
      </c>
      <c r="K53" s="189">
        <f t="shared" si="13"/>
        <v>119.4823697</v>
      </c>
      <c r="L53" s="189">
        <f t="shared" si="13"/>
        <v>91.7781867</v>
      </c>
      <c r="M53" s="189">
        <f t="shared" si="13"/>
        <v>95.93851461</v>
      </c>
      <c r="N53" s="189">
        <f t="shared" si="13"/>
        <v>100.0848139</v>
      </c>
      <c r="O53" s="189">
        <f t="shared" si="13"/>
        <v>88.62381422</v>
      </c>
      <c r="P53" s="189">
        <f t="shared" si="13"/>
        <v>98.84364387</v>
      </c>
      <c r="Q53" s="189">
        <f t="shared" si="13"/>
        <v>107.4222013</v>
      </c>
      <c r="R53" s="189">
        <f t="shared" si="13"/>
        <v>106.9036933</v>
      </c>
      <c r="S53" s="189">
        <f t="shared" si="13"/>
        <v>98.51558178</v>
      </c>
      <c r="T53" s="108">
        <f>SUMIF('Resumo - TIMESHEETS'!E:E,B53,'Resumo - TIMESHEETS'!L:L)</f>
        <v>225788.7254</v>
      </c>
      <c r="U53" s="108">
        <f t="shared" si="10"/>
        <v>225788.7254</v>
      </c>
      <c r="V53" s="140" t="b">
        <v>1</v>
      </c>
      <c r="W53" s="140"/>
      <c r="X53" s="140"/>
      <c r="Y53" s="140"/>
    </row>
    <row r="54">
      <c r="A54" s="69"/>
      <c r="B54" s="159" t="s">
        <v>222</v>
      </c>
      <c r="C54" s="127"/>
      <c r="D54" s="127"/>
      <c r="E54" s="190" t="s">
        <v>225</v>
      </c>
      <c r="F54" s="128" t="s">
        <v>41</v>
      </c>
      <c r="G54" s="127"/>
      <c r="H54" s="189">
        <f t="shared" ref="H54:S54" si="14">iferror((xlookup($B54,$B$13:$B$34,H$13:H$34)*(1+H$45))/(H$47*8.8),"")</f>
        <v>103.1198592</v>
      </c>
      <c r="I54" s="189">
        <f t="shared" si="14"/>
        <v>106.8061016</v>
      </c>
      <c r="J54" s="189">
        <f t="shared" si="14"/>
        <v>92.82601845</v>
      </c>
      <c r="K54" s="189">
        <f t="shared" si="14"/>
        <v>127.6242807</v>
      </c>
      <c r="L54" s="189">
        <f t="shared" si="14"/>
        <v>98.03224603</v>
      </c>
      <c r="M54" s="189">
        <f t="shared" si="14"/>
        <v>102.476072</v>
      </c>
      <c r="N54" s="189">
        <f t="shared" si="14"/>
        <v>106.9049134</v>
      </c>
      <c r="O54" s="189">
        <f t="shared" si="14"/>
        <v>93.6959078</v>
      </c>
      <c r="P54" s="189">
        <f t="shared" si="14"/>
        <v>104.5006359</v>
      </c>
      <c r="Q54" s="189">
        <f t="shared" si="14"/>
        <v>153.2265187</v>
      </c>
      <c r="R54" s="189">
        <f t="shared" si="14"/>
        <v>152.4868392</v>
      </c>
      <c r="S54" s="189">
        <f t="shared" si="14"/>
        <v>140.522083</v>
      </c>
      <c r="T54" s="108">
        <f>SUMIF('Resumo - TIMESHEETS'!E:E,B54,'Resumo - TIMESHEETS'!L:L)</f>
        <v>15040.49177</v>
      </c>
      <c r="U54" s="108">
        <f t="shared" si="10"/>
        <v>15040.49177</v>
      </c>
      <c r="V54" s="140" t="b">
        <v>1</v>
      </c>
      <c r="W54" s="140"/>
      <c r="X54" s="140"/>
      <c r="Y54" s="140"/>
    </row>
    <row r="55" ht="11.25" hidden="1" customHeight="1">
      <c r="A55" s="69"/>
      <c r="B55" s="159" t="s">
        <v>303</v>
      </c>
      <c r="C55" s="127"/>
      <c r="D55" s="127"/>
      <c r="E55" s="190" t="s">
        <v>225</v>
      </c>
      <c r="F55" s="128"/>
      <c r="G55" s="127"/>
      <c r="H55" s="189">
        <f t="shared" ref="H55:S55" si="15">iferror((xlookup($B55,$B$13:$B$34,H$13:H$34)*(1+H$45))/(H$47*8.8),"")</f>
        <v>0</v>
      </c>
      <c r="I55" s="189">
        <f t="shared" si="15"/>
        <v>0</v>
      </c>
      <c r="J55" s="189">
        <f t="shared" si="15"/>
        <v>0</v>
      </c>
      <c r="K55" s="189">
        <f t="shared" si="15"/>
        <v>0</v>
      </c>
      <c r="L55" s="189">
        <f t="shared" si="15"/>
        <v>0</v>
      </c>
      <c r="M55" s="189">
        <f t="shared" si="15"/>
        <v>0</v>
      </c>
      <c r="N55" s="189">
        <f t="shared" si="15"/>
        <v>0</v>
      </c>
      <c r="O55" s="189">
        <f t="shared" si="15"/>
        <v>0</v>
      </c>
      <c r="P55" s="189">
        <f t="shared" si="15"/>
        <v>0</v>
      </c>
      <c r="Q55" s="189">
        <f t="shared" si="15"/>
        <v>0</v>
      </c>
      <c r="R55" s="189">
        <f t="shared" si="15"/>
        <v>0</v>
      </c>
      <c r="S55" s="189">
        <f t="shared" si="15"/>
        <v>0</v>
      </c>
      <c r="T55" s="108">
        <f>SUMIF('Resumo - TIMESHEETS'!E:E,B55,'Resumo - TIMESHEETS'!L:L)</f>
        <v>0</v>
      </c>
      <c r="U55" s="108">
        <f t="shared" si="10"/>
        <v>0</v>
      </c>
      <c r="V55" s="140" t="b">
        <v>1</v>
      </c>
      <c r="W55" s="140"/>
      <c r="X55" s="140"/>
      <c r="Y55" s="140"/>
    </row>
    <row r="56" ht="11.25" customHeight="1">
      <c r="A56" s="69"/>
      <c r="B56" s="159" t="s">
        <v>228</v>
      </c>
      <c r="C56" s="127"/>
      <c r="D56" s="127"/>
      <c r="E56" s="190" t="s">
        <v>225</v>
      </c>
      <c r="F56" s="128" t="s">
        <v>39</v>
      </c>
      <c r="G56" s="127"/>
      <c r="H56" s="189">
        <f t="shared" ref="H56:S56" si="16">iferror((xlookup($B56,$B$13:$B$34,H$13:H$34)*(1+H$45))/(H$47*8.8),"")</f>
        <v>42.25308462</v>
      </c>
      <c r="I56" s="189">
        <f t="shared" si="16"/>
        <v>43.76351252</v>
      </c>
      <c r="J56" s="189">
        <f t="shared" si="16"/>
        <v>38.03521111</v>
      </c>
      <c r="K56" s="189">
        <f t="shared" si="16"/>
        <v>52.29370535</v>
      </c>
      <c r="L56" s="189">
        <f t="shared" si="16"/>
        <v>40.16844884</v>
      </c>
      <c r="M56" s="189">
        <f t="shared" si="16"/>
        <v>41.98929456</v>
      </c>
      <c r="N56" s="189">
        <f t="shared" si="16"/>
        <v>47.31705744</v>
      </c>
      <c r="O56" s="189">
        <f t="shared" si="16"/>
        <v>41.47063507</v>
      </c>
      <c r="P56" s="189">
        <f t="shared" si="16"/>
        <v>46.25290301</v>
      </c>
      <c r="Q56" s="189">
        <f t="shared" si="16"/>
        <v>50.26715389</v>
      </c>
      <c r="R56" s="189">
        <f t="shared" si="16"/>
        <v>50.0245343</v>
      </c>
      <c r="S56" s="189">
        <f t="shared" si="16"/>
        <v>46.0993998</v>
      </c>
      <c r="T56" s="108">
        <f>SUMIF('Resumo - TIMESHEETS'!E:E,B56,'Resumo - TIMESHEETS'!L:L)</f>
        <v>68078.45311</v>
      </c>
      <c r="U56" s="108">
        <f t="shared" si="10"/>
        <v>68078.45311</v>
      </c>
      <c r="V56" s="140" t="b">
        <v>1</v>
      </c>
      <c r="W56" s="140"/>
      <c r="X56" s="140"/>
      <c r="Y56" s="140"/>
    </row>
    <row r="57" ht="11.25" customHeight="1">
      <c r="A57" s="69"/>
      <c r="B57" s="159" t="s">
        <v>226</v>
      </c>
      <c r="C57" s="127"/>
      <c r="D57" s="127"/>
      <c r="E57" s="190" t="s">
        <v>225</v>
      </c>
      <c r="F57" s="128" t="s">
        <v>41</v>
      </c>
      <c r="G57" s="127"/>
      <c r="H57" s="189">
        <f t="shared" ref="H57:S57" si="17">iferror((xlookup($B57,$B$13:$B$34,H$13:H$34)*(1+H$45))/(H$47*8.8),"")</f>
        <v>21.38928892</v>
      </c>
      <c r="I57" s="189">
        <f t="shared" si="17"/>
        <v>22.15389532</v>
      </c>
      <c r="J57" s="189">
        <f t="shared" si="17"/>
        <v>19.25412374</v>
      </c>
      <c r="K57" s="189">
        <f t="shared" si="17"/>
        <v>26.47203589</v>
      </c>
      <c r="L57" s="189">
        <f t="shared" si="17"/>
        <v>20.33400793</v>
      </c>
      <c r="M57" s="189">
        <f t="shared" si="17"/>
        <v>21.25575354</v>
      </c>
      <c r="N57" s="189">
        <f t="shared" si="17"/>
        <v>23.72658639</v>
      </c>
      <c r="O57" s="189">
        <f t="shared" si="17"/>
        <v>20.79496611</v>
      </c>
      <c r="P57" s="189">
        <f t="shared" si="17"/>
        <v>23.19297857</v>
      </c>
      <c r="Q57" s="189">
        <f t="shared" si="17"/>
        <v>25.20587784</v>
      </c>
      <c r="R57" s="189">
        <f t="shared" si="17"/>
        <v>25.08424397</v>
      </c>
      <c r="S57" s="189">
        <f t="shared" si="17"/>
        <v>23.11602912</v>
      </c>
      <c r="T57" s="108">
        <f>SUMIF('Resumo - TIMESHEETS'!E:E,B57,'Resumo - TIMESHEETS'!L:L)</f>
        <v>11465.84852</v>
      </c>
      <c r="U57" s="108">
        <f t="shared" si="10"/>
        <v>11465.84852</v>
      </c>
      <c r="V57" s="140" t="b">
        <v>1</v>
      </c>
      <c r="W57" s="140"/>
      <c r="X57" s="140"/>
      <c r="Y57" s="140"/>
    </row>
    <row r="58" ht="11.25" customHeight="1">
      <c r="A58" s="69"/>
      <c r="B58" s="159" t="s">
        <v>247</v>
      </c>
      <c r="C58" s="127"/>
      <c r="D58" s="127"/>
      <c r="E58" s="190" t="s">
        <v>225</v>
      </c>
      <c r="F58" s="128" t="s">
        <v>41</v>
      </c>
      <c r="G58" s="127"/>
      <c r="H58" s="189">
        <f t="shared" ref="H58:S58" si="18">iferror((xlookup($B58,$B$13:$B$34,H$13:H$34)*(1+H$45))/(H$47*8.8),"")</f>
        <v>0</v>
      </c>
      <c r="I58" s="189">
        <f t="shared" si="18"/>
        <v>0</v>
      </c>
      <c r="J58" s="189">
        <f t="shared" si="18"/>
        <v>0</v>
      </c>
      <c r="K58" s="189">
        <f t="shared" si="18"/>
        <v>95.58589572</v>
      </c>
      <c r="L58" s="189">
        <f t="shared" si="18"/>
        <v>73.42254936</v>
      </c>
      <c r="M58" s="189">
        <f t="shared" si="18"/>
        <v>76.75081169</v>
      </c>
      <c r="N58" s="189">
        <f t="shared" si="18"/>
        <v>80.06785113</v>
      </c>
      <c r="O58" s="189">
        <f t="shared" si="18"/>
        <v>70.17479139</v>
      </c>
      <c r="P58" s="189">
        <f t="shared" si="18"/>
        <v>78.26713564</v>
      </c>
      <c r="Q58" s="189">
        <f t="shared" si="18"/>
        <v>85.05987507</v>
      </c>
      <c r="R58" s="189">
        <f t="shared" si="18"/>
        <v>84.64924947</v>
      </c>
      <c r="S58" s="189">
        <f t="shared" si="18"/>
        <v>78.00731478</v>
      </c>
      <c r="T58" s="108">
        <f>SUMIF('Resumo - TIMESHEETS'!E:E,B58,'Resumo - TIMESHEETS'!L:L)</f>
        <v>119279.726</v>
      </c>
      <c r="U58" s="108">
        <f t="shared" si="10"/>
        <v>119279.726</v>
      </c>
      <c r="V58" s="140" t="b">
        <v>1</v>
      </c>
      <c r="W58" s="140"/>
      <c r="X58" s="140"/>
      <c r="Y58" s="140"/>
    </row>
    <row r="59" ht="11.25" customHeight="1">
      <c r="A59" s="69"/>
      <c r="B59" s="159" t="s">
        <v>265</v>
      </c>
      <c r="C59" s="127"/>
      <c r="D59" s="127"/>
      <c r="E59" s="190" t="s">
        <v>264</v>
      </c>
      <c r="F59" s="128" t="s">
        <v>41</v>
      </c>
      <c r="G59" s="127"/>
      <c r="H59" s="189">
        <f t="shared" ref="H59:S59" si="19">iferror((xlookup($B59,$B$13:$B$34,H$13:H$34)*(1+H$45))/(H$47*8.8),"")</f>
        <v>114.7446591</v>
      </c>
      <c r="I59" s="189">
        <f t="shared" si="19"/>
        <v>118.8464551</v>
      </c>
      <c r="J59" s="189">
        <f t="shared" si="19"/>
        <v>103.2903839</v>
      </c>
      <c r="K59" s="189">
        <f t="shared" si="19"/>
        <v>142.0114873</v>
      </c>
      <c r="L59" s="189">
        <f t="shared" si="19"/>
        <v>109.0835145</v>
      </c>
      <c r="M59" s="189">
        <f t="shared" si="19"/>
        <v>114.0282972</v>
      </c>
      <c r="N59" s="189">
        <f t="shared" si="19"/>
        <v>121.8365268</v>
      </c>
      <c r="O59" s="189">
        <f t="shared" si="19"/>
        <v>106.7825941</v>
      </c>
      <c r="P59" s="189">
        <f t="shared" si="19"/>
        <v>119.0964392</v>
      </c>
      <c r="Q59" s="189">
        <f t="shared" si="19"/>
        <v>129.4327199</v>
      </c>
      <c r="R59" s="189">
        <f t="shared" si="19"/>
        <v>128.8079144</v>
      </c>
      <c r="S59" s="189">
        <f t="shared" si="19"/>
        <v>118.7011059</v>
      </c>
      <c r="T59" s="108">
        <f>SUMIF('Resumo - TIMESHEETS'!E:E,B59,'Resumo - TIMESHEETS'!L:L)</f>
        <v>233235.9645</v>
      </c>
      <c r="U59" s="108">
        <f t="shared" si="10"/>
        <v>233235.9645</v>
      </c>
      <c r="V59" s="141" t="b">
        <v>1</v>
      </c>
      <c r="W59" s="140"/>
      <c r="X59" s="140"/>
      <c r="Y59" s="140"/>
    </row>
    <row r="60">
      <c r="A60" s="69"/>
      <c r="B60" s="159" t="s">
        <v>245</v>
      </c>
      <c r="C60" s="127"/>
      <c r="D60" s="127"/>
      <c r="E60" s="190" t="s">
        <v>225</v>
      </c>
      <c r="F60" s="128" t="s">
        <v>39</v>
      </c>
      <c r="G60" s="127"/>
      <c r="H60" s="189">
        <f t="shared" ref="H60:S60" si="20">iferror((xlookup($B60,$B$13:$B$34,H$13:H$34)*(1+H$45))/(H$47*8.8),"")</f>
        <v>0</v>
      </c>
      <c r="I60" s="189">
        <f t="shared" si="20"/>
        <v>0</v>
      </c>
      <c r="J60" s="189">
        <f t="shared" si="20"/>
        <v>0</v>
      </c>
      <c r="K60" s="189">
        <f t="shared" si="20"/>
        <v>50.05336312</v>
      </c>
      <c r="L60" s="189">
        <f t="shared" si="20"/>
        <v>38.44757113</v>
      </c>
      <c r="M60" s="189">
        <f t="shared" si="20"/>
        <v>40.19040904</v>
      </c>
      <c r="N60" s="189">
        <f t="shared" si="20"/>
        <v>41.92737011</v>
      </c>
      <c r="O60" s="189">
        <f t="shared" si="20"/>
        <v>36.74688916</v>
      </c>
      <c r="P60" s="189">
        <f t="shared" si="20"/>
        <v>40.98442904</v>
      </c>
      <c r="Q60" s="189">
        <f t="shared" si="20"/>
        <v>44.54143346</v>
      </c>
      <c r="R60" s="189">
        <f t="shared" si="20"/>
        <v>44.32644986</v>
      </c>
      <c r="S60" s="189">
        <f t="shared" si="20"/>
        <v>40.84841093</v>
      </c>
      <c r="T60" s="108">
        <f>SUMIF('Resumo - TIMESHEETS'!E:E,B60,'Resumo - TIMESHEETS'!L:L)</f>
        <v>2831.547417</v>
      </c>
      <c r="U60" s="108">
        <f t="shared" si="10"/>
        <v>2831.547417</v>
      </c>
      <c r="V60" s="141" t="b">
        <v>1</v>
      </c>
      <c r="W60" s="140"/>
      <c r="X60" s="140"/>
      <c r="Y60" s="140"/>
    </row>
    <row r="61" ht="11.25" customHeight="1">
      <c r="A61" s="69"/>
      <c r="B61" s="159" t="s">
        <v>256</v>
      </c>
      <c r="C61" s="127"/>
      <c r="D61" s="127"/>
      <c r="E61" s="190" t="s">
        <v>225</v>
      </c>
      <c r="F61" s="128" t="s">
        <v>39</v>
      </c>
      <c r="G61" s="127"/>
      <c r="H61" s="189">
        <f t="shared" ref="H61:S61" si="21">iferror((xlookup($B61,$B$13:$B$34,H$13:H$34)*(1+H$45))/(H$47*8.8),"")</f>
        <v>0</v>
      </c>
      <c r="I61" s="189">
        <f t="shared" si="21"/>
        <v>0</v>
      </c>
      <c r="J61" s="189">
        <f t="shared" si="21"/>
        <v>0</v>
      </c>
      <c r="K61" s="189">
        <f t="shared" si="21"/>
        <v>0</v>
      </c>
      <c r="L61" s="189">
        <f t="shared" si="21"/>
        <v>0</v>
      </c>
      <c r="M61" s="189">
        <f t="shared" si="21"/>
        <v>0</v>
      </c>
      <c r="N61" s="189">
        <f t="shared" si="21"/>
        <v>0</v>
      </c>
      <c r="O61" s="189">
        <f t="shared" si="21"/>
        <v>10.94726746</v>
      </c>
      <c r="P61" s="189">
        <f t="shared" si="21"/>
        <v>12.20967316</v>
      </c>
      <c r="Q61" s="189">
        <f t="shared" si="21"/>
        <v>13.26934051</v>
      </c>
      <c r="R61" s="189">
        <f t="shared" si="21"/>
        <v>13.21185261</v>
      </c>
      <c r="S61" s="189">
        <f t="shared" si="21"/>
        <v>12.17519532</v>
      </c>
      <c r="T61" s="108">
        <f>SUMIF('Resumo - TIMESHEETS'!E:E,B61,'Resumo - TIMESHEETS'!L:L)</f>
        <v>3476.372324</v>
      </c>
      <c r="U61" s="108">
        <f t="shared" si="10"/>
        <v>3476.372324</v>
      </c>
      <c r="V61" s="141" t="b">
        <v>1</v>
      </c>
      <c r="W61" s="140"/>
      <c r="X61" s="140"/>
      <c r="Y61" s="140"/>
    </row>
    <row r="62" ht="11.25" customHeight="1">
      <c r="A62" s="69"/>
      <c r="B62" s="159" t="s">
        <v>229</v>
      </c>
      <c r="C62" s="127"/>
      <c r="D62" s="127"/>
      <c r="E62" s="190" t="s">
        <v>225</v>
      </c>
      <c r="F62" s="128" t="s">
        <v>41</v>
      </c>
      <c r="G62" s="127"/>
      <c r="H62" s="189">
        <f t="shared" ref="H62:S62" si="22">iferror((xlookup($B62,$B$13:$B$34,H$13:H$34)*(1+H$45))/(H$47*8.8),"")</f>
        <v>62.66228696</v>
      </c>
      <c r="I62" s="189">
        <f t="shared" si="22"/>
        <v>64.90228595</v>
      </c>
      <c r="J62" s="189">
        <f t="shared" si="22"/>
        <v>56.40708447</v>
      </c>
      <c r="K62" s="189">
        <f t="shared" si="22"/>
        <v>77.55275622</v>
      </c>
      <c r="L62" s="189">
        <f t="shared" si="22"/>
        <v>59.57072462</v>
      </c>
      <c r="M62" s="189">
        <f t="shared" si="22"/>
        <v>62.27108031</v>
      </c>
      <c r="N62" s="189">
        <f t="shared" si="22"/>
        <v>64.9623304</v>
      </c>
      <c r="O62" s="189">
        <f t="shared" si="22"/>
        <v>56.93568542</v>
      </c>
      <c r="P62" s="189">
        <f t="shared" si="22"/>
        <v>63.5013361</v>
      </c>
      <c r="Q62" s="189">
        <f t="shared" si="22"/>
        <v>69.0125641</v>
      </c>
      <c r="R62" s="189">
        <f t="shared" si="22"/>
        <v>68.67941256</v>
      </c>
      <c r="S62" s="189">
        <f t="shared" si="22"/>
        <v>63.29053817</v>
      </c>
      <c r="T62" s="108">
        <f>SUMIF('Resumo - TIMESHEETS'!E:E,B62,'Resumo - TIMESHEETS'!L:L)</f>
        <v>68856.64991</v>
      </c>
      <c r="U62" s="108">
        <f t="shared" si="10"/>
        <v>68856.64991</v>
      </c>
      <c r="V62" s="141" t="b">
        <v>1</v>
      </c>
      <c r="W62" s="140"/>
      <c r="X62" s="140"/>
      <c r="Y62" s="140"/>
    </row>
    <row r="63" ht="11.25" customHeight="1">
      <c r="A63" s="69"/>
      <c r="B63" s="159" t="s">
        <v>281</v>
      </c>
      <c r="C63" s="127"/>
      <c r="D63" s="127"/>
      <c r="E63" s="190" t="s">
        <v>225</v>
      </c>
      <c r="F63" s="128" t="s">
        <v>41</v>
      </c>
      <c r="G63" s="127"/>
      <c r="H63" s="189">
        <f t="shared" ref="H63:S63" si="23">iferror((xlookup($B63,$B$13:$B$34,H$13:H$34)*(1+H$45))/(H$47*8.8),"")</f>
        <v>46.12014016</v>
      </c>
      <c r="I63" s="189">
        <f t="shared" si="23"/>
        <v>52.14062792</v>
      </c>
      <c r="J63" s="189">
        <f t="shared" si="23"/>
        <v>45.31582764</v>
      </c>
      <c r="K63" s="189">
        <f t="shared" si="23"/>
        <v>62.30365152</v>
      </c>
      <c r="L63" s="189">
        <f t="shared" si="23"/>
        <v>47.85740505</v>
      </c>
      <c r="M63" s="189">
        <f t="shared" si="23"/>
        <v>50.02679306</v>
      </c>
      <c r="N63" s="189">
        <f t="shared" si="23"/>
        <v>56.27416788</v>
      </c>
      <c r="O63" s="189">
        <f t="shared" si="23"/>
        <v>49.32101881</v>
      </c>
      <c r="P63" s="189">
        <f t="shared" si="23"/>
        <v>55.00856921</v>
      </c>
      <c r="Q63" s="189">
        <f t="shared" si="23"/>
        <v>59.78271705</v>
      </c>
      <c r="R63" s="189">
        <f t="shared" si="23"/>
        <v>59.49415583</v>
      </c>
      <c r="S63" s="189">
        <f t="shared" si="23"/>
        <v>54.82599516</v>
      </c>
      <c r="T63" s="108">
        <f>SUMIF('Resumo - TIMESHEETS'!E:E,B63,'Resumo - TIMESHEETS'!L:L)</f>
        <v>76382.77543</v>
      </c>
      <c r="U63" s="108">
        <f t="shared" si="10"/>
        <v>76382.77543</v>
      </c>
      <c r="V63" s="141" t="b">
        <v>1</v>
      </c>
      <c r="W63" s="140"/>
      <c r="X63" s="140"/>
      <c r="Y63" s="140"/>
    </row>
    <row r="64" ht="11.25" customHeight="1">
      <c r="A64" s="69"/>
      <c r="B64" s="159" t="s">
        <v>236</v>
      </c>
      <c r="C64" s="127"/>
      <c r="D64" s="127"/>
      <c r="E64" s="190" t="s">
        <v>225</v>
      </c>
      <c r="F64" s="128" t="s">
        <v>39</v>
      </c>
      <c r="G64" s="127"/>
      <c r="H64" s="189">
        <f t="shared" ref="H64:S64" si="24">iferror((xlookup($B64,$B$13:$B$34,H$13:H$34)*(1+H$45))/(H$47*8.8),"")</f>
        <v>0</v>
      </c>
      <c r="I64" s="189">
        <f t="shared" si="24"/>
        <v>12.47903977</v>
      </c>
      <c r="J64" s="189">
        <f t="shared" si="24"/>
        <v>10.84563109</v>
      </c>
      <c r="K64" s="189">
        <f t="shared" si="24"/>
        <v>14.91139973</v>
      </c>
      <c r="L64" s="189">
        <f t="shared" si="24"/>
        <v>11.4539177</v>
      </c>
      <c r="M64" s="189">
        <f t="shared" si="24"/>
        <v>11.97312662</v>
      </c>
      <c r="N64" s="189">
        <f t="shared" si="24"/>
        <v>12.49058478</v>
      </c>
      <c r="O64" s="189">
        <f t="shared" si="24"/>
        <v>10.94726746</v>
      </c>
      <c r="P64" s="189">
        <f t="shared" si="24"/>
        <v>12.20967316</v>
      </c>
      <c r="Q64" s="189">
        <f t="shared" si="24"/>
        <v>13.26934051</v>
      </c>
      <c r="R64" s="189">
        <f t="shared" si="24"/>
        <v>13.21185261</v>
      </c>
      <c r="S64" s="189">
        <f t="shared" si="24"/>
        <v>12.17519532</v>
      </c>
      <c r="T64" s="108">
        <f>SUMIF('Resumo - TIMESHEETS'!E:E,B64,'Resumo - TIMESHEETS'!L:L)</f>
        <v>6838.115964</v>
      </c>
      <c r="U64" s="108">
        <f t="shared" si="10"/>
        <v>6838.115964</v>
      </c>
      <c r="V64" s="141" t="b">
        <v>1</v>
      </c>
      <c r="W64" s="140"/>
      <c r="X64" s="140"/>
      <c r="Y64" s="140"/>
    </row>
    <row r="65" ht="11.25" customHeight="1">
      <c r="A65" s="69"/>
      <c r="B65" s="159" t="s">
        <v>232</v>
      </c>
      <c r="C65" s="127"/>
      <c r="D65" s="127"/>
      <c r="E65" s="190" t="s">
        <v>225</v>
      </c>
      <c r="F65" s="128" t="s">
        <v>39</v>
      </c>
      <c r="G65" s="127"/>
      <c r="H65" s="189">
        <f t="shared" ref="H65:S65" si="25">iferror((xlookup($B65,$B$13:$B$34,H$13:H$34)*(1+H$45))/(H$47*8.8),"")</f>
        <v>12.0483456</v>
      </c>
      <c r="I65" s="189">
        <f t="shared" si="25"/>
        <v>12.47903977</v>
      </c>
      <c r="J65" s="189">
        <f t="shared" si="25"/>
        <v>10.84563109</v>
      </c>
      <c r="K65" s="189">
        <f t="shared" si="25"/>
        <v>14.91139973</v>
      </c>
      <c r="L65" s="189">
        <f t="shared" si="25"/>
        <v>11.4539177</v>
      </c>
      <c r="M65" s="189">
        <f t="shared" si="25"/>
        <v>11.97312662</v>
      </c>
      <c r="N65" s="189">
        <f t="shared" si="25"/>
        <v>12.49058478</v>
      </c>
      <c r="O65" s="189">
        <f t="shared" si="25"/>
        <v>0</v>
      </c>
      <c r="P65" s="189">
        <f t="shared" si="25"/>
        <v>0</v>
      </c>
      <c r="Q65" s="189">
        <f t="shared" si="25"/>
        <v>0</v>
      </c>
      <c r="R65" s="189">
        <f t="shared" si="25"/>
        <v>0</v>
      </c>
      <c r="S65" s="189">
        <f t="shared" si="25"/>
        <v>0</v>
      </c>
      <c r="T65" s="108">
        <f>SUMIF('Resumo - TIMESHEETS'!E:E,B65,'Resumo - TIMESHEETS'!L:L)</f>
        <v>1911.759491</v>
      </c>
      <c r="U65" s="108">
        <f t="shared" si="10"/>
        <v>1911.759491</v>
      </c>
      <c r="V65" s="141" t="b">
        <v>1</v>
      </c>
      <c r="W65" s="140"/>
      <c r="X65" s="140"/>
      <c r="Y65" s="140"/>
    </row>
    <row r="66" ht="11.25" customHeight="1">
      <c r="A66" s="69"/>
      <c r="B66" s="159" t="s">
        <v>244</v>
      </c>
      <c r="C66" s="127"/>
      <c r="D66" s="127"/>
      <c r="E66" s="190" t="s">
        <v>225</v>
      </c>
      <c r="F66" s="128" t="s">
        <v>41</v>
      </c>
      <c r="G66" s="127"/>
      <c r="H66" s="189">
        <f t="shared" ref="H66:S66" si="26">iferror((xlookup($B66,$B$13:$B$34,H$13:H$34)*(1+H$45))/(H$47*8.8),"")</f>
        <v>50.34107723</v>
      </c>
      <c r="I66" s="189">
        <f t="shared" si="26"/>
        <v>52.14062792</v>
      </c>
      <c r="J66" s="189">
        <f t="shared" si="26"/>
        <v>45.31582764</v>
      </c>
      <c r="K66" s="189">
        <f t="shared" si="26"/>
        <v>62.30365152</v>
      </c>
      <c r="L66" s="189">
        <f t="shared" si="26"/>
        <v>47.85740505</v>
      </c>
      <c r="M66" s="189">
        <f t="shared" si="26"/>
        <v>50.02679306</v>
      </c>
      <c r="N66" s="189">
        <f t="shared" si="26"/>
        <v>57.01223333</v>
      </c>
      <c r="O66" s="189">
        <f t="shared" si="26"/>
        <v>49.96789004</v>
      </c>
      <c r="P66" s="189">
        <f t="shared" si="26"/>
        <v>55.73003567</v>
      </c>
      <c r="Q66" s="189">
        <f t="shared" si="26"/>
        <v>60.56679898</v>
      </c>
      <c r="R66" s="189">
        <f t="shared" si="26"/>
        <v>60.2744683</v>
      </c>
      <c r="S66" s="189">
        <f t="shared" si="26"/>
        <v>55.54508104</v>
      </c>
      <c r="T66" s="108">
        <f>SUMIF('Resumo - TIMESHEETS'!E:E,B66,'Resumo - TIMESHEETS'!L:L)</f>
        <v>2764.313349</v>
      </c>
      <c r="U66" s="108">
        <f t="shared" si="10"/>
        <v>2764.313349</v>
      </c>
      <c r="V66" s="141" t="b">
        <v>1</v>
      </c>
      <c r="W66" s="140"/>
      <c r="X66" s="140"/>
      <c r="Y66" s="140"/>
    </row>
    <row r="67" ht="11.25" customHeight="1">
      <c r="A67" s="69"/>
      <c r="B67" s="159" t="s">
        <v>238</v>
      </c>
      <c r="C67" s="127"/>
      <c r="D67" s="127"/>
      <c r="E67" s="190" t="s">
        <v>225</v>
      </c>
      <c r="F67" s="128" t="s">
        <v>41</v>
      </c>
      <c r="G67" s="127"/>
      <c r="H67" s="189">
        <f t="shared" ref="H67:S67" si="27">iferror((xlookup($B67,$B$13:$B$34,H$13:H$34)*(1+H$45))/(H$47*8.8),"")</f>
        <v>103.1198592</v>
      </c>
      <c r="I67" s="189">
        <f t="shared" si="27"/>
        <v>106.8061016</v>
      </c>
      <c r="J67" s="189">
        <f t="shared" si="27"/>
        <v>92.82601845</v>
      </c>
      <c r="K67" s="189">
        <f t="shared" si="27"/>
        <v>127.6242807</v>
      </c>
      <c r="L67" s="189">
        <f t="shared" si="27"/>
        <v>98.03224603</v>
      </c>
      <c r="M67" s="189">
        <f t="shared" si="27"/>
        <v>102.476072</v>
      </c>
      <c r="N67" s="189">
        <f t="shared" si="27"/>
        <v>106.9049134</v>
      </c>
      <c r="O67" s="189">
        <f t="shared" si="27"/>
        <v>93.6959078</v>
      </c>
      <c r="P67" s="189">
        <f t="shared" si="27"/>
        <v>104.5006359</v>
      </c>
      <c r="Q67" s="189">
        <f t="shared" si="27"/>
        <v>147.6412321</v>
      </c>
      <c r="R67" s="189">
        <f t="shared" si="27"/>
        <v>146.9285218</v>
      </c>
      <c r="S67" s="189">
        <f t="shared" si="27"/>
        <v>135.3998945</v>
      </c>
      <c r="T67" s="108">
        <f>SUMIF('Resumo - TIMESHEETS'!E:E,B67,'Resumo - TIMESHEETS'!L:L)</f>
        <v>68515.47362</v>
      </c>
      <c r="U67" s="108">
        <f t="shared" si="10"/>
        <v>68515.47362</v>
      </c>
      <c r="V67" s="141" t="b">
        <v>1</v>
      </c>
      <c r="W67" s="140"/>
      <c r="X67" s="140"/>
      <c r="Y67" s="140"/>
    </row>
    <row r="68" ht="11.25" customHeight="1">
      <c r="A68" s="69"/>
      <c r="B68" s="159" t="s">
        <v>251</v>
      </c>
      <c r="C68" s="127"/>
      <c r="D68" s="127"/>
      <c r="E68" s="190" t="s">
        <v>225</v>
      </c>
      <c r="F68" s="128" t="s">
        <v>41</v>
      </c>
      <c r="G68" s="127"/>
      <c r="H68" s="189">
        <f t="shared" ref="H68:S68" si="28">iferror((xlookup($B68,$B$13:$B$34,H$13:H$34)*(1+H$45))/(H$47*8.8),"")</f>
        <v>0</v>
      </c>
      <c r="I68" s="189">
        <f t="shared" si="28"/>
        <v>0</v>
      </c>
      <c r="J68" s="189">
        <f t="shared" si="28"/>
        <v>0</v>
      </c>
      <c r="K68" s="189">
        <f t="shared" si="28"/>
        <v>26.47203589</v>
      </c>
      <c r="L68" s="189">
        <f t="shared" si="28"/>
        <v>20.33400793</v>
      </c>
      <c r="M68" s="189">
        <f t="shared" si="28"/>
        <v>21.25575354</v>
      </c>
      <c r="N68" s="189">
        <f t="shared" si="28"/>
        <v>22.17439103</v>
      </c>
      <c r="O68" s="189">
        <f t="shared" si="28"/>
        <v>19.4345576</v>
      </c>
      <c r="P68" s="189">
        <f t="shared" si="28"/>
        <v>21.67569188</v>
      </c>
      <c r="Q68" s="189">
        <f t="shared" si="28"/>
        <v>23.5569071</v>
      </c>
      <c r="R68" s="189">
        <f t="shared" si="28"/>
        <v>23.44318857</v>
      </c>
      <c r="S68" s="189">
        <f t="shared" si="28"/>
        <v>21.6037378</v>
      </c>
      <c r="T68" s="108">
        <f>SUMIF('Resumo - TIMESHEETS'!E:E,B68,'Resumo - TIMESHEETS'!L:L)</f>
        <v>13991.05109</v>
      </c>
      <c r="U68" s="108">
        <f t="shared" si="10"/>
        <v>13991.05109</v>
      </c>
      <c r="V68" s="141" t="b">
        <v>1</v>
      </c>
      <c r="W68" s="140"/>
      <c r="X68" s="140"/>
      <c r="Y68" s="140"/>
    </row>
    <row r="69" ht="11.25" customHeight="1">
      <c r="A69" s="69"/>
      <c r="B69" s="159" t="s">
        <v>246</v>
      </c>
      <c r="C69" s="127"/>
      <c r="D69" s="127"/>
      <c r="E69" s="190" t="s">
        <v>225</v>
      </c>
      <c r="F69" s="128" t="s">
        <v>41</v>
      </c>
      <c r="G69" s="127"/>
      <c r="H69" s="189">
        <f t="shared" ref="H69:S69" si="29">iferror((xlookup($B69,$B$13:$B$34,H$13:H$34)*(1+H$45))/(H$47*8.8),"")</f>
        <v>0</v>
      </c>
      <c r="I69" s="189">
        <f t="shared" si="29"/>
        <v>0</v>
      </c>
      <c r="J69" s="189">
        <f t="shared" si="29"/>
        <v>0</v>
      </c>
      <c r="K69" s="189">
        <f t="shared" si="29"/>
        <v>50.05336312</v>
      </c>
      <c r="L69" s="189">
        <f t="shared" si="29"/>
        <v>38.44757113</v>
      </c>
      <c r="M69" s="189">
        <f t="shared" si="29"/>
        <v>40.19040904</v>
      </c>
      <c r="N69" s="189">
        <f t="shared" si="29"/>
        <v>41.92737011</v>
      </c>
      <c r="O69" s="189">
        <f t="shared" si="29"/>
        <v>36.74688916</v>
      </c>
      <c r="P69" s="189">
        <f t="shared" si="29"/>
        <v>40.98442904</v>
      </c>
      <c r="Q69" s="189">
        <f t="shared" si="29"/>
        <v>44.54143346</v>
      </c>
      <c r="R69" s="189">
        <f t="shared" si="29"/>
        <v>44.32644986</v>
      </c>
      <c r="S69" s="189">
        <f t="shared" si="29"/>
        <v>40.84841093</v>
      </c>
      <c r="T69" s="108">
        <f>SUMIF('Resumo - TIMESHEETS'!E:E,B69,'Resumo - TIMESHEETS'!L:L)</f>
        <v>873.9765622</v>
      </c>
      <c r="U69" s="108">
        <f t="shared" si="10"/>
        <v>873.9765622</v>
      </c>
      <c r="V69" s="141" t="b">
        <v>1</v>
      </c>
      <c r="W69" s="140"/>
      <c r="X69" s="140"/>
      <c r="Y69" s="140"/>
    </row>
    <row r="70" ht="11.25" customHeight="1">
      <c r="A70" s="191"/>
      <c r="B70" s="192" t="s">
        <v>278</v>
      </c>
      <c r="C70" s="193"/>
      <c r="D70" s="193"/>
      <c r="E70" s="194" t="s">
        <v>225</v>
      </c>
      <c r="F70" s="195"/>
      <c r="G70" s="196"/>
      <c r="H70" s="197">
        <f t="shared" ref="H70:S70" si="30">iferror((xlookup($B70,$B$13:$B$34,H$13:H$34)/(H$47*8.8)),"")</f>
        <v>0</v>
      </c>
      <c r="I70" s="197">
        <f t="shared" si="30"/>
        <v>0</v>
      </c>
      <c r="J70" s="197">
        <f t="shared" si="30"/>
        <v>0</v>
      </c>
      <c r="K70" s="197">
        <f t="shared" si="30"/>
        <v>334.2245989</v>
      </c>
      <c r="L70" s="197">
        <f t="shared" si="30"/>
        <v>129.1322314</v>
      </c>
      <c r="M70" s="197">
        <f t="shared" si="30"/>
        <v>135.2813853</v>
      </c>
      <c r="N70" s="197">
        <f t="shared" si="30"/>
        <v>135.2813853</v>
      </c>
      <c r="O70" s="197">
        <f t="shared" si="30"/>
        <v>123.5177866</v>
      </c>
      <c r="P70" s="197">
        <f t="shared" si="30"/>
        <v>135.2813853</v>
      </c>
      <c r="Q70" s="197">
        <f t="shared" si="30"/>
        <v>149.5215311</v>
      </c>
      <c r="R70" s="197">
        <f t="shared" si="30"/>
        <v>142.0454545</v>
      </c>
      <c r="S70" s="197">
        <f t="shared" si="30"/>
        <v>129.1322314</v>
      </c>
      <c r="T70" s="198">
        <f>SUMIF('Resumo - TIMESHEETS'!E:E,B70,'Resumo - TIMESHEETS'!L:L)</f>
        <v>90784.81289</v>
      </c>
      <c r="U70" s="198">
        <f t="shared" si="10"/>
        <v>90784.81289</v>
      </c>
      <c r="V70" s="199" t="b">
        <v>1</v>
      </c>
      <c r="W70" s="200"/>
      <c r="X70" s="200"/>
      <c r="Y70" s="200"/>
    </row>
    <row r="71">
      <c r="A71" s="157"/>
      <c r="B71" s="157"/>
      <c r="C71" s="157"/>
      <c r="D71" s="157"/>
      <c r="E71" s="157"/>
      <c r="F71" s="157"/>
      <c r="G71" s="157"/>
      <c r="H71" s="157"/>
      <c r="I71" s="157"/>
      <c r="J71" s="157"/>
      <c r="K71" s="157"/>
      <c r="L71" s="157"/>
      <c r="M71" s="157"/>
      <c r="N71" s="157"/>
      <c r="O71" s="157"/>
      <c r="P71" s="157"/>
      <c r="Q71" s="157"/>
      <c r="R71" s="157"/>
      <c r="S71" s="157"/>
      <c r="T71" s="157"/>
      <c r="U71" s="157"/>
      <c r="V71" s="157"/>
      <c r="W71" s="157"/>
      <c r="X71" s="157"/>
      <c r="Y71" s="157"/>
    </row>
    <row r="72">
      <c r="A72" s="69"/>
      <c r="B72" s="201" t="s">
        <v>363</v>
      </c>
      <c r="C72" s="182"/>
      <c r="D72" s="182"/>
      <c r="E72" s="182"/>
      <c r="F72" s="128"/>
      <c r="G72" s="127"/>
      <c r="H72" s="202"/>
      <c r="I72" s="165"/>
      <c r="J72" s="165"/>
      <c r="K72" s="165"/>
      <c r="L72" s="165"/>
      <c r="M72" s="165"/>
      <c r="N72" s="165"/>
      <c r="O72" s="165"/>
      <c r="P72" s="165"/>
      <c r="Q72" s="165"/>
      <c r="R72" s="165"/>
      <c r="S72" s="165"/>
      <c r="T72" s="108"/>
      <c r="U72" s="108"/>
      <c r="V72" s="108"/>
      <c r="W72" s="140"/>
      <c r="X72" s="157"/>
      <c r="Y72" s="157"/>
    </row>
    <row r="73" ht="11.25" customHeight="1">
      <c r="A73" s="69"/>
      <c r="B73" s="203">
        <v>44927.0</v>
      </c>
      <c r="C73" s="203" t="s">
        <v>364</v>
      </c>
      <c r="D73" s="157"/>
      <c r="E73" s="157"/>
      <c r="F73" s="157"/>
      <c r="G73" s="157"/>
      <c r="H73" s="157"/>
      <c r="I73" s="157"/>
      <c r="J73" s="157"/>
      <c r="K73" s="157"/>
      <c r="L73" s="157"/>
      <c r="M73" s="157"/>
      <c r="N73" s="157"/>
      <c r="O73" s="157"/>
      <c r="P73" s="157"/>
      <c r="Q73" s="157"/>
      <c r="R73" s="157"/>
      <c r="S73" s="157"/>
      <c r="T73" s="157"/>
      <c r="U73" s="157"/>
      <c r="V73" s="157"/>
      <c r="W73" s="157"/>
      <c r="X73" s="157"/>
      <c r="Y73" s="157"/>
    </row>
    <row r="74" ht="11.25" customHeight="1">
      <c r="A74" s="69"/>
      <c r="B74" s="203">
        <v>45023.0</v>
      </c>
      <c r="C74" s="203" t="s">
        <v>365</v>
      </c>
      <c r="D74" s="157"/>
      <c r="E74" s="157"/>
      <c r="F74" s="157"/>
      <c r="G74" s="157"/>
      <c r="H74" s="157"/>
      <c r="I74" s="157"/>
      <c r="J74" s="157"/>
      <c r="K74" s="157"/>
      <c r="L74" s="157"/>
      <c r="M74" s="157"/>
      <c r="N74" s="157"/>
      <c r="O74" s="157"/>
      <c r="P74" s="157"/>
      <c r="Q74" s="157"/>
      <c r="R74" s="157"/>
      <c r="S74" s="157"/>
      <c r="T74" s="157"/>
      <c r="U74" s="157"/>
      <c r="V74" s="157"/>
      <c r="W74" s="157"/>
      <c r="X74" s="157"/>
      <c r="Y74" s="157"/>
    </row>
    <row r="75" ht="11.25" customHeight="1">
      <c r="A75" s="69"/>
      <c r="B75" s="203">
        <v>45025.0</v>
      </c>
      <c r="C75" s="203" t="s">
        <v>366</v>
      </c>
      <c r="D75" s="157"/>
      <c r="E75" s="157"/>
      <c r="F75" s="157"/>
      <c r="G75" s="157"/>
      <c r="H75" s="157"/>
      <c r="I75" s="157"/>
      <c r="J75" s="157"/>
      <c r="K75" s="157"/>
      <c r="L75" s="157"/>
      <c r="M75" s="157"/>
      <c r="N75" s="157"/>
      <c r="O75" s="157"/>
      <c r="P75" s="157"/>
      <c r="Q75" s="157"/>
      <c r="R75" s="157"/>
      <c r="S75" s="157"/>
      <c r="T75" s="157"/>
      <c r="U75" s="157"/>
      <c r="V75" s="157"/>
      <c r="W75" s="157"/>
      <c r="X75" s="157"/>
      <c r="Y75" s="157"/>
    </row>
    <row r="76" ht="11.25" customHeight="1">
      <c r="A76" s="69"/>
      <c r="B76" s="203">
        <v>45026.0</v>
      </c>
      <c r="C76" s="203" t="s">
        <v>367</v>
      </c>
      <c r="D76" s="157"/>
      <c r="E76" s="157"/>
      <c r="F76" s="157"/>
      <c r="G76" s="157"/>
      <c r="H76" s="157"/>
      <c r="I76" s="157"/>
      <c r="J76" s="157"/>
      <c r="K76" s="157"/>
      <c r="L76" s="157"/>
      <c r="M76" s="157"/>
      <c r="N76" s="157"/>
      <c r="O76" s="157"/>
      <c r="P76" s="157"/>
      <c r="Q76" s="157"/>
      <c r="R76" s="157"/>
      <c r="S76" s="157"/>
      <c r="T76" s="157"/>
      <c r="U76" s="157"/>
      <c r="V76" s="157"/>
      <c r="W76" s="157"/>
      <c r="X76" s="157"/>
      <c r="Y76" s="157"/>
    </row>
    <row r="77" ht="11.25" customHeight="1">
      <c r="A77" s="69"/>
      <c r="B77" s="204">
        <v>45037.0</v>
      </c>
      <c r="C77" s="203" t="s">
        <v>368</v>
      </c>
      <c r="D77" s="157"/>
      <c r="E77" s="157"/>
      <c r="F77" s="157"/>
      <c r="G77" s="157"/>
      <c r="H77" s="157"/>
      <c r="I77" s="157"/>
      <c r="J77" s="157"/>
      <c r="K77" s="157"/>
      <c r="L77" s="157"/>
      <c r="M77" s="157"/>
      <c r="N77" s="157"/>
      <c r="O77" s="157"/>
      <c r="P77" s="157"/>
      <c r="Q77" s="157"/>
      <c r="R77" s="157"/>
      <c r="S77" s="157"/>
      <c r="T77" s="157"/>
      <c r="U77" s="157"/>
      <c r="V77" s="157"/>
      <c r="W77" s="157"/>
      <c r="X77" s="157"/>
      <c r="Y77" s="157"/>
    </row>
    <row r="78" ht="11.25" customHeight="1">
      <c r="A78" s="69"/>
      <c r="B78" s="204">
        <v>45047.0</v>
      </c>
      <c r="C78" s="203" t="s">
        <v>369</v>
      </c>
      <c r="D78" s="157"/>
      <c r="E78" s="157"/>
      <c r="F78" s="157"/>
      <c r="G78" s="157"/>
      <c r="H78" s="157"/>
      <c r="I78" s="157"/>
      <c r="J78" s="157"/>
      <c r="K78" s="157"/>
      <c r="L78" s="157"/>
      <c r="M78" s="157"/>
      <c r="N78" s="157"/>
      <c r="O78" s="157"/>
      <c r="P78" s="157"/>
      <c r="Q78" s="157"/>
      <c r="R78" s="157"/>
      <c r="S78" s="157"/>
      <c r="T78" s="157"/>
      <c r="U78" s="157"/>
      <c r="V78" s="157"/>
      <c r="W78" s="157"/>
      <c r="X78" s="157"/>
      <c r="Y78" s="157"/>
    </row>
    <row r="79" ht="11.25" customHeight="1">
      <c r="A79" s="69"/>
      <c r="B79" s="204">
        <v>45085.0</v>
      </c>
      <c r="C79" s="203" t="s">
        <v>370</v>
      </c>
      <c r="D79" s="157"/>
      <c r="E79" s="157"/>
      <c r="F79" s="157"/>
      <c r="G79" s="157"/>
      <c r="H79" s="157"/>
      <c r="I79" s="157"/>
      <c r="J79" s="157"/>
      <c r="K79" s="157"/>
      <c r="L79" s="157"/>
      <c r="M79" s="157"/>
      <c r="N79" s="157"/>
      <c r="O79" s="157"/>
      <c r="P79" s="157"/>
      <c r="Q79" s="157"/>
      <c r="R79" s="157"/>
      <c r="S79" s="157"/>
      <c r="T79" s="157"/>
      <c r="U79" s="157"/>
      <c r="V79" s="157"/>
      <c r="W79" s="157"/>
      <c r="X79" s="157"/>
      <c r="Y79" s="157"/>
    </row>
    <row r="80" ht="11.25" customHeight="1">
      <c r="A80" s="69"/>
      <c r="B80" s="204">
        <v>45176.0</v>
      </c>
      <c r="C80" s="203" t="s">
        <v>371</v>
      </c>
      <c r="D80" s="157"/>
      <c r="E80" s="157"/>
      <c r="F80" s="157"/>
      <c r="G80" s="157"/>
      <c r="H80" s="157"/>
      <c r="I80" s="157"/>
      <c r="J80" s="157"/>
      <c r="K80" s="157"/>
      <c r="L80" s="157"/>
      <c r="M80" s="157"/>
      <c r="N80" s="157"/>
      <c r="O80" s="157"/>
      <c r="P80" s="157"/>
      <c r="Q80" s="157"/>
      <c r="R80" s="157"/>
      <c r="S80" s="157"/>
      <c r="T80" s="157"/>
      <c r="U80" s="157"/>
      <c r="V80" s="157"/>
      <c r="W80" s="157"/>
      <c r="X80" s="157"/>
      <c r="Y80" s="157"/>
    </row>
    <row r="81" ht="11.25" customHeight="1">
      <c r="A81" s="69"/>
      <c r="B81" s="205">
        <v>45211.0</v>
      </c>
      <c r="C81" s="203" t="s">
        <v>372</v>
      </c>
      <c r="D81" s="157"/>
      <c r="E81" s="157"/>
      <c r="F81" s="157"/>
      <c r="G81" s="157"/>
      <c r="H81" s="157"/>
      <c r="I81" s="157"/>
      <c r="J81" s="157"/>
      <c r="K81" s="157"/>
      <c r="L81" s="157"/>
      <c r="M81" s="157"/>
      <c r="N81" s="157"/>
      <c r="O81" s="157"/>
      <c r="P81" s="157"/>
      <c r="Q81" s="157"/>
      <c r="R81" s="157"/>
      <c r="S81" s="157"/>
      <c r="T81" s="157"/>
      <c r="U81" s="157"/>
      <c r="V81" s="157"/>
      <c r="W81" s="157"/>
      <c r="X81" s="157"/>
      <c r="Y81" s="157"/>
    </row>
    <row r="82" ht="11.25" customHeight="1">
      <c r="A82" s="69"/>
      <c r="B82" s="205">
        <v>45230.0</v>
      </c>
      <c r="C82" s="203" t="s">
        <v>373</v>
      </c>
      <c r="D82" s="157"/>
      <c r="E82" s="157"/>
      <c r="F82" s="157"/>
      <c r="G82" s="157"/>
      <c r="H82" s="157"/>
      <c r="I82" s="157"/>
      <c r="J82" s="157"/>
      <c r="K82" s="157"/>
      <c r="L82" s="157"/>
      <c r="M82" s="157"/>
      <c r="N82" s="157"/>
      <c r="O82" s="157"/>
      <c r="P82" s="157"/>
      <c r="Q82" s="157"/>
      <c r="R82" s="157"/>
      <c r="S82" s="157"/>
      <c r="T82" s="157"/>
      <c r="U82" s="157"/>
      <c r="V82" s="157"/>
      <c r="W82" s="157"/>
      <c r="X82" s="157"/>
      <c r="Y82" s="157"/>
    </row>
    <row r="83" ht="11.25" customHeight="1">
      <c r="A83" s="69"/>
      <c r="B83" s="204">
        <v>45232.0</v>
      </c>
      <c r="C83" s="203" t="s">
        <v>374</v>
      </c>
      <c r="D83" s="157"/>
      <c r="E83" s="157"/>
      <c r="F83" s="157"/>
      <c r="G83" s="157"/>
      <c r="H83" s="157"/>
      <c r="I83" s="157"/>
      <c r="J83" s="157"/>
      <c r="K83" s="157"/>
      <c r="L83" s="157"/>
      <c r="M83" s="157"/>
      <c r="N83" s="157"/>
      <c r="O83" s="157"/>
      <c r="P83" s="157"/>
      <c r="Q83" s="157"/>
      <c r="R83" s="157"/>
      <c r="S83" s="157"/>
      <c r="T83" s="157"/>
      <c r="U83" s="157"/>
      <c r="V83" s="157"/>
      <c r="W83" s="157"/>
      <c r="X83" s="157"/>
      <c r="Y83" s="157"/>
    </row>
    <row r="84" ht="11.25" customHeight="1">
      <c r="A84" s="69"/>
      <c r="B84" s="205">
        <v>45245.0</v>
      </c>
      <c r="C84" s="203" t="s">
        <v>375</v>
      </c>
      <c r="D84" s="157"/>
      <c r="E84" s="157"/>
      <c r="F84" s="157"/>
      <c r="G84" s="157"/>
      <c r="H84" s="157"/>
      <c r="I84" s="157"/>
      <c r="J84" s="157"/>
      <c r="K84" s="157"/>
      <c r="L84" s="157"/>
      <c r="M84" s="157"/>
      <c r="N84" s="157"/>
      <c r="O84" s="157"/>
      <c r="P84" s="157"/>
      <c r="Q84" s="157"/>
      <c r="R84" s="157"/>
      <c r="S84" s="157"/>
      <c r="T84" s="157"/>
      <c r="U84" s="157"/>
      <c r="V84" s="157"/>
      <c r="W84" s="157"/>
      <c r="X84" s="157"/>
      <c r="Y84" s="157"/>
    </row>
    <row r="85" ht="11.25" customHeight="1">
      <c r="A85" s="69"/>
      <c r="B85" s="205">
        <v>45285.0</v>
      </c>
      <c r="C85" s="203" t="s">
        <v>376</v>
      </c>
      <c r="D85" s="157"/>
      <c r="E85" s="157"/>
      <c r="F85" s="157"/>
      <c r="G85" s="157"/>
      <c r="H85" s="157"/>
      <c r="I85" s="157"/>
      <c r="J85" s="157"/>
      <c r="K85" s="157"/>
      <c r="L85" s="157"/>
      <c r="M85" s="157"/>
      <c r="N85" s="157"/>
      <c r="O85" s="157"/>
      <c r="P85" s="157"/>
      <c r="Q85" s="157"/>
      <c r="R85" s="157"/>
      <c r="S85" s="157"/>
      <c r="T85" s="157"/>
      <c r="U85" s="157"/>
      <c r="V85" s="157"/>
      <c r="W85" s="157"/>
      <c r="X85" s="157"/>
      <c r="Y85" s="157"/>
    </row>
  </sheetData>
  <mergeCells count="2">
    <mergeCell ref="B5:D6"/>
    <mergeCell ref="B37:B38"/>
  </mergeCells>
  <dataValidations>
    <dataValidation type="list" allowBlank="1" showErrorMessage="1" sqref="F13:F18 F20:F33">
      <formula1>RESUMO!$A$34:$A$39</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showGridLines="0" workbookViewId="0"/>
  </sheetViews>
  <sheetFormatPr customHeight="1" defaultColWidth="12.63" defaultRowHeight="15.75"/>
  <cols>
    <col customWidth="1" min="1" max="1" width="2.0"/>
    <col customWidth="1" min="3" max="3" width="6.38"/>
    <col customWidth="1" min="4" max="4" width="2.0"/>
    <col customWidth="1" min="5" max="5" width="18.88"/>
    <col customWidth="1" min="8" max="9" width="2.0"/>
    <col customWidth="1" min="10" max="10" width="6.38"/>
    <col customWidth="1" min="11" max="11" width="2.0"/>
    <col customWidth="1" min="13" max="13" width="2.63"/>
    <col customWidth="1" min="14" max="14" width="2.75"/>
  </cols>
  <sheetData>
    <row r="1" ht="11.25" customHeight="1">
      <c r="A1" s="96"/>
      <c r="B1" s="71"/>
      <c r="C1" s="71"/>
      <c r="D1" s="71"/>
      <c r="E1" s="71"/>
      <c r="F1" s="71"/>
      <c r="G1" s="71"/>
      <c r="H1" s="71"/>
      <c r="I1" s="71"/>
      <c r="J1" s="71"/>
      <c r="K1" s="71"/>
      <c r="L1" s="71"/>
      <c r="M1" s="71"/>
      <c r="N1" s="71"/>
    </row>
    <row r="2">
      <c r="A2" s="71"/>
      <c r="B2" s="70" t="s">
        <v>174</v>
      </c>
      <c r="C2" s="71"/>
      <c r="D2" s="71"/>
      <c r="E2" s="71"/>
      <c r="F2" s="71"/>
      <c r="G2" s="71"/>
      <c r="H2" s="71"/>
      <c r="I2" s="71"/>
      <c r="J2" s="71"/>
      <c r="K2" s="71"/>
      <c r="L2" s="71"/>
      <c r="M2" s="71"/>
      <c r="N2" s="71"/>
    </row>
    <row r="3">
      <c r="A3" s="71"/>
      <c r="B3" s="79" t="s">
        <v>57</v>
      </c>
      <c r="C3" s="71"/>
      <c r="D3" s="71"/>
      <c r="E3" s="71"/>
      <c r="F3" s="71"/>
      <c r="G3" s="71"/>
      <c r="N3" s="71"/>
    </row>
    <row r="4">
      <c r="A4" s="71"/>
      <c r="B4" s="96" t="s">
        <v>377</v>
      </c>
      <c r="C4" s="71"/>
      <c r="D4" s="71"/>
      <c r="E4" s="71"/>
      <c r="F4" s="71"/>
      <c r="G4" s="71"/>
      <c r="H4" s="71"/>
      <c r="I4" s="206"/>
      <c r="J4" s="159" t="s">
        <v>200</v>
      </c>
      <c r="K4" s="71"/>
      <c r="L4" s="71"/>
      <c r="M4" s="207" t="b">
        <v>1</v>
      </c>
      <c r="N4" s="71"/>
    </row>
    <row r="5">
      <c r="A5" s="71"/>
      <c r="B5" s="76" t="s">
        <v>378</v>
      </c>
      <c r="G5" s="71"/>
      <c r="H5" s="71"/>
      <c r="I5" s="206"/>
      <c r="J5" s="159" t="s">
        <v>201</v>
      </c>
      <c r="K5" s="71"/>
      <c r="L5" s="71"/>
      <c r="M5" s="207" t="b">
        <v>0</v>
      </c>
      <c r="N5" s="71"/>
    </row>
    <row r="6">
      <c r="A6" s="71"/>
      <c r="G6" s="71"/>
      <c r="H6" s="71"/>
      <c r="I6" s="206"/>
      <c r="J6" s="159" t="s">
        <v>202</v>
      </c>
      <c r="K6" s="71"/>
      <c r="L6" s="71"/>
      <c r="M6" s="207" t="b">
        <v>0</v>
      </c>
      <c r="N6" s="71"/>
    </row>
    <row r="7">
      <c r="A7" s="71"/>
      <c r="B7" s="71"/>
      <c r="C7" s="71"/>
      <c r="D7" s="71"/>
      <c r="E7" s="71"/>
      <c r="F7" s="71"/>
      <c r="G7" s="71"/>
      <c r="H7" s="71"/>
      <c r="I7" s="71"/>
      <c r="J7" s="159"/>
      <c r="K7" s="71"/>
      <c r="L7" s="71"/>
      <c r="M7" s="71"/>
      <c r="N7" s="71"/>
    </row>
    <row r="8">
      <c r="A8" s="71"/>
      <c r="B8" s="70" t="s">
        <v>60</v>
      </c>
      <c r="C8" s="71"/>
      <c r="D8" s="71"/>
      <c r="E8" s="71"/>
      <c r="F8" s="71"/>
      <c r="G8" s="71"/>
      <c r="H8" s="71"/>
      <c r="N8" s="71"/>
    </row>
    <row r="9">
      <c r="A9" s="71"/>
      <c r="B9" s="79" t="s">
        <v>379</v>
      </c>
      <c r="C9" s="71"/>
      <c r="D9" s="71"/>
      <c r="E9" s="71"/>
      <c r="F9" s="71"/>
      <c r="G9" s="71"/>
      <c r="H9" s="71"/>
      <c r="I9" s="71"/>
      <c r="J9" s="71"/>
      <c r="K9" s="71"/>
      <c r="L9" s="71"/>
      <c r="M9" s="71"/>
      <c r="N9" s="71"/>
    </row>
    <row r="10">
      <c r="A10" s="71"/>
      <c r="B10" s="71"/>
      <c r="C10" s="71"/>
      <c r="D10" s="71"/>
      <c r="E10" s="71"/>
      <c r="F10" s="71"/>
      <c r="G10" s="71"/>
      <c r="H10" s="71"/>
      <c r="I10" s="71"/>
      <c r="J10" s="71"/>
      <c r="K10" s="71"/>
      <c r="L10" s="71"/>
      <c r="M10" s="71"/>
      <c r="N10" s="71"/>
    </row>
    <row r="11">
      <c r="A11" s="71"/>
      <c r="B11" s="208" t="s">
        <v>380</v>
      </c>
      <c r="C11" s="71"/>
      <c r="D11" s="206"/>
      <c r="E11" s="209" t="s">
        <v>381</v>
      </c>
      <c r="F11" s="209"/>
      <c r="G11" s="209"/>
      <c r="H11" s="71"/>
      <c r="I11" s="71"/>
      <c r="J11" s="71"/>
      <c r="K11" s="71"/>
      <c r="L11" s="71"/>
      <c r="M11" s="71"/>
      <c r="N11" s="71"/>
    </row>
    <row r="12">
      <c r="A12" s="71"/>
      <c r="B12" s="71"/>
      <c r="C12" s="71"/>
      <c r="D12" s="71"/>
      <c r="E12" s="71"/>
      <c r="F12" s="71"/>
      <c r="G12" s="71"/>
      <c r="H12" s="71"/>
      <c r="I12" s="206"/>
      <c r="J12" s="159" t="s">
        <v>382</v>
      </c>
      <c r="K12" s="69"/>
      <c r="L12" s="69"/>
      <c r="M12" s="210" t="s">
        <v>383</v>
      </c>
      <c r="N12" s="71"/>
    </row>
    <row r="13">
      <c r="A13" s="71"/>
      <c r="B13" s="208" t="s">
        <v>384</v>
      </c>
      <c r="C13" s="71"/>
      <c r="D13" s="206"/>
      <c r="E13" s="211" t="s">
        <v>385</v>
      </c>
      <c r="G13" s="212"/>
      <c r="H13" s="71"/>
      <c r="I13" s="206"/>
      <c r="J13" s="159" t="s">
        <v>385</v>
      </c>
      <c r="K13" s="69"/>
      <c r="L13" s="69"/>
      <c r="M13" s="210" t="s">
        <v>383</v>
      </c>
      <c r="N13" s="71"/>
    </row>
    <row r="14">
      <c r="A14" s="71"/>
      <c r="B14" s="71"/>
      <c r="C14" s="71"/>
      <c r="D14" s="71"/>
      <c r="E14" s="71"/>
      <c r="F14" s="71"/>
      <c r="G14" s="71"/>
      <c r="H14" s="71"/>
      <c r="I14" s="206"/>
      <c r="J14" s="159" t="s">
        <v>386</v>
      </c>
      <c r="K14" s="69"/>
      <c r="L14" s="69"/>
      <c r="M14" s="210" t="s">
        <v>383</v>
      </c>
      <c r="N14" s="71"/>
    </row>
    <row r="15">
      <c r="A15" s="71"/>
      <c r="B15" s="208" t="s">
        <v>387</v>
      </c>
      <c r="C15" s="71"/>
      <c r="D15" s="206"/>
      <c r="E15" s="213" t="s">
        <v>388</v>
      </c>
      <c r="H15" s="214"/>
      <c r="I15" s="214"/>
      <c r="J15" s="215"/>
      <c r="K15" s="215"/>
      <c r="L15" s="215"/>
      <c r="M15" s="215"/>
      <c r="N15" s="71"/>
    </row>
    <row r="16">
      <c r="A16" s="71"/>
      <c r="B16" s="71"/>
      <c r="C16" s="71"/>
      <c r="D16" s="71"/>
      <c r="E16" s="71"/>
      <c r="F16" s="71"/>
      <c r="G16" s="71"/>
      <c r="H16" s="71"/>
      <c r="I16" s="206"/>
      <c r="J16" s="159" t="s">
        <v>389</v>
      </c>
      <c r="K16" s="69"/>
      <c r="L16" s="69"/>
      <c r="M16" s="210" t="s">
        <v>383</v>
      </c>
      <c r="N16" s="71"/>
    </row>
    <row r="17">
      <c r="A17" s="71"/>
      <c r="B17" s="208" t="s">
        <v>390</v>
      </c>
      <c r="C17" s="71"/>
      <c r="D17" s="206"/>
      <c r="E17" s="211" t="s">
        <v>389</v>
      </c>
      <c r="G17" s="212"/>
      <c r="H17" s="71"/>
      <c r="I17" s="206"/>
      <c r="J17" s="159" t="s">
        <v>391</v>
      </c>
      <c r="K17" s="69"/>
      <c r="L17" s="69"/>
      <c r="M17" s="210" t="s">
        <v>383</v>
      </c>
      <c r="N17" s="71"/>
    </row>
    <row r="18">
      <c r="A18" s="71"/>
      <c r="B18" s="216"/>
      <c r="C18" s="217"/>
      <c r="D18" s="217"/>
      <c r="E18" s="217"/>
      <c r="F18" s="71"/>
      <c r="G18" s="71"/>
      <c r="H18" s="71"/>
      <c r="I18" s="206"/>
      <c r="J18" s="218" t="s">
        <v>392</v>
      </c>
      <c r="K18" s="219"/>
      <c r="L18" s="219"/>
      <c r="M18" s="220" t="s">
        <v>383</v>
      </c>
      <c r="N18" s="71"/>
    </row>
    <row r="19">
      <c r="A19" s="71"/>
      <c r="B19" s="208" t="s">
        <v>393</v>
      </c>
      <c r="C19" s="71"/>
      <c r="D19" s="206"/>
      <c r="E19" s="213" t="s">
        <v>394</v>
      </c>
      <c r="H19" s="71"/>
      <c r="I19" s="71"/>
      <c r="J19" s="221" t="s">
        <v>395</v>
      </c>
      <c r="N19" s="71"/>
    </row>
    <row r="20">
      <c r="A20" s="71"/>
      <c r="B20" s="71"/>
      <c r="C20" s="71"/>
      <c r="D20" s="71"/>
      <c r="E20" s="71"/>
      <c r="F20" s="71"/>
      <c r="G20" s="71"/>
      <c r="H20" s="71"/>
      <c r="I20" s="206"/>
      <c r="J20" s="159" t="s">
        <v>396</v>
      </c>
      <c r="K20" s="69"/>
      <c r="L20" s="69"/>
      <c r="M20" s="210" t="s">
        <v>383</v>
      </c>
      <c r="N20" s="71"/>
    </row>
    <row r="21">
      <c r="A21" s="71"/>
      <c r="B21" s="208" t="s">
        <v>397</v>
      </c>
      <c r="C21" s="71"/>
      <c r="D21" s="206"/>
      <c r="E21" s="211" t="s">
        <v>396</v>
      </c>
      <c r="G21" s="212"/>
      <c r="H21" s="71"/>
      <c r="I21" s="206"/>
      <c r="J21" s="159" t="s">
        <v>398</v>
      </c>
      <c r="K21" s="69"/>
      <c r="L21" s="69"/>
      <c r="M21" s="210" t="s">
        <v>383</v>
      </c>
      <c r="N21" s="71"/>
    </row>
    <row r="22">
      <c r="A22" s="71"/>
      <c r="B22" s="71"/>
      <c r="C22" s="71"/>
      <c r="D22" s="71"/>
      <c r="E22" s="71"/>
      <c r="F22" s="71"/>
      <c r="G22" s="71"/>
      <c r="H22" s="71"/>
      <c r="I22" s="206"/>
      <c r="J22" s="159" t="s">
        <v>399</v>
      </c>
      <c r="K22" s="69"/>
      <c r="L22" s="69"/>
      <c r="M22" s="210" t="s">
        <v>383</v>
      </c>
      <c r="N22" s="71"/>
    </row>
    <row r="23">
      <c r="A23" s="71"/>
      <c r="B23" s="208" t="s">
        <v>400</v>
      </c>
      <c r="C23" s="71"/>
      <c r="D23" s="206"/>
      <c r="E23" s="209" t="s">
        <v>401</v>
      </c>
      <c r="H23" s="71"/>
      <c r="I23" s="71"/>
      <c r="J23" s="71"/>
      <c r="K23" s="71"/>
      <c r="L23" s="71"/>
      <c r="M23" s="71"/>
      <c r="N23" s="71"/>
    </row>
    <row r="24">
      <c r="A24" s="71"/>
      <c r="B24" s="71"/>
      <c r="C24" s="71"/>
      <c r="D24" s="71"/>
      <c r="E24" s="71"/>
      <c r="F24" s="71"/>
      <c r="G24" s="71"/>
      <c r="H24" s="71"/>
      <c r="I24" s="71"/>
      <c r="J24" s="71"/>
      <c r="K24" s="71"/>
      <c r="L24" s="71"/>
      <c r="M24" s="71"/>
      <c r="N24" s="71"/>
    </row>
    <row r="25">
      <c r="A25" s="71"/>
      <c r="B25" s="208" t="s">
        <v>402</v>
      </c>
      <c r="C25" s="71"/>
      <c r="D25" s="206"/>
      <c r="E25" s="213" t="s">
        <v>403</v>
      </c>
      <c r="H25" s="71"/>
      <c r="I25" s="71"/>
      <c r="J25" s="71"/>
      <c r="K25" s="71"/>
      <c r="L25" s="71"/>
      <c r="M25" s="71"/>
      <c r="N25" s="71"/>
    </row>
    <row r="26">
      <c r="A26" s="71"/>
      <c r="B26" s="71"/>
      <c r="C26" s="71"/>
      <c r="D26" s="71"/>
      <c r="E26" s="71"/>
      <c r="F26" s="71"/>
      <c r="G26" s="71"/>
      <c r="H26" s="71"/>
      <c r="I26" s="71"/>
      <c r="J26" s="71"/>
      <c r="K26" s="71"/>
      <c r="L26" s="71"/>
      <c r="M26" s="71"/>
      <c r="N26" s="71"/>
    </row>
    <row r="27">
      <c r="A27" s="71"/>
      <c r="B27" s="208" t="s">
        <v>404</v>
      </c>
      <c r="C27" s="71"/>
      <c r="D27" s="206"/>
      <c r="E27" s="222" t="s">
        <v>314</v>
      </c>
      <c r="F27" s="223" t="s">
        <v>405</v>
      </c>
      <c r="G27" s="222" t="s">
        <v>406</v>
      </c>
      <c r="H27" s="224" t="s">
        <v>407</v>
      </c>
      <c r="I27" s="225"/>
      <c r="J27" s="216"/>
      <c r="K27" s="216"/>
      <c r="L27" s="212"/>
      <c r="M27" s="71"/>
      <c r="N27" s="71"/>
    </row>
    <row r="28">
      <c r="A28" s="71"/>
      <c r="B28" s="226" t="s">
        <v>213</v>
      </c>
      <c r="D28" s="206"/>
      <c r="E28" s="227" t="s">
        <v>220</v>
      </c>
      <c r="F28" s="228" t="s">
        <v>408</v>
      </c>
      <c r="G28" s="229" t="s">
        <v>409</v>
      </c>
      <c r="H28" s="99" t="b">
        <v>0</v>
      </c>
      <c r="J28" s="216"/>
      <c r="K28" s="206"/>
      <c r="L28" s="159" t="s">
        <v>39</v>
      </c>
      <c r="M28" s="210" t="s">
        <v>383</v>
      </c>
      <c r="N28" s="71"/>
    </row>
    <row r="29">
      <c r="A29" s="71"/>
      <c r="D29" s="206"/>
      <c r="E29" s="230" t="s">
        <v>222</v>
      </c>
      <c r="F29" s="231" t="s">
        <v>410</v>
      </c>
      <c r="G29" s="232" t="s">
        <v>409</v>
      </c>
      <c r="H29" s="99" t="b">
        <v>0</v>
      </c>
      <c r="J29" s="216"/>
      <c r="K29" s="206"/>
      <c r="L29" s="159" t="s">
        <v>411</v>
      </c>
      <c r="M29" s="71"/>
      <c r="N29" s="71"/>
    </row>
    <row r="30">
      <c r="A30" s="71"/>
      <c r="B30" s="71"/>
      <c r="C30" s="71"/>
      <c r="D30" s="206"/>
      <c r="E30" s="233" t="s">
        <v>226</v>
      </c>
      <c r="F30" s="234" t="s">
        <v>408</v>
      </c>
      <c r="G30" s="232" t="s">
        <v>411</v>
      </c>
      <c r="H30" s="99" t="b">
        <v>0</v>
      </c>
      <c r="J30" s="216"/>
      <c r="K30" s="206"/>
      <c r="L30" s="159" t="s">
        <v>409</v>
      </c>
      <c r="M30" s="71"/>
      <c r="N30" s="71"/>
    </row>
    <row r="31">
      <c r="A31" s="71"/>
      <c r="B31" s="71"/>
      <c r="C31" s="71"/>
      <c r="D31" s="206"/>
      <c r="E31" s="230" t="s">
        <v>228</v>
      </c>
      <c r="F31" s="234" t="s">
        <v>408</v>
      </c>
      <c r="G31" s="232" t="s">
        <v>39</v>
      </c>
      <c r="H31" s="99" t="b">
        <v>0</v>
      </c>
      <c r="J31" s="216"/>
      <c r="K31" s="206"/>
      <c r="L31" s="159" t="s">
        <v>43</v>
      </c>
      <c r="M31" s="71"/>
      <c r="N31" s="71"/>
    </row>
    <row r="32">
      <c r="A32" s="71"/>
      <c r="B32" s="71"/>
      <c r="C32" s="71"/>
      <c r="D32" s="206"/>
      <c r="E32" s="230" t="s">
        <v>229</v>
      </c>
      <c r="F32" s="235" t="s">
        <v>408</v>
      </c>
      <c r="G32" s="232" t="s">
        <v>411</v>
      </c>
      <c r="H32" s="99" t="b">
        <v>0</v>
      </c>
      <c r="J32" s="71"/>
      <c r="K32" s="206"/>
      <c r="L32" s="159" t="s">
        <v>44</v>
      </c>
      <c r="M32" s="71"/>
      <c r="N32" s="71"/>
    </row>
    <row r="33">
      <c r="A33" s="71"/>
      <c r="B33" s="71"/>
      <c r="C33" s="71"/>
      <c r="D33" s="206"/>
      <c r="E33" s="230" t="s">
        <v>232</v>
      </c>
      <c r="F33" s="231" t="s">
        <v>408</v>
      </c>
      <c r="G33" s="232" t="s">
        <v>39</v>
      </c>
      <c r="H33" s="99" t="b">
        <v>0</v>
      </c>
      <c r="J33" s="71"/>
      <c r="K33" s="71"/>
      <c r="L33" s="71"/>
      <c r="M33" s="71"/>
      <c r="N33" s="71"/>
    </row>
    <row r="34">
      <c r="A34" s="71"/>
      <c r="B34" s="71"/>
      <c r="C34" s="71"/>
      <c r="D34" s="206"/>
      <c r="E34" s="236" t="s">
        <v>238</v>
      </c>
      <c r="F34" s="231" t="s">
        <v>412</v>
      </c>
      <c r="G34" s="231" t="s">
        <v>411</v>
      </c>
      <c r="H34" s="99" t="b">
        <v>0</v>
      </c>
      <c r="J34" s="71"/>
      <c r="K34" s="71"/>
      <c r="L34" s="71"/>
      <c r="M34" s="71"/>
      <c r="N34" s="71"/>
    </row>
    <row r="35">
      <c r="A35" s="71"/>
      <c r="B35" s="208"/>
      <c r="C35" s="71"/>
      <c r="D35" s="206"/>
      <c r="E35" s="237" t="s">
        <v>236</v>
      </c>
      <c r="F35" s="232" t="s">
        <v>408</v>
      </c>
      <c r="G35" s="232" t="s">
        <v>39</v>
      </c>
      <c r="H35" s="99" t="b">
        <v>0</v>
      </c>
      <c r="J35" s="71"/>
      <c r="K35" s="71"/>
      <c r="L35" s="71"/>
      <c r="M35" s="71"/>
      <c r="N35" s="71"/>
    </row>
    <row r="36">
      <c r="A36" s="71"/>
      <c r="D36" s="206"/>
      <c r="E36" s="237" t="s">
        <v>244</v>
      </c>
      <c r="F36" s="232" t="s">
        <v>408</v>
      </c>
      <c r="G36" s="232" t="s">
        <v>411</v>
      </c>
      <c r="H36" s="99" t="b">
        <v>0</v>
      </c>
      <c r="J36" s="71"/>
      <c r="K36" s="71"/>
      <c r="L36" s="71"/>
      <c r="M36" s="71"/>
      <c r="N36" s="71"/>
    </row>
    <row r="37">
      <c r="A37" s="71"/>
      <c r="D37" s="206"/>
      <c r="E37" s="237" t="s">
        <v>245</v>
      </c>
      <c r="F37" s="232" t="s">
        <v>408</v>
      </c>
      <c r="G37" s="232" t="s">
        <v>411</v>
      </c>
      <c r="H37" s="99" t="b">
        <v>0</v>
      </c>
      <c r="J37" s="71"/>
      <c r="K37" s="71"/>
      <c r="L37" s="71"/>
      <c r="M37" s="71"/>
      <c r="N37" s="71"/>
    </row>
    <row r="38">
      <c r="A38" s="71"/>
      <c r="B38" s="71"/>
      <c r="C38" s="71"/>
      <c r="D38" s="206"/>
      <c r="E38" s="237" t="s">
        <v>246</v>
      </c>
      <c r="F38" s="232" t="s">
        <v>408</v>
      </c>
      <c r="G38" s="232" t="s">
        <v>411</v>
      </c>
      <c r="H38" s="99" t="b">
        <v>0</v>
      </c>
      <c r="J38" s="71"/>
      <c r="K38" s="71"/>
      <c r="L38" s="71"/>
      <c r="M38" s="71"/>
      <c r="N38" s="71"/>
    </row>
    <row r="39">
      <c r="A39" s="71"/>
      <c r="B39" s="71"/>
      <c r="C39" s="71"/>
      <c r="D39" s="206"/>
      <c r="E39" s="237" t="s">
        <v>247</v>
      </c>
      <c r="F39" s="232" t="s">
        <v>413</v>
      </c>
      <c r="G39" s="232" t="s">
        <v>411</v>
      </c>
      <c r="H39" s="99" t="b">
        <v>0</v>
      </c>
      <c r="J39" s="71"/>
      <c r="K39" s="71"/>
      <c r="L39" s="71"/>
      <c r="M39" s="71"/>
      <c r="N39" s="71"/>
    </row>
    <row r="40">
      <c r="A40" s="71"/>
      <c r="B40" s="71"/>
      <c r="C40" s="71"/>
      <c r="D40" s="206"/>
      <c r="E40" s="237" t="s">
        <v>251</v>
      </c>
      <c r="F40" s="232" t="s">
        <v>408</v>
      </c>
      <c r="G40" s="232" t="s">
        <v>411</v>
      </c>
      <c r="H40" s="99" t="b">
        <v>0</v>
      </c>
      <c r="J40" s="71"/>
      <c r="K40" s="71"/>
      <c r="L40" s="71"/>
      <c r="M40" s="71"/>
      <c r="N40" s="71"/>
    </row>
    <row r="41">
      <c r="A41" s="71"/>
      <c r="B41" s="71"/>
      <c r="C41" s="71"/>
      <c r="D41" s="206"/>
      <c r="E41" s="238" t="s">
        <v>256</v>
      </c>
      <c r="F41" s="232" t="s">
        <v>408</v>
      </c>
      <c r="G41" s="232" t="s">
        <v>411</v>
      </c>
      <c r="H41" s="99" t="b">
        <v>0</v>
      </c>
      <c r="J41" s="71"/>
      <c r="K41" s="71"/>
      <c r="L41" s="71"/>
      <c r="M41" s="71"/>
      <c r="N41" s="71"/>
    </row>
    <row r="42">
      <c r="A42" s="71"/>
      <c r="B42" s="71"/>
      <c r="C42" s="71"/>
      <c r="D42" s="71"/>
      <c r="E42" s="71"/>
      <c r="F42" s="71"/>
      <c r="G42" s="71"/>
      <c r="H42" s="71"/>
      <c r="I42" s="71"/>
      <c r="J42" s="71"/>
      <c r="K42" s="71"/>
      <c r="L42" s="71"/>
      <c r="M42" s="71"/>
      <c r="N42" s="71"/>
    </row>
    <row r="43">
      <c r="A43" s="71"/>
      <c r="B43" s="208" t="s">
        <v>414</v>
      </c>
      <c r="C43" s="71"/>
      <c r="D43" s="71"/>
      <c r="E43" s="71"/>
      <c r="F43" s="71"/>
      <c r="G43" s="71"/>
      <c r="H43" s="71"/>
      <c r="I43" s="71"/>
      <c r="J43" s="71"/>
      <c r="K43" s="71"/>
      <c r="L43" s="71"/>
      <c r="M43" s="71"/>
      <c r="N43" s="71"/>
    </row>
    <row r="44">
      <c r="A44" s="71"/>
      <c r="B44" s="159" t="s">
        <v>415</v>
      </c>
      <c r="C44" s="71"/>
      <c r="D44" s="71"/>
      <c r="E44" s="71"/>
      <c r="F44" s="71"/>
      <c r="G44" s="71"/>
      <c r="H44" s="71"/>
      <c r="I44" s="71"/>
      <c r="J44" s="71"/>
      <c r="K44" s="71"/>
      <c r="L44" s="71"/>
      <c r="M44" s="71"/>
      <c r="N44" s="71"/>
    </row>
    <row r="45">
      <c r="A45" s="71"/>
      <c r="B45" s="71"/>
      <c r="C45" s="71"/>
      <c r="D45" s="71"/>
      <c r="E45" s="71"/>
      <c r="F45" s="71"/>
      <c r="G45" s="71"/>
      <c r="H45" s="71"/>
      <c r="I45" s="71"/>
      <c r="J45" s="71"/>
      <c r="K45" s="71"/>
      <c r="L45" s="71"/>
      <c r="M45" s="71"/>
      <c r="N45" s="71"/>
    </row>
    <row r="46">
      <c r="A46" s="71"/>
      <c r="B46" s="71"/>
      <c r="C46" s="71"/>
      <c r="D46" s="71"/>
      <c r="E46" s="71"/>
      <c r="F46" s="71"/>
      <c r="G46" s="71"/>
      <c r="H46" s="71"/>
      <c r="I46" s="71"/>
      <c r="J46" s="71"/>
      <c r="K46" s="71"/>
      <c r="L46" s="71"/>
      <c r="M46" s="71"/>
      <c r="N46" s="71"/>
    </row>
  </sheetData>
  <mergeCells count="25">
    <mergeCell ref="B5:F6"/>
    <mergeCell ref="E13:F13"/>
    <mergeCell ref="E15:G15"/>
    <mergeCell ref="E17:F17"/>
    <mergeCell ref="E19:G19"/>
    <mergeCell ref="J19:M19"/>
    <mergeCell ref="E21:F21"/>
    <mergeCell ref="E23:G23"/>
    <mergeCell ref="E25:G25"/>
    <mergeCell ref="H27:I27"/>
    <mergeCell ref="B28:C29"/>
    <mergeCell ref="H28:I28"/>
    <mergeCell ref="H29:I29"/>
    <mergeCell ref="H30:I30"/>
    <mergeCell ref="H38:I38"/>
    <mergeCell ref="H39:I39"/>
    <mergeCell ref="H40:I40"/>
    <mergeCell ref="H41:I41"/>
    <mergeCell ref="H31:I31"/>
    <mergeCell ref="H32:I32"/>
    <mergeCell ref="H33:I33"/>
    <mergeCell ref="H34:I34"/>
    <mergeCell ref="H35:I35"/>
    <mergeCell ref="H36:I36"/>
    <mergeCell ref="H37:I37"/>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 type="list" allowBlank="1" showInputMessage="1" prompt="Clique e insira um valor de intervalo" sqref="G28:G41">
      <formula1>$L$28:$L$32</formula1>
    </dataValidation>
  </dataValidation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showGridLines="0" workbookViewId="0"/>
  </sheetViews>
  <sheetFormatPr customHeight="1" defaultColWidth="12.63" defaultRowHeight="15.75"/>
  <cols>
    <col customWidth="1" min="1" max="1" width="2.63"/>
    <col customWidth="1" min="2" max="2" width="6.38"/>
    <col customWidth="1" min="3" max="3" width="8.88"/>
    <col customWidth="1" min="4" max="4" width="35.25"/>
    <col customWidth="1" min="5" max="5" width="17.75"/>
    <col customWidth="1" min="6" max="6" width="9.38"/>
    <col customWidth="1" min="7" max="7" width="7.25"/>
    <col customWidth="1" min="8" max="8" width="10.88"/>
    <col customWidth="1" min="9" max="9" width="13.25"/>
    <col customWidth="1" min="10" max="10" width="30.75"/>
    <col customWidth="1" min="11" max="12" width="5.13"/>
  </cols>
  <sheetData>
    <row r="1" ht="11.25" customHeight="1">
      <c r="A1" s="67"/>
      <c r="B1" s="67"/>
      <c r="C1" s="67"/>
      <c r="D1" s="67"/>
      <c r="E1" s="67"/>
      <c r="F1" s="68"/>
      <c r="G1" s="68"/>
      <c r="H1" s="78"/>
      <c r="I1" s="67"/>
      <c r="J1" s="67"/>
      <c r="K1" s="67"/>
      <c r="L1" s="67"/>
    </row>
    <row r="2">
      <c r="A2" s="67"/>
      <c r="B2" s="70" t="s">
        <v>56</v>
      </c>
      <c r="C2" s="71"/>
      <c r="D2" s="71"/>
      <c r="E2" s="71"/>
      <c r="F2" s="72"/>
      <c r="G2" s="72"/>
      <c r="H2" s="78"/>
      <c r="I2" s="67"/>
      <c r="J2" s="67"/>
      <c r="K2" s="67"/>
      <c r="L2" s="67"/>
    </row>
    <row r="3">
      <c r="A3" s="67"/>
      <c r="B3" s="79" t="s">
        <v>57</v>
      </c>
      <c r="C3" s="71"/>
      <c r="D3" s="71"/>
      <c r="E3" s="71"/>
      <c r="F3" s="72"/>
      <c r="G3" s="72"/>
      <c r="H3" s="78"/>
      <c r="I3" s="67"/>
      <c r="J3" s="67"/>
      <c r="K3" s="67"/>
      <c r="L3" s="67"/>
    </row>
    <row r="4">
      <c r="A4" s="67"/>
      <c r="B4" s="96" t="s">
        <v>416</v>
      </c>
      <c r="C4" s="71"/>
      <c r="D4" s="71"/>
      <c r="E4" s="71"/>
      <c r="F4" s="72"/>
      <c r="G4" s="72"/>
      <c r="H4" s="78"/>
      <c r="I4" s="67"/>
      <c r="J4" s="67"/>
      <c r="K4" s="67"/>
      <c r="L4" s="67"/>
    </row>
    <row r="5">
      <c r="A5" s="67"/>
      <c r="B5" s="76" t="s">
        <v>59</v>
      </c>
      <c r="E5" s="76"/>
      <c r="F5" s="76"/>
      <c r="G5" s="76"/>
      <c r="H5" s="78"/>
      <c r="I5" s="67"/>
      <c r="J5" s="67"/>
      <c r="K5" s="67"/>
      <c r="L5" s="67"/>
    </row>
    <row r="6">
      <c r="A6" s="67"/>
      <c r="E6" s="76"/>
      <c r="F6" s="76"/>
      <c r="G6" s="76"/>
      <c r="H6" s="78"/>
      <c r="I6" s="102" t="s">
        <v>204</v>
      </c>
      <c r="J6" s="67"/>
      <c r="K6" s="67"/>
      <c r="L6" s="67"/>
    </row>
    <row r="7">
      <c r="A7" s="67"/>
      <c r="B7" s="71"/>
      <c r="C7" s="71"/>
      <c r="D7" s="71"/>
      <c r="E7" s="71"/>
      <c r="F7" s="72"/>
      <c r="G7" s="72"/>
      <c r="H7" s="78"/>
      <c r="I7" s="102" t="s">
        <v>205</v>
      </c>
      <c r="J7" s="67"/>
      <c r="K7" s="67"/>
      <c r="L7" s="67"/>
    </row>
    <row r="8">
      <c r="A8" s="67"/>
      <c r="B8" s="70" t="s">
        <v>60</v>
      </c>
      <c r="C8" s="71"/>
      <c r="D8" s="71"/>
      <c r="E8" s="71"/>
      <c r="F8" s="72"/>
      <c r="G8" s="72"/>
      <c r="H8" s="78"/>
      <c r="I8" s="102" t="s">
        <v>206</v>
      </c>
      <c r="J8" s="67"/>
      <c r="K8" s="67"/>
      <c r="L8" s="67"/>
    </row>
    <row r="9">
      <c r="A9" s="67"/>
      <c r="B9" s="79" t="s">
        <v>207</v>
      </c>
      <c r="C9" s="71"/>
      <c r="D9" s="71"/>
      <c r="E9" s="71"/>
      <c r="F9" s="72"/>
      <c r="G9" s="72"/>
      <c r="H9" s="78"/>
      <c r="I9" s="102" t="s">
        <v>208</v>
      </c>
      <c r="J9" s="67"/>
      <c r="K9" s="67"/>
      <c r="L9" s="67"/>
    </row>
    <row r="10">
      <c r="A10" s="67"/>
      <c r="B10" s="67"/>
      <c r="C10" s="67"/>
      <c r="D10" s="67"/>
      <c r="E10" s="67"/>
      <c r="F10" s="68"/>
      <c r="G10" s="68"/>
      <c r="H10" s="78">
        <f>SUM(H12:H57)</f>
        <v>980.12</v>
      </c>
      <c r="I10" s="103"/>
      <c r="J10" s="67"/>
      <c r="K10" s="67"/>
      <c r="L10" s="67"/>
    </row>
    <row r="11">
      <c r="A11" s="67"/>
      <c r="B11" s="80" t="s">
        <v>209</v>
      </c>
      <c r="C11" s="80" t="s">
        <v>62</v>
      </c>
      <c r="D11" s="80" t="s">
        <v>63</v>
      </c>
      <c r="E11" s="80" t="s">
        <v>210</v>
      </c>
      <c r="F11" s="81" t="s">
        <v>211</v>
      </c>
      <c r="G11" s="82" t="s">
        <v>68</v>
      </c>
      <c r="H11" s="239" t="s">
        <v>212</v>
      </c>
      <c r="I11" s="80" t="s">
        <v>214</v>
      </c>
      <c r="J11" s="80" t="s">
        <v>215</v>
      </c>
      <c r="K11" s="98"/>
      <c r="L11" s="67"/>
    </row>
    <row r="12">
      <c r="A12" s="67"/>
      <c r="B12" s="99"/>
      <c r="C12" s="240" t="s">
        <v>78</v>
      </c>
      <c r="D12" s="241" t="s">
        <v>219</v>
      </c>
      <c r="E12" s="241" t="s">
        <v>220</v>
      </c>
      <c r="F12" s="242"/>
      <c r="G12" s="242">
        <v>44927.0</v>
      </c>
      <c r="H12" s="243">
        <v>19.77</v>
      </c>
      <c r="I12" s="241" t="s">
        <v>206</v>
      </c>
      <c r="J12" s="241" t="s">
        <v>221</v>
      </c>
      <c r="K12" s="67"/>
      <c r="L12" s="67"/>
    </row>
    <row r="13">
      <c r="A13" s="67"/>
      <c r="B13" s="99"/>
      <c r="C13" s="244" t="s">
        <v>78</v>
      </c>
      <c r="D13" s="245" t="s">
        <v>219</v>
      </c>
      <c r="E13" s="245" t="s">
        <v>222</v>
      </c>
      <c r="F13" s="246" t="s">
        <v>223</v>
      </c>
      <c r="G13" s="246">
        <v>44927.0</v>
      </c>
      <c r="H13" s="247">
        <v>2.5</v>
      </c>
      <c r="I13" s="245" t="s">
        <v>208</v>
      </c>
      <c r="J13" s="245" t="s">
        <v>224</v>
      </c>
      <c r="K13" s="67"/>
      <c r="L13" s="67"/>
    </row>
    <row r="14">
      <c r="A14" s="67"/>
      <c r="B14" s="99"/>
      <c r="C14" s="244" t="s">
        <v>78</v>
      </c>
      <c r="D14" s="245" t="s">
        <v>219</v>
      </c>
      <c r="E14" s="248" t="s">
        <v>226</v>
      </c>
      <c r="F14" s="87" t="s">
        <v>227</v>
      </c>
      <c r="G14" s="246">
        <v>44927.0</v>
      </c>
      <c r="H14" s="247">
        <v>28.0</v>
      </c>
      <c r="I14" s="245" t="s">
        <v>206</v>
      </c>
      <c r="J14" s="245" t="s">
        <v>76</v>
      </c>
      <c r="K14" s="67"/>
      <c r="L14" s="67"/>
    </row>
    <row r="15">
      <c r="A15" s="67"/>
      <c r="B15" s="99"/>
      <c r="C15" s="244" t="s">
        <v>78</v>
      </c>
      <c r="D15" s="245" t="s">
        <v>219</v>
      </c>
      <c r="E15" s="245" t="s">
        <v>228</v>
      </c>
      <c r="F15" s="246"/>
      <c r="G15" s="246">
        <v>44927.0</v>
      </c>
      <c r="H15" s="247">
        <v>22.0</v>
      </c>
      <c r="I15" s="245" t="s">
        <v>206</v>
      </c>
      <c r="J15" s="245" t="s">
        <v>76</v>
      </c>
      <c r="K15" s="67"/>
      <c r="L15" s="67"/>
    </row>
    <row r="16">
      <c r="A16" s="67"/>
      <c r="B16" s="99"/>
      <c r="C16" s="244" t="s">
        <v>78</v>
      </c>
      <c r="D16" s="245" t="s">
        <v>219</v>
      </c>
      <c r="E16" s="245" t="s">
        <v>229</v>
      </c>
      <c r="F16" s="246"/>
      <c r="G16" s="246">
        <v>44927.0</v>
      </c>
      <c r="H16" s="247">
        <v>11.0</v>
      </c>
      <c r="I16" s="245" t="s">
        <v>205</v>
      </c>
      <c r="J16" s="245" t="s">
        <v>221</v>
      </c>
      <c r="K16" s="67"/>
      <c r="L16" s="67"/>
    </row>
    <row r="17">
      <c r="A17" s="67"/>
      <c r="B17" s="99"/>
      <c r="C17" s="244" t="s">
        <v>78</v>
      </c>
      <c r="D17" s="245" t="s">
        <v>230</v>
      </c>
      <c r="E17" s="245" t="s">
        <v>228</v>
      </c>
      <c r="F17" s="246"/>
      <c r="G17" s="246">
        <v>44958.0</v>
      </c>
      <c r="H17" s="247">
        <v>4.0</v>
      </c>
      <c r="I17" s="245" t="s">
        <v>206</v>
      </c>
      <c r="J17" s="245" t="s">
        <v>76</v>
      </c>
      <c r="K17" s="67"/>
      <c r="L17" s="67"/>
    </row>
    <row r="18">
      <c r="A18" s="67"/>
      <c r="B18" s="99"/>
      <c r="C18" s="244" t="s">
        <v>78</v>
      </c>
      <c r="D18" s="245" t="s">
        <v>230</v>
      </c>
      <c r="E18" s="245" t="s">
        <v>229</v>
      </c>
      <c r="F18" s="246"/>
      <c r="G18" s="246">
        <v>44958.0</v>
      </c>
      <c r="H18" s="247">
        <v>5.5</v>
      </c>
      <c r="I18" s="245" t="s">
        <v>206</v>
      </c>
      <c r="J18" s="245" t="s">
        <v>221</v>
      </c>
      <c r="K18" s="67"/>
      <c r="L18" s="67"/>
    </row>
    <row r="19">
      <c r="A19" s="67"/>
      <c r="B19" s="99"/>
      <c r="C19" s="244" t="s">
        <v>78</v>
      </c>
      <c r="D19" s="245" t="s">
        <v>230</v>
      </c>
      <c r="E19" s="245" t="s">
        <v>222</v>
      </c>
      <c r="F19" s="246" t="s">
        <v>223</v>
      </c>
      <c r="G19" s="246">
        <v>44958.0</v>
      </c>
      <c r="H19" s="247">
        <v>5.5</v>
      </c>
      <c r="I19" s="245" t="s">
        <v>208</v>
      </c>
      <c r="J19" s="245" t="s">
        <v>224</v>
      </c>
      <c r="K19" s="67"/>
      <c r="L19" s="67"/>
    </row>
    <row r="20">
      <c r="A20" s="67"/>
      <c r="B20" s="99"/>
      <c r="C20" s="244" t="s">
        <v>78</v>
      </c>
      <c r="D20" s="245" t="s">
        <v>231</v>
      </c>
      <c r="E20" s="248" t="s">
        <v>226</v>
      </c>
      <c r="F20" s="87" t="s">
        <v>227</v>
      </c>
      <c r="G20" s="246">
        <v>44958.0</v>
      </c>
      <c r="H20" s="247">
        <v>33.0</v>
      </c>
      <c r="I20" s="245" t="s">
        <v>206</v>
      </c>
      <c r="J20" s="245" t="s">
        <v>76</v>
      </c>
      <c r="K20" s="67"/>
      <c r="L20" s="67"/>
    </row>
    <row r="21">
      <c r="A21" s="67"/>
      <c r="B21" s="99"/>
      <c r="C21" s="244" t="s">
        <v>78</v>
      </c>
      <c r="D21" s="245" t="s">
        <v>231</v>
      </c>
      <c r="E21" s="245" t="s">
        <v>232</v>
      </c>
      <c r="F21" s="87" t="s">
        <v>233</v>
      </c>
      <c r="G21" s="246">
        <v>44958.0</v>
      </c>
      <c r="H21" s="247">
        <v>4.33</v>
      </c>
      <c r="I21" s="245" t="s">
        <v>206</v>
      </c>
      <c r="J21" s="245" t="s">
        <v>234</v>
      </c>
      <c r="K21" s="67"/>
      <c r="L21" s="67"/>
    </row>
    <row r="22">
      <c r="A22" s="67"/>
      <c r="B22" s="99"/>
      <c r="C22" s="244" t="s">
        <v>78</v>
      </c>
      <c r="D22" s="245" t="s">
        <v>231</v>
      </c>
      <c r="E22" s="245" t="s">
        <v>222</v>
      </c>
      <c r="F22" s="246" t="s">
        <v>223</v>
      </c>
      <c r="G22" s="246">
        <v>44958.0</v>
      </c>
      <c r="H22" s="247">
        <v>6.0</v>
      </c>
      <c r="I22" s="245" t="s">
        <v>208</v>
      </c>
      <c r="J22" s="245" t="s">
        <v>224</v>
      </c>
      <c r="K22" s="67"/>
      <c r="L22" s="67"/>
    </row>
    <row r="23">
      <c r="A23" s="67"/>
      <c r="B23" s="99"/>
      <c r="C23" s="244" t="s">
        <v>78</v>
      </c>
      <c r="D23" s="245" t="s">
        <v>235</v>
      </c>
      <c r="E23" s="245" t="s">
        <v>222</v>
      </c>
      <c r="F23" s="246" t="s">
        <v>223</v>
      </c>
      <c r="G23" s="246">
        <v>44958.0</v>
      </c>
      <c r="H23" s="247">
        <v>5.0</v>
      </c>
      <c r="I23" s="245" t="s">
        <v>208</v>
      </c>
      <c r="J23" s="245" t="s">
        <v>224</v>
      </c>
      <c r="K23" s="67"/>
      <c r="L23" s="67"/>
    </row>
    <row r="24">
      <c r="A24" s="67"/>
      <c r="B24" s="99"/>
      <c r="C24" s="244" t="s">
        <v>78</v>
      </c>
      <c r="D24" s="245" t="s">
        <v>235</v>
      </c>
      <c r="E24" s="245" t="s">
        <v>236</v>
      </c>
      <c r="F24" s="87" t="s">
        <v>237</v>
      </c>
      <c r="G24" s="246">
        <v>44958.0</v>
      </c>
      <c r="H24" s="247">
        <v>24.0</v>
      </c>
      <c r="I24" s="245" t="s">
        <v>206</v>
      </c>
      <c r="J24" s="245" t="s">
        <v>234</v>
      </c>
      <c r="K24" s="67"/>
      <c r="L24" s="67"/>
    </row>
    <row r="25">
      <c r="A25" s="67"/>
      <c r="B25" s="99"/>
      <c r="C25" s="244" t="s">
        <v>78</v>
      </c>
      <c r="D25" s="245" t="s">
        <v>235</v>
      </c>
      <c r="E25" s="245" t="s">
        <v>238</v>
      </c>
      <c r="F25" s="87" t="s">
        <v>239</v>
      </c>
      <c r="G25" s="246">
        <v>44958.0</v>
      </c>
      <c r="H25" s="247">
        <v>3.0</v>
      </c>
      <c r="I25" s="245" t="s">
        <v>205</v>
      </c>
      <c r="J25" s="245" t="s">
        <v>240</v>
      </c>
      <c r="K25" s="67"/>
      <c r="L25" s="67"/>
    </row>
    <row r="26">
      <c r="A26" s="67"/>
      <c r="B26" s="99"/>
      <c r="C26" s="244" t="s">
        <v>78</v>
      </c>
      <c r="D26" s="245" t="s">
        <v>230</v>
      </c>
      <c r="E26" s="245" t="s">
        <v>228</v>
      </c>
      <c r="F26" s="246"/>
      <c r="G26" s="246">
        <v>44986.0</v>
      </c>
      <c r="H26" s="247">
        <v>3.2</v>
      </c>
      <c r="I26" s="245" t="s">
        <v>206</v>
      </c>
      <c r="J26" s="245" t="s">
        <v>76</v>
      </c>
      <c r="K26" s="67"/>
      <c r="L26" s="67"/>
    </row>
    <row r="27">
      <c r="A27" s="67"/>
      <c r="B27" s="99"/>
      <c r="C27" s="244" t="s">
        <v>78</v>
      </c>
      <c r="D27" s="245" t="s">
        <v>230</v>
      </c>
      <c r="E27" s="245" t="s">
        <v>229</v>
      </c>
      <c r="F27" s="246"/>
      <c r="G27" s="246">
        <v>44986.0</v>
      </c>
      <c r="H27" s="247">
        <v>17.33</v>
      </c>
      <c r="I27" s="245" t="s">
        <v>206</v>
      </c>
      <c r="J27" s="245" t="s">
        <v>221</v>
      </c>
      <c r="K27" s="67"/>
      <c r="L27" s="67"/>
    </row>
    <row r="28">
      <c r="A28" s="67"/>
      <c r="B28" s="99"/>
      <c r="C28" s="244" t="s">
        <v>78</v>
      </c>
      <c r="D28" s="245" t="s">
        <v>230</v>
      </c>
      <c r="E28" s="245" t="s">
        <v>222</v>
      </c>
      <c r="F28" s="246" t="s">
        <v>223</v>
      </c>
      <c r="G28" s="246">
        <v>44986.0</v>
      </c>
      <c r="H28" s="247">
        <v>15.0</v>
      </c>
      <c r="I28" s="245" t="s">
        <v>208</v>
      </c>
      <c r="J28" s="249"/>
      <c r="K28" s="67"/>
      <c r="L28" s="67"/>
    </row>
    <row r="29">
      <c r="A29" s="67"/>
      <c r="B29" s="99"/>
      <c r="C29" s="244" t="s">
        <v>78</v>
      </c>
      <c r="D29" s="245" t="s">
        <v>231</v>
      </c>
      <c r="E29" s="248" t="s">
        <v>226</v>
      </c>
      <c r="F29" s="87" t="s">
        <v>227</v>
      </c>
      <c r="G29" s="246">
        <v>44986.0</v>
      </c>
      <c r="H29" s="247">
        <v>30.0</v>
      </c>
      <c r="I29" s="245" t="s">
        <v>206</v>
      </c>
      <c r="J29" s="245" t="s">
        <v>76</v>
      </c>
      <c r="K29" s="67"/>
      <c r="L29" s="67"/>
    </row>
    <row r="30">
      <c r="A30" s="67"/>
      <c r="B30" s="99"/>
      <c r="C30" s="244" t="s">
        <v>78</v>
      </c>
      <c r="D30" s="245" t="s">
        <v>231</v>
      </c>
      <c r="E30" s="245" t="s">
        <v>232</v>
      </c>
      <c r="F30" s="87" t="s">
        <v>233</v>
      </c>
      <c r="G30" s="246">
        <v>44986.0</v>
      </c>
      <c r="H30" s="247">
        <v>15.75</v>
      </c>
      <c r="I30" s="245" t="s">
        <v>206</v>
      </c>
      <c r="J30" s="245" t="s">
        <v>234</v>
      </c>
      <c r="K30" s="67"/>
      <c r="L30" s="67"/>
    </row>
    <row r="31">
      <c r="A31" s="67"/>
      <c r="B31" s="99"/>
      <c r="C31" s="244" t="s">
        <v>78</v>
      </c>
      <c r="D31" s="245" t="s">
        <v>231</v>
      </c>
      <c r="E31" s="245" t="s">
        <v>222</v>
      </c>
      <c r="F31" s="246" t="s">
        <v>223</v>
      </c>
      <c r="G31" s="246">
        <v>44986.0</v>
      </c>
      <c r="H31" s="247">
        <v>17.5</v>
      </c>
      <c r="I31" s="245" t="s">
        <v>208</v>
      </c>
      <c r="J31" s="245" t="s">
        <v>224</v>
      </c>
      <c r="K31" s="67"/>
      <c r="L31" s="67"/>
    </row>
    <row r="32">
      <c r="A32" s="67"/>
      <c r="B32" s="99"/>
      <c r="C32" s="244" t="s">
        <v>78</v>
      </c>
      <c r="D32" s="245" t="s">
        <v>241</v>
      </c>
      <c r="E32" s="248" t="s">
        <v>226</v>
      </c>
      <c r="F32" s="87" t="s">
        <v>227</v>
      </c>
      <c r="G32" s="246">
        <v>44986.0</v>
      </c>
      <c r="H32" s="247">
        <v>32.5</v>
      </c>
      <c r="I32" s="245" t="s">
        <v>206</v>
      </c>
      <c r="J32" s="245" t="s">
        <v>76</v>
      </c>
      <c r="K32" s="67"/>
      <c r="L32" s="67"/>
    </row>
    <row r="33">
      <c r="A33" s="67"/>
      <c r="B33" s="99"/>
      <c r="C33" s="244" t="s">
        <v>78</v>
      </c>
      <c r="D33" s="245" t="s">
        <v>241</v>
      </c>
      <c r="E33" s="245" t="s">
        <v>220</v>
      </c>
      <c r="F33" s="246"/>
      <c r="G33" s="246">
        <v>44986.0</v>
      </c>
      <c r="H33" s="247">
        <v>16.85</v>
      </c>
      <c r="I33" s="245" t="s">
        <v>206</v>
      </c>
      <c r="J33" s="245" t="s">
        <v>221</v>
      </c>
      <c r="K33" s="67"/>
      <c r="L33" s="67"/>
    </row>
    <row r="34">
      <c r="A34" s="67"/>
      <c r="B34" s="99"/>
      <c r="C34" s="244" t="s">
        <v>78</v>
      </c>
      <c r="D34" s="245" t="s">
        <v>241</v>
      </c>
      <c r="E34" s="245" t="s">
        <v>238</v>
      </c>
      <c r="F34" s="87" t="s">
        <v>239</v>
      </c>
      <c r="G34" s="246">
        <v>44986.0</v>
      </c>
      <c r="H34" s="247">
        <v>5.5</v>
      </c>
      <c r="I34" s="245" t="s">
        <v>205</v>
      </c>
      <c r="J34" s="245" t="s">
        <v>240</v>
      </c>
      <c r="K34" s="67"/>
      <c r="L34" s="67"/>
    </row>
    <row r="35">
      <c r="A35" s="67"/>
      <c r="B35" s="99"/>
      <c r="C35" s="244" t="s">
        <v>78</v>
      </c>
      <c r="D35" s="245" t="s">
        <v>235</v>
      </c>
      <c r="E35" s="245" t="s">
        <v>220</v>
      </c>
      <c r="F35" s="246"/>
      <c r="G35" s="246">
        <v>44986.0</v>
      </c>
      <c r="H35" s="247">
        <v>1.92</v>
      </c>
      <c r="I35" s="245" t="s">
        <v>206</v>
      </c>
      <c r="J35" s="245" t="s">
        <v>221</v>
      </c>
      <c r="K35" s="67"/>
      <c r="L35" s="67"/>
    </row>
    <row r="36">
      <c r="A36" s="67"/>
      <c r="B36" s="99"/>
      <c r="C36" s="244" t="s">
        <v>78</v>
      </c>
      <c r="D36" s="245" t="s">
        <v>235</v>
      </c>
      <c r="E36" s="245" t="s">
        <v>222</v>
      </c>
      <c r="F36" s="246" t="s">
        <v>223</v>
      </c>
      <c r="G36" s="246">
        <v>44986.0</v>
      </c>
      <c r="H36" s="247">
        <v>26.75</v>
      </c>
      <c r="I36" s="245" t="s">
        <v>208</v>
      </c>
      <c r="J36" s="245" t="s">
        <v>224</v>
      </c>
      <c r="K36" s="67"/>
      <c r="L36" s="67"/>
    </row>
    <row r="37">
      <c r="A37" s="67"/>
      <c r="B37" s="99"/>
      <c r="C37" s="244" t="s">
        <v>78</v>
      </c>
      <c r="D37" s="245" t="s">
        <v>235</v>
      </c>
      <c r="E37" s="245" t="s">
        <v>236</v>
      </c>
      <c r="F37" s="87" t="s">
        <v>237</v>
      </c>
      <c r="G37" s="246">
        <v>44986.0</v>
      </c>
      <c r="H37" s="247">
        <v>86.58</v>
      </c>
      <c r="I37" s="245" t="s">
        <v>206</v>
      </c>
      <c r="J37" s="245" t="s">
        <v>234</v>
      </c>
      <c r="K37" s="67"/>
      <c r="L37" s="67"/>
    </row>
    <row r="38">
      <c r="A38" s="67"/>
      <c r="B38" s="99"/>
      <c r="C38" s="244" t="s">
        <v>78</v>
      </c>
      <c r="D38" s="245" t="s">
        <v>235</v>
      </c>
      <c r="E38" s="245" t="s">
        <v>238</v>
      </c>
      <c r="F38" s="87" t="s">
        <v>239</v>
      </c>
      <c r="G38" s="246">
        <v>44986.0</v>
      </c>
      <c r="H38" s="247">
        <v>61.98</v>
      </c>
      <c r="I38" s="245" t="s">
        <v>205</v>
      </c>
      <c r="J38" s="245" t="s">
        <v>240</v>
      </c>
      <c r="K38" s="67"/>
      <c r="L38" s="67"/>
    </row>
    <row r="39">
      <c r="A39" s="67"/>
      <c r="B39" s="99"/>
      <c r="C39" s="244" t="s">
        <v>78</v>
      </c>
      <c r="D39" s="245" t="s">
        <v>242</v>
      </c>
      <c r="E39" s="248" t="s">
        <v>226</v>
      </c>
      <c r="F39" s="87" t="s">
        <v>227</v>
      </c>
      <c r="G39" s="246">
        <v>45017.0</v>
      </c>
      <c r="H39" s="247">
        <v>80.25</v>
      </c>
      <c r="I39" s="245" t="s">
        <v>206</v>
      </c>
      <c r="J39" s="245" t="s">
        <v>76</v>
      </c>
      <c r="K39" s="67"/>
      <c r="L39" s="67"/>
    </row>
    <row r="40">
      <c r="A40" s="67"/>
      <c r="B40" s="99"/>
      <c r="C40" s="244" t="s">
        <v>78</v>
      </c>
      <c r="D40" s="245" t="s">
        <v>242</v>
      </c>
      <c r="E40" s="245" t="s">
        <v>232</v>
      </c>
      <c r="F40" s="87" t="s">
        <v>233</v>
      </c>
      <c r="G40" s="246">
        <v>45017.0</v>
      </c>
      <c r="H40" s="247">
        <v>15.58</v>
      </c>
      <c r="I40" s="245" t="s">
        <v>206</v>
      </c>
      <c r="J40" s="245" t="s">
        <v>234</v>
      </c>
      <c r="K40" s="67"/>
      <c r="L40" s="67"/>
    </row>
    <row r="41">
      <c r="A41" s="67"/>
      <c r="B41" s="99"/>
      <c r="C41" s="244" t="s">
        <v>78</v>
      </c>
      <c r="D41" s="245" t="s">
        <v>242</v>
      </c>
      <c r="E41" s="245" t="s">
        <v>236</v>
      </c>
      <c r="F41" s="87" t="s">
        <v>237</v>
      </c>
      <c r="G41" s="246">
        <v>45017.0</v>
      </c>
      <c r="H41" s="247">
        <v>25.0</v>
      </c>
      <c r="I41" s="245" t="s">
        <v>206</v>
      </c>
      <c r="J41" s="245" t="s">
        <v>234</v>
      </c>
      <c r="K41" s="67"/>
      <c r="L41" s="67"/>
    </row>
    <row r="42">
      <c r="A42" s="67"/>
      <c r="B42" s="99"/>
      <c r="C42" s="244" t="s">
        <v>78</v>
      </c>
      <c r="D42" s="245" t="s">
        <v>242</v>
      </c>
      <c r="E42" s="245" t="s">
        <v>222</v>
      </c>
      <c r="F42" s="246" t="s">
        <v>223</v>
      </c>
      <c r="G42" s="246">
        <v>45017.0</v>
      </c>
      <c r="H42" s="247">
        <v>16.58</v>
      </c>
      <c r="I42" s="245" t="s">
        <v>208</v>
      </c>
      <c r="J42" s="245" t="s">
        <v>224</v>
      </c>
      <c r="K42" s="67"/>
      <c r="L42" s="67"/>
    </row>
    <row r="43">
      <c r="A43" s="67"/>
      <c r="B43" s="99"/>
      <c r="C43" s="244" t="s">
        <v>78</v>
      </c>
      <c r="D43" s="245" t="s">
        <v>243</v>
      </c>
      <c r="E43" s="245" t="s">
        <v>229</v>
      </c>
      <c r="F43" s="246"/>
      <c r="G43" s="246">
        <v>45017.0</v>
      </c>
      <c r="H43" s="247">
        <v>25.0</v>
      </c>
      <c r="I43" s="245" t="s">
        <v>206</v>
      </c>
      <c r="J43" s="245" t="s">
        <v>221</v>
      </c>
      <c r="K43" s="67"/>
      <c r="L43" s="67"/>
    </row>
    <row r="44">
      <c r="A44" s="67"/>
      <c r="B44" s="99"/>
      <c r="C44" s="244" t="s">
        <v>78</v>
      </c>
      <c r="D44" s="245" t="s">
        <v>243</v>
      </c>
      <c r="E44" s="245" t="s">
        <v>222</v>
      </c>
      <c r="F44" s="246" t="s">
        <v>223</v>
      </c>
      <c r="G44" s="246">
        <v>45017.0</v>
      </c>
      <c r="H44" s="247">
        <v>10.0</v>
      </c>
      <c r="I44" s="245" t="s">
        <v>208</v>
      </c>
      <c r="J44" s="245" t="s">
        <v>224</v>
      </c>
      <c r="K44" s="67"/>
      <c r="L44" s="67"/>
    </row>
    <row r="45">
      <c r="A45" s="67"/>
      <c r="B45" s="99"/>
      <c r="C45" s="244" t="s">
        <v>78</v>
      </c>
      <c r="D45" s="245" t="s">
        <v>243</v>
      </c>
      <c r="E45" s="245" t="s">
        <v>228</v>
      </c>
      <c r="F45" s="246"/>
      <c r="G45" s="246">
        <v>45017.0</v>
      </c>
      <c r="H45" s="247">
        <v>1.0</v>
      </c>
      <c r="I45" s="245" t="s">
        <v>206</v>
      </c>
      <c r="J45" s="245" t="s">
        <v>76</v>
      </c>
      <c r="K45" s="67"/>
      <c r="L45" s="67"/>
    </row>
    <row r="46">
      <c r="A46" s="67"/>
      <c r="B46" s="99"/>
      <c r="C46" s="244" t="s">
        <v>78</v>
      </c>
      <c r="D46" s="245" t="s">
        <v>243</v>
      </c>
      <c r="E46" s="245" t="s">
        <v>220</v>
      </c>
      <c r="F46" s="246"/>
      <c r="G46" s="246">
        <v>45017.0</v>
      </c>
      <c r="H46" s="247">
        <v>1.75</v>
      </c>
      <c r="I46" s="245" t="s">
        <v>206</v>
      </c>
      <c r="J46" s="245" t="s">
        <v>221</v>
      </c>
      <c r="K46" s="67"/>
      <c r="L46" s="67"/>
    </row>
    <row r="47">
      <c r="A47" s="67"/>
      <c r="B47" s="99"/>
      <c r="C47" s="244" t="s">
        <v>78</v>
      </c>
      <c r="D47" s="245" t="s">
        <v>243</v>
      </c>
      <c r="E47" s="245" t="s">
        <v>244</v>
      </c>
      <c r="F47" s="246"/>
      <c r="G47" s="246">
        <v>45017.0</v>
      </c>
      <c r="H47" s="247">
        <v>7.75</v>
      </c>
      <c r="I47" s="245" t="s">
        <v>206</v>
      </c>
      <c r="J47" s="245" t="s">
        <v>221</v>
      </c>
      <c r="K47" s="67"/>
      <c r="L47" s="67"/>
    </row>
    <row r="48">
      <c r="A48" s="67"/>
      <c r="B48" s="99"/>
      <c r="C48" s="244" t="s">
        <v>78</v>
      </c>
      <c r="D48" s="245" t="s">
        <v>243</v>
      </c>
      <c r="E48" s="245" t="s">
        <v>245</v>
      </c>
      <c r="F48" s="246"/>
      <c r="G48" s="246">
        <v>45017.0</v>
      </c>
      <c r="H48" s="247">
        <v>5.3</v>
      </c>
      <c r="I48" s="245" t="s">
        <v>206</v>
      </c>
      <c r="J48" s="245" t="s">
        <v>221</v>
      </c>
      <c r="K48" s="67"/>
      <c r="L48" s="67"/>
    </row>
    <row r="49">
      <c r="A49" s="67"/>
      <c r="B49" s="99"/>
      <c r="C49" s="244" t="s">
        <v>78</v>
      </c>
      <c r="D49" s="245" t="s">
        <v>243</v>
      </c>
      <c r="E49" s="245" t="s">
        <v>246</v>
      </c>
      <c r="F49" s="246"/>
      <c r="G49" s="246">
        <v>45017.0</v>
      </c>
      <c r="H49" s="247">
        <v>5.67</v>
      </c>
      <c r="I49" s="245" t="s">
        <v>206</v>
      </c>
      <c r="J49" s="245" t="s">
        <v>221</v>
      </c>
      <c r="K49" s="67"/>
      <c r="L49" s="67"/>
    </row>
    <row r="50">
      <c r="A50" s="67"/>
      <c r="B50" s="99"/>
      <c r="C50" s="244" t="s">
        <v>78</v>
      </c>
      <c r="D50" s="245" t="s">
        <v>72</v>
      </c>
      <c r="E50" s="245" t="s">
        <v>222</v>
      </c>
      <c r="F50" s="246" t="s">
        <v>223</v>
      </c>
      <c r="G50" s="246">
        <v>45017.0</v>
      </c>
      <c r="H50" s="247">
        <v>28.17</v>
      </c>
      <c r="I50" s="245" t="s">
        <v>208</v>
      </c>
      <c r="J50" s="245" t="s">
        <v>224</v>
      </c>
      <c r="K50" s="67"/>
      <c r="L50" s="67"/>
    </row>
    <row r="51">
      <c r="A51" s="67"/>
      <c r="B51" s="99"/>
      <c r="C51" s="244" t="s">
        <v>78</v>
      </c>
      <c r="D51" s="245" t="s">
        <v>72</v>
      </c>
      <c r="E51" s="245" t="s">
        <v>247</v>
      </c>
      <c r="F51" s="87" t="s">
        <v>248</v>
      </c>
      <c r="G51" s="246">
        <v>45017.0</v>
      </c>
      <c r="H51" s="247">
        <v>54.28</v>
      </c>
      <c r="I51" s="245" t="s">
        <v>206</v>
      </c>
      <c r="J51" s="245" t="s">
        <v>249</v>
      </c>
      <c r="K51" s="67"/>
      <c r="L51" s="67"/>
    </row>
    <row r="52">
      <c r="A52" s="67"/>
      <c r="B52" s="99"/>
      <c r="C52" s="244" t="s">
        <v>78</v>
      </c>
      <c r="D52" s="245" t="s">
        <v>72</v>
      </c>
      <c r="E52" s="245" t="s">
        <v>228</v>
      </c>
      <c r="F52" s="246"/>
      <c r="G52" s="246">
        <v>45017.0</v>
      </c>
      <c r="H52" s="247">
        <v>42.83</v>
      </c>
      <c r="I52" s="245" t="s">
        <v>206</v>
      </c>
      <c r="J52" s="245" t="s">
        <v>76</v>
      </c>
      <c r="K52" s="67"/>
      <c r="L52" s="67"/>
    </row>
    <row r="53">
      <c r="A53" s="67"/>
      <c r="B53" s="99"/>
      <c r="C53" s="244" t="s">
        <v>78</v>
      </c>
      <c r="D53" s="245" t="s">
        <v>72</v>
      </c>
      <c r="E53" s="245" t="s">
        <v>229</v>
      </c>
      <c r="F53" s="246"/>
      <c r="G53" s="246">
        <v>45017.0</v>
      </c>
      <c r="H53" s="247">
        <v>19.5</v>
      </c>
      <c r="I53" s="245" t="s">
        <v>206</v>
      </c>
      <c r="J53" s="245" t="s">
        <v>221</v>
      </c>
      <c r="K53" s="67"/>
      <c r="L53" s="67"/>
    </row>
    <row r="54">
      <c r="A54" s="67"/>
      <c r="B54" s="99"/>
      <c r="C54" s="244" t="s">
        <v>78</v>
      </c>
      <c r="D54" s="245" t="s">
        <v>72</v>
      </c>
      <c r="E54" s="245" t="s">
        <v>236</v>
      </c>
      <c r="F54" s="87" t="s">
        <v>237</v>
      </c>
      <c r="G54" s="246">
        <v>45017.0</v>
      </c>
      <c r="H54" s="247">
        <v>40.5</v>
      </c>
      <c r="I54" s="245" t="s">
        <v>206</v>
      </c>
      <c r="J54" s="245" t="s">
        <v>234</v>
      </c>
      <c r="K54" s="67"/>
      <c r="L54" s="67"/>
    </row>
    <row r="55">
      <c r="A55" s="67"/>
      <c r="B55" s="99"/>
      <c r="C55" s="244" t="s">
        <v>78</v>
      </c>
      <c r="D55" s="245" t="s">
        <v>72</v>
      </c>
      <c r="E55" s="245" t="s">
        <v>244</v>
      </c>
      <c r="F55" s="246"/>
      <c r="G55" s="246">
        <v>45017.0</v>
      </c>
      <c r="H55" s="247">
        <v>3.25</v>
      </c>
      <c r="I55" s="245" t="s">
        <v>206</v>
      </c>
      <c r="J55" s="245" t="s">
        <v>221</v>
      </c>
      <c r="K55" s="67"/>
      <c r="L55" s="67"/>
    </row>
    <row r="56">
      <c r="A56" s="67"/>
      <c r="B56" s="99"/>
      <c r="C56" s="244" t="s">
        <v>78</v>
      </c>
      <c r="D56" s="245" t="s">
        <v>72</v>
      </c>
      <c r="E56" s="245" t="s">
        <v>238</v>
      </c>
      <c r="F56" s="87" t="s">
        <v>239</v>
      </c>
      <c r="G56" s="246">
        <v>45017.0</v>
      </c>
      <c r="H56" s="247">
        <v>83.25</v>
      </c>
      <c r="I56" s="245" t="s">
        <v>205</v>
      </c>
      <c r="J56" s="245" t="s">
        <v>240</v>
      </c>
      <c r="K56" s="67"/>
      <c r="L56" s="67"/>
    </row>
    <row r="57">
      <c r="A57" s="67"/>
      <c r="B57" s="99"/>
      <c r="C57" s="244" t="s">
        <v>78</v>
      </c>
      <c r="D57" s="245" t="s">
        <v>243</v>
      </c>
      <c r="E57" s="245" t="s">
        <v>222</v>
      </c>
      <c r="F57" s="246" t="s">
        <v>223</v>
      </c>
      <c r="G57" s="246">
        <v>45047.0</v>
      </c>
      <c r="H57" s="247">
        <v>10.0</v>
      </c>
      <c r="I57" s="245" t="s">
        <v>208</v>
      </c>
      <c r="J57" s="245" t="s">
        <v>224</v>
      </c>
      <c r="K57" s="67"/>
      <c r="L57" s="67"/>
    </row>
    <row r="58">
      <c r="A58" s="67"/>
      <c r="B58" s="99"/>
      <c r="C58" s="244" t="s">
        <v>78</v>
      </c>
      <c r="D58" s="245" t="s">
        <v>243</v>
      </c>
      <c r="E58" s="248" t="s">
        <v>226</v>
      </c>
      <c r="F58" s="87" t="s">
        <v>227</v>
      </c>
      <c r="G58" s="246">
        <v>45047.0</v>
      </c>
      <c r="H58" s="247">
        <v>34.0</v>
      </c>
      <c r="I58" s="245" t="s">
        <v>206</v>
      </c>
      <c r="J58" s="245" t="s">
        <v>76</v>
      </c>
      <c r="K58" s="67"/>
      <c r="L58" s="67"/>
    </row>
    <row r="59">
      <c r="A59" s="67"/>
      <c r="B59" s="99"/>
      <c r="C59" s="244" t="s">
        <v>78</v>
      </c>
      <c r="D59" s="245" t="s">
        <v>243</v>
      </c>
      <c r="E59" s="245" t="s">
        <v>245</v>
      </c>
      <c r="F59" s="246"/>
      <c r="G59" s="246">
        <v>45047.0</v>
      </c>
      <c r="H59" s="247">
        <v>21.6</v>
      </c>
      <c r="I59" s="245" t="s">
        <v>206</v>
      </c>
      <c r="J59" s="245" t="s">
        <v>221</v>
      </c>
      <c r="K59" s="67"/>
      <c r="L59" s="67"/>
    </row>
    <row r="60">
      <c r="A60" s="67"/>
      <c r="B60" s="99"/>
      <c r="C60" s="244" t="s">
        <v>78</v>
      </c>
      <c r="D60" s="245" t="s">
        <v>243</v>
      </c>
      <c r="E60" s="245" t="s">
        <v>229</v>
      </c>
      <c r="F60" s="246"/>
      <c r="G60" s="246">
        <v>45047.0</v>
      </c>
      <c r="H60" s="247">
        <v>4.0</v>
      </c>
      <c r="I60" s="245" t="s">
        <v>206</v>
      </c>
      <c r="J60" s="245" t="s">
        <v>221</v>
      </c>
      <c r="K60" s="67"/>
      <c r="L60" s="67"/>
    </row>
    <row r="61">
      <c r="A61" s="67"/>
      <c r="B61" s="99"/>
      <c r="C61" s="244" t="s">
        <v>78</v>
      </c>
      <c r="D61" s="245" t="s">
        <v>72</v>
      </c>
      <c r="E61" s="245" t="s">
        <v>222</v>
      </c>
      <c r="F61" s="246" t="s">
        <v>223</v>
      </c>
      <c r="G61" s="246">
        <v>45047.0</v>
      </c>
      <c r="H61" s="247">
        <v>24.5</v>
      </c>
      <c r="I61" s="245" t="s">
        <v>208</v>
      </c>
      <c r="J61" s="245" t="s">
        <v>224</v>
      </c>
      <c r="K61" s="67"/>
      <c r="L61" s="67"/>
    </row>
    <row r="62">
      <c r="A62" s="67"/>
      <c r="B62" s="99"/>
      <c r="C62" s="244" t="s">
        <v>78</v>
      </c>
      <c r="D62" s="245" t="s">
        <v>72</v>
      </c>
      <c r="E62" s="245" t="s">
        <v>247</v>
      </c>
      <c r="F62" s="87" t="s">
        <v>248</v>
      </c>
      <c r="G62" s="246">
        <v>45047.0</v>
      </c>
      <c r="H62" s="247">
        <v>202.6</v>
      </c>
      <c r="I62" s="245" t="s">
        <v>206</v>
      </c>
      <c r="J62" s="245" t="s">
        <v>249</v>
      </c>
      <c r="K62" s="67"/>
      <c r="L62" s="67"/>
    </row>
    <row r="63">
      <c r="A63" s="67"/>
      <c r="B63" s="99"/>
      <c r="C63" s="244" t="s">
        <v>78</v>
      </c>
      <c r="D63" s="245" t="s">
        <v>72</v>
      </c>
      <c r="E63" s="245" t="s">
        <v>228</v>
      </c>
      <c r="F63" s="246"/>
      <c r="G63" s="246">
        <v>45047.0</v>
      </c>
      <c r="H63" s="247">
        <v>200.93</v>
      </c>
      <c r="I63" s="245" t="s">
        <v>206</v>
      </c>
      <c r="J63" s="245" t="s">
        <v>76</v>
      </c>
      <c r="K63" s="67"/>
      <c r="L63" s="67"/>
    </row>
    <row r="64">
      <c r="A64" s="67"/>
      <c r="B64" s="99"/>
      <c r="C64" s="244" t="s">
        <v>78</v>
      </c>
      <c r="D64" s="245" t="s">
        <v>72</v>
      </c>
      <c r="E64" s="245" t="s">
        <v>229</v>
      </c>
      <c r="F64" s="246"/>
      <c r="G64" s="246">
        <v>45047.0</v>
      </c>
      <c r="H64" s="247">
        <v>89.5</v>
      </c>
      <c r="I64" s="245" t="s">
        <v>206</v>
      </c>
      <c r="J64" s="245" t="s">
        <v>221</v>
      </c>
      <c r="K64" s="67"/>
      <c r="L64" s="67"/>
    </row>
    <row r="65">
      <c r="A65" s="67"/>
      <c r="B65" s="99"/>
      <c r="C65" s="244" t="s">
        <v>78</v>
      </c>
      <c r="D65" s="245" t="s">
        <v>72</v>
      </c>
      <c r="E65" s="245" t="s">
        <v>236</v>
      </c>
      <c r="F65" s="87" t="s">
        <v>237</v>
      </c>
      <c r="G65" s="246">
        <v>45047.0</v>
      </c>
      <c r="H65" s="247">
        <v>40.5</v>
      </c>
      <c r="I65" s="245" t="s">
        <v>206</v>
      </c>
      <c r="J65" s="245" t="s">
        <v>234</v>
      </c>
      <c r="K65" s="67"/>
      <c r="L65" s="67"/>
    </row>
    <row r="66">
      <c r="A66" s="67"/>
      <c r="B66" s="99"/>
      <c r="C66" s="244" t="s">
        <v>78</v>
      </c>
      <c r="D66" s="245" t="s">
        <v>72</v>
      </c>
      <c r="E66" s="245" t="s">
        <v>232</v>
      </c>
      <c r="F66" s="87" t="s">
        <v>233</v>
      </c>
      <c r="G66" s="246">
        <v>45047.0</v>
      </c>
      <c r="H66" s="247">
        <v>0.25</v>
      </c>
      <c r="I66" s="245" t="s">
        <v>206</v>
      </c>
      <c r="J66" s="245" t="s">
        <v>234</v>
      </c>
      <c r="K66" s="67"/>
      <c r="L66" s="67"/>
    </row>
    <row r="67">
      <c r="A67" s="67"/>
      <c r="B67" s="99"/>
      <c r="C67" s="244" t="s">
        <v>78</v>
      </c>
      <c r="D67" s="245" t="s">
        <v>72</v>
      </c>
      <c r="E67" s="245" t="s">
        <v>244</v>
      </c>
      <c r="F67" s="246"/>
      <c r="G67" s="246">
        <v>45047.0</v>
      </c>
      <c r="H67" s="247">
        <v>2.25</v>
      </c>
      <c r="I67" s="245" t="s">
        <v>206</v>
      </c>
      <c r="J67" s="245" t="s">
        <v>221</v>
      </c>
      <c r="K67" s="67"/>
      <c r="L67" s="67"/>
    </row>
    <row r="68">
      <c r="A68" s="67"/>
      <c r="B68" s="99"/>
      <c r="C68" s="244" t="s">
        <v>78</v>
      </c>
      <c r="D68" s="245" t="s">
        <v>72</v>
      </c>
      <c r="E68" s="245" t="s">
        <v>238</v>
      </c>
      <c r="F68" s="87" t="s">
        <v>239</v>
      </c>
      <c r="G68" s="246">
        <v>45047.0</v>
      </c>
      <c r="H68" s="247">
        <v>84.4</v>
      </c>
      <c r="I68" s="245" t="s">
        <v>206</v>
      </c>
      <c r="J68" s="245" t="s">
        <v>240</v>
      </c>
      <c r="K68" s="67"/>
      <c r="L68" s="67"/>
    </row>
    <row r="69">
      <c r="A69" s="67"/>
      <c r="B69" s="99"/>
      <c r="C69" s="244" t="s">
        <v>78</v>
      </c>
      <c r="D69" s="245" t="s">
        <v>250</v>
      </c>
      <c r="E69" s="245" t="s">
        <v>222</v>
      </c>
      <c r="F69" s="246" t="s">
        <v>223</v>
      </c>
      <c r="G69" s="246">
        <v>45047.0</v>
      </c>
      <c r="H69" s="247">
        <v>8.75</v>
      </c>
      <c r="I69" s="245" t="s">
        <v>206</v>
      </c>
      <c r="J69" s="245" t="s">
        <v>224</v>
      </c>
      <c r="K69" s="67"/>
      <c r="L69" s="67"/>
    </row>
    <row r="70">
      <c r="A70" s="67"/>
      <c r="B70" s="99"/>
      <c r="C70" s="244" t="s">
        <v>78</v>
      </c>
      <c r="D70" s="245" t="s">
        <v>250</v>
      </c>
      <c r="E70" s="248" t="s">
        <v>226</v>
      </c>
      <c r="F70" s="87" t="s">
        <v>227</v>
      </c>
      <c r="G70" s="246">
        <v>45047.0</v>
      </c>
      <c r="H70" s="247">
        <v>50.0</v>
      </c>
      <c r="I70" s="245" t="s">
        <v>206</v>
      </c>
      <c r="J70" s="245" t="s">
        <v>76</v>
      </c>
      <c r="K70" s="67"/>
      <c r="L70" s="67"/>
    </row>
    <row r="71">
      <c r="A71" s="67"/>
      <c r="B71" s="99"/>
      <c r="C71" s="244" t="s">
        <v>78</v>
      </c>
      <c r="D71" s="245" t="s">
        <v>250</v>
      </c>
      <c r="E71" s="245" t="s">
        <v>236</v>
      </c>
      <c r="F71" s="87" t="s">
        <v>237</v>
      </c>
      <c r="G71" s="246">
        <v>45047.0</v>
      </c>
      <c r="H71" s="247">
        <v>49.33</v>
      </c>
      <c r="I71" s="245" t="s">
        <v>206</v>
      </c>
      <c r="J71" s="245" t="s">
        <v>234</v>
      </c>
      <c r="K71" s="67"/>
      <c r="L71" s="67"/>
    </row>
    <row r="72">
      <c r="A72" s="67"/>
      <c r="B72" s="99"/>
      <c r="C72" s="244" t="s">
        <v>78</v>
      </c>
      <c r="D72" s="245" t="s">
        <v>250</v>
      </c>
      <c r="E72" s="245" t="s">
        <v>232</v>
      </c>
      <c r="F72" s="87" t="s">
        <v>233</v>
      </c>
      <c r="G72" s="246">
        <v>45047.0</v>
      </c>
      <c r="H72" s="247">
        <v>6.92</v>
      </c>
      <c r="I72" s="245" t="s">
        <v>206</v>
      </c>
      <c r="J72" s="245" t="s">
        <v>234</v>
      </c>
      <c r="K72" s="67"/>
      <c r="L72" s="67"/>
    </row>
    <row r="73">
      <c r="A73" s="67"/>
      <c r="B73" s="99"/>
      <c r="C73" s="244" t="s">
        <v>78</v>
      </c>
      <c r="D73" s="245" t="s">
        <v>250</v>
      </c>
      <c r="E73" s="245" t="s">
        <v>244</v>
      </c>
      <c r="F73" s="246"/>
      <c r="G73" s="246">
        <v>45047.0</v>
      </c>
      <c r="H73" s="247">
        <v>5.75</v>
      </c>
      <c r="I73" s="245" t="s">
        <v>206</v>
      </c>
      <c r="J73" s="245" t="s">
        <v>221</v>
      </c>
      <c r="K73" s="67"/>
      <c r="L73" s="67"/>
    </row>
    <row r="74">
      <c r="A74" s="67"/>
      <c r="B74" s="99"/>
      <c r="C74" s="244" t="s">
        <v>78</v>
      </c>
      <c r="D74" s="245" t="s">
        <v>72</v>
      </c>
      <c r="E74" s="245" t="s">
        <v>222</v>
      </c>
      <c r="F74" s="246" t="s">
        <v>223</v>
      </c>
      <c r="G74" s="246">
        <v>45078.0</v>
      </c>
      <c r="H74" s="247">
        <v>47.67</v>
      </c>
      <c r="I74" s="245" t="s">
        <v>208</v>
      </c>
      <c r="J74" s="245" t="s">
        <v>224</v>
      </c>
      <c r="K74" s="67"/>
      <c r="L74" s="67"/>
    </row>
    <row r="75">
      <c r="A75" s="67"/>
      <c r="B75" s="99"/>
      <c r="C75" s="244" t="s">
        <v>78</v>
      </c>
      <c r="D75" s="245" t="s">
        <v>72</v>
      </c>
      <c r="E75" s="245" t="s">
        <v>247</v>
      </c>
      <c r="F75" s="87" t="s">
        <v>248</v>
      </c>
      <c r="G75" s="246">
        <v>45078.0</v>
      </c>
      <c r="H75" s="247">
        <v>200.17</v>
      </c>
      <c r="I75" s="245" t="s">
        <v>206</v>
      </c>
      <c r="J75" s="245" t="s">
        <v>249</v>
      </c>
      <c r="K75" s="67"/>
      <c r="L75" s="67"/>
    </row>
    <row r="76">
      <c r="A76" s="67"/>
      <c r="B76" s="99"/>
      <c r="C76" s="244" t="s">
        <v>78</v>
      </c>
      <c r="D76" s="245" t="s">
        <v>72</v>
      </c>
      <c r="E76" s="245" t="s">
        <v>228</v>
      </c>
      <c r="F76" s="246"/>
      <c r="G76" s="246">
        <v>45078.0</v>
      </c>
      <c r="H76" s="247">
        <v>233.0</v>
      </c>
      <c r="I76" s="245" t="s">
        <v>206</v>
      </c>
      <c r="J76" s="245" t="s">
        <v>76</v>
      </c>
      <c r="K76" s="67"/>
      <c r="L76" s="67"/>
    </row>
    <row r="77">
      <c r="A77" s="67"/>
      <c r="B77" s="99"/>
      <c r="C77" s="244" t="s">
        <v>78</v>
      </c>
      <c r="D77" s="245" t="s">
        <v>72</v>
      </c>
      <c r="E77" s="245" t="s">
        <v>229</v>
      </c>
      <c r="F77" s="246"/>
      <c r="G77" s="246">
        <v>45078.0</v>
      </c>
      <c r="H77" s="247">
        <v>121.17</v>
      </c>
      <c r="I77" s="245" t="s">
        <v>206</v>
      </c>
      <c r="J77" s="245" t="s">
        <v>221</v>
      </c>
      <c r="K77" s="67"/>
      <c r="L77" s="67"/>
    </row>
    <row r="78">
      <c r="A78" s="67"/>
      <c r="B78" s="99"/>
      <c r="C78" s="244" t="s">
        <v>78</v>
      </c>
      <c r="D78" s="245" t="s">
        <v>72</v>
      </c>
      <c r="E78" s="245" t="s">
        <v>236</v>
      </c>
      <c r="F78" s="87" t="s">
        <v>237</v>
      </c>
      <c r="G78" s="246">
        <v>45078.0</v>
      </c>
      <c r="H78" s="247">
        <v>123.0</v>
      </c>
      <c r="I78" s="245" t="s">
        <v>206</v>
      </c>
      <c r="J78" s="245" t="s">
        <v>234</v>
      </c>
      <c r="K78" s="67"/>
      <c r="L78" s="67"/>
    </row>
    <row r="79">
      <c r="A79" s="67"/>
      <c r="B79" s="99"/>
      <c r="C79" s="244" t="s">
        <v>78</v>
      </c>
      <c r="D79" s="245" t="s">
        <v>72</v>
      </c>
      <c r="E79" s="245" t="s">
        <v>232</v>
      </c>
      <c r="F79" s="87" t="s">
        <v>233</v>
      </c>
      <c r="G79" s="246">
        <v>45078.0</v>
      </c>
      <c r="H79" s="247">
        <v>25.5</v>
      </c>
      <c r="I79" s="245" t="s">
        <v>206</v>
      </c>
      <c r="J79" s="245" t="s">
        <v>234</v>
      </c>
      <c r="K79" s="67"/>
      <c r="L79" s="67"/>
    </row>
    <row r="80">
      <c r="A80" s="67"/>
      <c r="B80" s="99"/>
      <c r="C80" s="244" t="s">
        <v>78</v>
      </c>
      <c r="D80" s="245" t="s">
        <v>72</v>
      </c>
      <c r="E80" s="245" t="s">
        <v>251</v>
      </c>
      <c r="F80" s="246"/>
      <c r="G80" s="246">
        <v>45078.0</v>
      </c>
      <c r="H80" s="247">
        <v>77.15</v>
      </c>
      <c r="I80" s="245" t="s">
        <v>206</v>
      </c>
      <c r="J80" s="245" t="s">
        <v>76</v>
      </c>
      <c r="K80" s="67"/>
      <c r="L80" s="67"/>
    </row>
    <row r="81">
      <c r="A81" s="67"/>
      <c r="B81" s="99"/>
      <c r="C81" s="244" t="s">
        <v>78</v>
      </c>
      <c r="D81" s="245" t="s">
        <v>252</v>
      </c>
      <c r="E81" s="245" t="s">
        <v>220</v>
      </c>
      <c r="F81" s="246"/>
      <c r="G81" s="246">
        <v>45078.0</v>
      </c>
      <c r="H81" s="247">
        <v>21.3</v>
      </c>
      <c r="I81" s="245" t="s">
        <v>206</v>
      </c>
      <c r="J81" s="245" t="s">
        <v>221</v>
      </c>
      <c r="K81" s="67"/>
      <c r="L81" s="67"/>
    </row>
    <row r="82">
      <c r="A82" s="67"/>
      <c r="B82" s="99"/>
      <c r="C82" s="244" t="s">
        <v>78</v>
      </c>
      <c r="D82" s="245" t="s">
        <v>252</v>
      </c>
      <c r="E82" s="245" t="s">
        <v>222</v>
      </c>
      <c r="F82" s="246" t="s">
        <v>223</v>
      </c>
      <c r="G82" s="246">
        <v>45078.0</v>
      </c>
      <c r="H82" s="247">
        <v>7.25</v>
      </c>
      <c r="I82" s="245" t="s">
        <v>208</v>
      </c>
      <c r="J82" s="245" t="s">
        <v>224</v>
      </c>
      <c r="K82" s="67"/>
      <c r="L82" s="67"/>
    </row>
    <row r="83">
      <c r="A83" s="67"/>
      <c r="B83" s="99"/>
      <c r="C83" s="244" t="s">
        <v>78</v>
      </c>
      <c r="D83" s="245" t="s">
        <v>252</v>
      </c>
      <c r="E83" s="248" t="s">
        <v>226</v>
      </c>
      <c r="F83" s="87" t="s">
        <v>227</v>
      </c>
      <c r="G83" s="246">
        <v>45078.0</v>
      </c>
      <c r="H83" s="247">
        <v>32.0</v>
      </c>
      <c r="I83" s="245" t="s">
        <v>206</v>
      </c>
      <c r="J83" s="245" t="s">
        <v>76</v>
      </c>
      <c r="K83" s="67"/>
      <c r="L83" s="67"/>
    </row>
    <row r="84">
      <c r="A84" s="67"/>
      <c r="B84" s="99"/>
      <c r="C84" s="244" t="s">
        <v>78</v>
      </c>
      <c r="D84" s="245" t="s">
        <v>252</v>
      </c>
      <c r="E84" s="245" t="s">
        <v>236</v>
      </c>
      <c r="F84" s="87" t="s">
        <v>237</v>
      </c>
      <c r="G84" s="246">
        <v>45078.0</v>
      </c>
      <c r="H84" s="247">
        <v>3.0</v>
      </c>
      <c r="I84" s="245" t="s">
        <v>206</v>
      </c>
      <c r="J84" s="245" t="s">
        <v>234</v>
      </c>
      <c r="K84" s="67"/>
      <c r="L84" s="67"/>
    </row>
    <row r="85">
      <c r="A85" s="67"/>
      <c r="B85" s="99"/>
      <c r="C85" s="244" t="s">
        <v>78</v>
      </c>
      <c r="D85" s="245" t="s">
        <v>252</v>
      </c>
      <c r="E85" s="245" t="s">
        <v>222</v>
      </c>
      <c r="F85" s="246" t="s">
        <v>223</v>
      </c>
      <c r="G85" s="246">
        <v>45108.0</v>
      </c>
      <c r="H85" s="247">
        <v>8.0</v>
      </c>
      <c r="I85" s="245" t="s">
        <v>208</v>
      </c>
      <c r="J85" s="250" t="s">
        <v>224</v>
      </c>
      <c r="K85" s="67"/>
      <c r="L85" s="67"/>
    </row>
    <row r="86">
      <c r="A86" s="67"/>
      <c r="B86" s="99"/>
      <c r="C86" s="244" t="s">
        <v>78</v>
      </c>
      <c r="D86" s="245" t="s">
        <v>252</v>
      </c>
      <c r="E86" s="248" t="s">
        <v>226</v>
      </c>
      <c r="F86" s="87" t="s">
        <v>227</v>
      </c>
      <c r="G86" s="246">
        <v>45108.0</v>
      </c>
      <c r="H86" s="247">
        <v>14.0</v>
      </c>
      <c r="I86" s="245" t="s">
        <v>206</v>
      </c>
      <c r="J86" s="245" t="s">
        <v>76</v>
      </c>
      <c r="K86" s="67"/>
      <c r="L86" s="67"/>
    </row>
    <row r="87">
      <c r="A87" s="67"/>
      <c r="B87" s="99"/>
      <c r="C87" s="244" t="s">
        <v>78</v>
      </c>
      <c r="D87" s="245" t="s">
        <v>252</v>
      </c>
      <c r="E87" s="245" t="s">
        <v>229</v>
      </c>
      <c r="F87" s="246"/>
      <c r="G87" s="246">
        <v>45108.0</v>
      </c>
      <c r="H87" s="247">
        <v>2.0</v>
      </c>
      <c r="I87" s="245" t="s">
        <v>206</v>
      </c>
      <c r="J87" s="245" t="s">
        <v>221</v>
      </c>
      <c r="K87" s="67"/>
      <c r="L87" s="67"/>
    </row>
    <row r="88">
      <c r="A88" s="67"/>
      <c r="B88" s="99"/>
      <c r="C88" s="244" t="s">
        <v>78</v>
      </c>
      <c r="D88" s="245" t="s">
        <v>252</v>
      </c>
      <c r="E88" s="245" t="s">
        <v>236</v>
      </c>
      <c r="F88" s="87" t="s">
        <v>237</v>
      </c>
      <c r="G88" s="246">
        <v>45108.0</v>
      </c>
      <c r="H88" s="247">
        <v>18.0</v>
      </c>
      <c r="I88" s="245" t="s">
        <v>206</v>
      </c>
      <c r="J88" s="245" t="s">
        <v>234</v>
      </c>
      <c r="K88" s="67"/>
      <c r="L88" s="67"/>
    </row>
    <row r="89">
      <c r="A89" s="67"/>
      <c r="B89" s="99"/>
      <c r="C89" s="244" t="s">
        <v>78</v>
      </c>
      <c r="D89" s="245" t="s">
        <v>252</v>
      </c>
      <c r="E89" s="245" t="s">
        <v>244</v>
      </c>
      <c r="F89" s="246"/>
      <c r="G89" s="246">
        <v>45108.0</v>
      </c>
      <c r="H89" s="247">
        <v>29.75</v>
      </c>
      <c r="I89" s="245" t="s">
        <v>206</v>
      </c>
      <c r="J89" s="245" t="s">
        <v>221</v>
      </c>
      <c r="K89" s="67"/>
      <c r="L89" s="67"/>
    </row>
    <row r="90">
      <c r="A90" s="67"/>
      <c r="B90" s="99"/>
      <c r="C90" s="244" t="s">
        <v>78</v>
      </c>
      <c r="D90" s="245" t="s">
        <v>253</v>
      </c>
      <c r="E90" s="245" t="s">
        <v>222</v>
      </c>
      <c r="F90" s="246" t="s">
        <v>223</v>
      </c>
      <c r="G90" s="246">
        <v>45108.0</v>
      </c>
      <c r="H90" s="247">
        <v>31.5</v>
      </c>
      <c r="I90" s="245" t="s">
        <v>208</v>
      </c>
      <c r="J90" s="245" t="s">
        <v>224</v>
      </c>
      <c r="K90" s="67"/>
      <c r="L90" s="67"/>
    </row>
    <row r="91">
      <c r="A91" s="67"/>
      <c r="B91" s="99"/>
      <c r="C91" s="244" t="s">
        <v>78</v>
      </c>
      <c r="D91" s="245" t="s">
        <v>253</v>
      </c>
      <c r="E91" s="245" t="s">
        <v>247</v>
      </c>
      <c r="F91" s="87" t="s">
        <v>248</v>
      </c>
      <c r="G91" s="246">
        <v>45108.0</v>
      </c>
      <c r="H91" s="247">
        <v>159.92</v>
      </c>
      <c r="I91" s="245" t="s">
        <v>206</v>
      </c>
      <c r="J91" s="245" t="s">
        <v>249</v>
      </c>
      <c r="K91" s="67"/>
      <c r="L91" s="67"/>
    </row>
    <row r="92">
      <c r="A92" s="67"/>
      <c r="B92" s="99"/>
      <c r="C92" s="244" t="s">
        <v>78</v>
      </c>
      <c r="D92" s="245" t="s">
        <v>253</v>
      </c>
      <c r="E92" s="245" t="s">
        <v>228</v>
      </c>
      <c r="F92" s="246"/>
      <c r="G92" s="246">
        <v>45108.0</v>
      </c>
      <c r="H92" s="247">
        <v>235.17</v>
      </c>
      <c r="I92" s="245" t="s">
        <v>206</v>
      </c>
      <c r="J92" s="245" t="s">
        <v>76</v>
      </c>
      <c r="K92" s="67"/>
      <c r="L92" s="67"/>
    </row>
    <row r="93">
      <c r="A93" s="67"/>
      <c r="B93" s="99"/>
      <c r="C93" s="244" t="s">
        <v>78</v>
      </c>
      <c r="D93" s="245" t="s">
        <v>253</v>
      </c>
      <c r="E93" s="245" t="s">
        <v>229</v>
      </c>
      <c r="F93" s="246"/>
      <c r="G93" s="246">
        <v>45108.0</v>
      </c>
      <c r="H93" s="247">
        <v>170.3</v>
      </c>
      <c r="I93" s="245" t="s">
        <v>206</v>
      </c>
      <c r="J93" s="245" t="s">
        <v>221</v>
      </c>
      <c r="K93" s="67"/>
      <c r="L93" s="67"/>
    </row>
    <row r="94">
      <c r="A94" s="67"/>
      <c r="B94" s="99"/>
      <c r="C94" s="244" t="s">
        <v>78</v>
      </c>
      <c r="D94" s="245" t="s">
        <v>253</v>
      </c>
      <c r="E94" s="245" t="s">
        <v>236</v>
      </c>
      <c r="F94" s="87" t="s">
        <v>237</v>
      </c>
      <c r="G94" s="246">
        <v>45108.0</v>
      </c>
      <c r="H94" s="247">
        <v>39.0</v>
      </c>
      <c r="I94" s="245" t="s">
        <v>206</v>
      </c>
      <c r="J94" s="245" t="s">
        <v>234</v>
      </c>
      <c r="K94" s="67"/>
      <c r="L94" s="67"/>
    </row>
    <row r="95">
      <c r="A95" s="67"/>
      <c r="B95" s="99"/>
      <c r="C95" s="244" t="s">
        <v>78</v>
      </c>
      <c r="D95" s="245" t="s">
        <v>253</v>
      </c>
      <c r="E95" s="245" t="s">
        <v>238</v>
      </c>
      <c r="F95" s="87" t="s">
        <v>239</v>
      </c>
      <c r="G95" s="246">
        <v>45108.0</v>
      </c>
      <c r="H95" s="247">
        <v>32.5</v>
      </c>
      <c r="I95" s="245" t="s">
        <v>205</v>
      </c>
      <c r="J95" s="245" t="s">
        <v>240</v>
      </c>
      <c r="K95" s="67"/>
      <c r="L95" s="67"/>
    </row>
    <row r="96">
      <c r="A96" s="67"/>
      <c r="B96" s="99"/>
      <c r="C96" s="244" t="s">
        <v>78</v>
      </c>
      <c r="D96" s="245" t="s">
        <v>253</v>
      </c>
      <c r="E96" s="245" t="s">
        <v>251</v>
      </c>
      <c r="F96" s="246"/>
      <c r="G96" s="246">
        <v>45108.0</v>
      </c>
      <c r="H96" s="247">
        <v>157.0</v>
      </c>
      <c r="I96" s="245" t="s">
        <v>206</v>
      </c>
      <c r="J96" s="245" t="s">
        <v>76</v>
      </c>
      <c r="K96" s="67"/>
      <c r="L96" s="67"/>
    </row>
    <row r="97">
      <c r="A97" s="67"/>
      <c r="B97" s="99"/>
      <c r="C97" s="244" t="s">
        <v>78</v>
      </c>
      <c r="D97" s="245" t="s">
        <v>254</v>
      </c>
      <c r="E97" s="245" t="s">
        <v>222</v>
      </c>
      <c r="F97" s="246" t="s">
        <v>223</v>
      </c>
      <c r="G97" s="246">
        <v>45139.0</v>
      </c>
      <c r="H97" s="247">
        <v>31.0</v>
      </c>
      <c r="I97" s="245" t="s">
        <v>208</v>
      </c>
      <c r="J97" s="245" t="s">
        <v>224</v>
      </c>
      <c r="K97" s="67"/>
      <c r="L97" s="67"/>
    </row>
    <row r="98">
      <c r="A98" s="67"/>
      <c r="B98" s="99"/>
      <c r="C98" s="244" t="s">
        <v>78</v>
      </c>
      <c r="D98" s="245" t="s">
        <v>254</v>
      </c>
      <c r="E98" s="248" t="s">
        <v>226</v>
      </c>
      <c r="F98" s="87" t="s">
        <v>227</v>
      </c>
      <c r="G98" s="246">
        <v>45139.0</v>
      </c>
      <c r="H98" s="247">
        <v>11.08</v>
      </c>
      <c r="I98" s="245" t="s">
        <v>206</v>
      </c>
      <c r="J98" s="245" t="s">
        <v>76</v>
      </c>
      <c r="K98" s="67"/>
      <c r="L98" s="67"/>
    </row>
    <row r="99">
      <c r="A99" s="67"/>
      <c r="B99" s="99"/>
      <c r="C99" s="244" t="s">
        <v>78</v>
      </c>
      <c r="D99" s="245" t="s">
        <v>254</v>
      </c>
      <c r="E99" s="245" t="s">
        <v>245</v>
      </c>
      <c r="F99" s="246"/>
      <c r="G99" s="246">
        <v>45139.0</v>
      </c>
      <c r="H99" s="247">
        <v>30.0</v>
      </c>
      <c r="I99" s="245" t="s">
        <v>206</v>
      </c>
      <c r="J99" s="245" t="s">
        <v>221</v>
      </c>
      <c r="K99" s="67"/>
      <c r="L99" s="67"/>
    </row>
    <row r="100">
      <c r="A100" s="67"/>
      <c r="B100" s="99"/>
      <c r="C100" s="244" t="s">
        <v>78</v>
      </c>
      <c r="D100" s="245" t="s">
        <v>255</v>
      </c>
      <c r="E100" s="245" t="s">
        <v>222</v>
      </c>
      <c r="F100" s="246" t="s">
        <v>223</v>
      </c>
      <c r="G100" s="246">
        <v>45139.0</v>
      </c>
      <c r="H100" s="247">
        <v>48.25</v>
      </c>
      <c r="I100" s="245" t="s">
        <v>208</v>
      </c>
      <c r="J100" s="245" t="s">
        <v>224</v>
      </c>
      <c r="K100" s="67"/>
      <c r="L100" s="67"/>
    </row>
    <row r="101">
      <c r="A101" s="67"/>
      <c r="B101" s="99"/>
      <c r="C101" s="244" t="s">
        <v>78</v>
      </c>
      <c r="D101" s="245" t="s">
        <v>255</v>
      </c>
      <c r="E101" s="245" t="s">
        <v>247</v>
      </c>
      <c r="F101" s="87" t="s">
        <v>248</v>
      </c>
      <c r="G101" s="246">
        <v>45139.0</v>
      </c>
      <c r="H101" s="247">
        <v>179.42</v>
      </c>
      <c r="I101" s="245" t="s">
        <v>206</v>
      </c>
      <c r="J101" s="245" t="s">
        <v>249</v>
      </c>
      <c r="K101" s="67"/>
      <c r="L101" s="67"/>
    </row>
    <row r="102">
      <c r="A102" s="67"/>
      <c r="B102" s="99"/>
      <c r="C102" s="244" t="s">
        <v>78</v>
      </c>
      <c r="D102" s="245" t="s">
        <v>255</v>
      </c>
      <c r="E102" s="245" t="s">
        <v>228</v>
      </c>
      <c r="F102" s="246"/>
      <c r="G102" s="246">
        <v>45139.0</v>
      </c>
      <c r="H102" s="247">
        <v>240.8</v>
      </c>
      <c r="I102" s="245" t="s">
        <v>206</v>
      </c>
      <c r="J102" s="245" t="s">
        <v>76</v>
      </c>
      <c r="K102" s="67"/>
      <c r="L102" s="67"/>
    </row>
    <row r="103">
      <c r="A103" s="67"/>
      <c r="B103" s="99"/>
      <c r="C103" s="244" t="s">
        <v>78</v>
      </c>
      <c r="D103" s="245" t="s">
        <v>255</v>
      </c>
      <c r="E103" s="245" t="s">
        <v>229</v>
      </c>
      <c r="F103" s="246"/>
      <c r="G103" s="246">
        <v>45139.0</v>
      </c>
      <c r="H103" s="247">
        <v>150.85</v>
      </c>
      <c r="I103" s="245" t="s">
        <v>206</v>
      </c>
      <c r="J103" s="245" t="s">
        <v>221</v>
      </c>
      <c r="K103" s="67"/>
      <c r="L103" s="67"/>
    </row>
    <row r="104">
      <c r="A104" s="67"/>
      <c r="B104" s="99"/>
      <c r="C104" s="244" t="s">
        <v>78</v>
      </c>
      <c r="D104" s="245" t="s">
        <v>255</v>
      </c>
      <c r="E104" s="245" t="s">
        <v>236</v>
      </c>
      <c r="F104" s="87" t="s">
        <v>237</v>
      </c>
      <c r="G104" s="246">
        <v>45139.0</v>
      </c>
      <c r="H104" s="247">
        <v>62.0</v>
      </c>
      <c r="I104" s="245" t="s">
        <v>206</v>
      </c>
      <c r="J104" s="245" t="s">
        <v>234</v>
      </c>
      <c r="K104" s="67"/>
      <c r="L104" s="67"/>
    </row>
    <row r="105">
      <c r="A105" s="67"/>
      <c r="B105" s="99"/>
      <c r="C105" s="244" t="s">
        <v>78</v>
      </c>
      <c r="D105" s="245" t="s">
        <v>255</v>
      </c>
      <c r="E105" s="245" t="s">
        <v>238</v>
      </c>
      <c r="F105" s="87" t="s">
        <v>239</v>
      </c>
      <c r="G105" s="246">
        <v>45139.0</v>
      </c>
      <c r="H105" s="247">
        <v>67.1</v>
      </c>
      <c r="I105" s="245" t="s">
        <v>205</v>
      </c>
      <c r="J105" s="245" t="s">
        <v>240</v>
      </c>
      <c r="K105" s="67"/>
      <c r="L105" s="67"/>
    </row>
    <row r="106">
      <c r="A106" s="67"/>
      <c r="B106" s="99"/>
      <c r="C106" s="244" t="s">
        <v>78</v>
      </c>
      <c r="D106" s="245" t="s">
        <v>255</v>
      </c>
      <c r="E106" s="245" t="s">
        <v>251</v>
      </c>
      <c r="F106" s="246"/>
      <c r="G106" s="246">
        <v>45139.0</v>
      </c>
      <c r="H106" s="247">
        <v>168.88</v>
      </c>
      <c r="I106" s="245" t="s">
        <v>206</v>
      </c>
      <c r="J106" s="245" t="s">
        <v>76</v>
      </c>
      <c r="K106" s="67"/>
      <c r="L106" s="67"/>
    </row>
    <row r="107">
      <c r="A107" s="67"/>
      <c r="B107" s="99"/>
      <c r="C107" s="244" t="s">
        <v>78</v>
      </c>
      <c r="D107" s="245" t="s">
        <v>254</v>
      </c>
      <c r="E107" s="245" t="s">
        <v>222</v>
      </c>
      <c r="F107" s="246" t="s">
        <v>223</v>
      </c>
      <c r="G107" s="246">
        <v>45170.0</v>
      </c>
      <c r="H107" s="247">
        <v>6.5</v>
      </c>
      <c r="I107" s="245" t="s">
        <v>208</v>
      </c>
      <c r="J107" s="245" t="s">
        <v>224</v>
      </c>
      <c r="K107" s="67"/>
      <c r="L107" s="67"/>
    </row>
    <row r="108">
      <c r="A108" s="67"/>
      <c r="B108" s="99"/>
      <c r="C108" s="244" t="s">
        <v>78</v>
      </c>
      <c r="D108" s="245" t="s">
        <v>254</v>
      </c>
      <c r="E108" s="248" t="s">
        <v>226</v>
      </c>
      <c r="F108" s="87" t="s">
        <v>227</v>
      </c>
      <c r="G108" s="246">
        <v>45170.0</v>
      </c>
      <c r="H108" s="247">
        <v>10.5</v>
      </c>
      <c r="I108" s="245" t="s">
        <v>206</v>
      </c>
      <c r="J108" s="245" t="s">
        <v>76</v>
      </c>
      <c r="K108" s="67"/>
      <c r="L108" s="67"/>
    </row>
    <row r="109">
      <c r="A109" s="67"/>
      <c r="B109" s="99"/>
      <c r="C109" s="251" t="s">
        <v>78</v>
      </c>
      <c r="D109" s="245" t="s">
        <v>254</v>
      </c>
      <c r="E109" s="245" t="s">
        <v>245</v>
      </c>
      <c r="F109" s="246"/>
      <c r="G109" s="246">
        <v>45170.0</v>
      </c>
      <c r="H109" s="247">
        <v>0.5</v>
      </c>
      <c r="I109" s="245" t="s">
        <v>206</v>
      </c>
      <c r="J109" s="245" t="s">
        <v>221</v>
      </c>
      <c r="K109" s="67"/>
      <c r="L109" s="67"/>
    </row>
    <row r="110">
      <c r="A110" s="67"/>
      <c r="B110" s="99"/>
      <c r="C110" s="251" t="s">
        <v>78</v>
      </c>
      <c r="D110" s="245" t="s">
        <v>254</v>
      </c>
      <c r="E110" s="245" t="s">
        <v>256</v>
      </c>
      <c r="F110" s="87" t="s">
        <v>257</v>
      </c>
      <c r="G110" s="246">
        <v>45170.0</v>
      </c>
      <c r="H110" s="247">
        <v>24.5</v>
      </c>
      <c r="I110" s="245" t="s">
        <v>206</v>
      </c>
      <c r="J110" s="245" t="s">
        <v>234</v>
      </c>
      <c r="K110" s="67"/>
      <c r="L110" s="67"/>
    </row>
    <row r="111">
      <c r="A111" s="67"/>
      <c r="B111" s="99"/>
      <c r="C111" s="251" t="s">
        <v>78</v>
      </c>
      <c r="D111" s="245" t="s">
        <v>254</v>
      </c>
      <c r="E111" s="245" t="s">
        <v>229</v>
      </c>
      <c r="F111" s="246"/>
      <c r="G111" s="246">
        <v>45170.0</v>
      </c>
      <c r="H111" s="247">
        <v>4.25</v>
      </c>
      <c r="I111" s="245" t="s">
        <v>206</v>
      </c>
      <c r="J111" s="245" t="s">
        <v>221</v>
      </c>
      <c r="K111" s="67"/>
      <c r="L111" s="67"/>
    </row>
    <row r="112">
      <c r="A112" s="67"/>
      <c r="B112" s="99"/>
      <c r="C112" s="251" t="s">
        <v>78</v>
      </c>
      <c r="D112" s="245" t="s">
        <v>254</v>
      </c>
      <c r="E112" s="245" t="s">
        <v>236</v>
      </c>
      <c r="F112" s="87" t="s">
        <v>237</v>
      </c>
      <c r="G112" s="246">
        <v>45170.0</v>
      </c>
      <c r="H112" s="247">
        <v>9.0</v>
      </c>
      <c r="I112" s="245" t="s">
        <v>206</v>
      </c>
      <c r="J112" s="245" t="s">
        <v>234</v>
      </c>
      <c r="K112" s="67"/>
      <c r="L112" s="67"/>
    </row>
    <row r="113">
      <c r="A113" s="67"/>
      <c r="B113" s="99"/>
      <c r="C113" s="251" t="s">
        <v>78</v>
      </c>
      <c r="D113" s="245" t="s">
        <v>258</v>
      </c>
      <c r="E113" s="245" t="s">
        <v>222</v>
      </c>
      <c r="F113" s="246" t="s">
        <v>223</v>
      </c>
      <c r="G113" s="246">
        <v>45170.0</v>
      </c>
      <c r="H113" s="247">
        <v>31.25</v>
      </c>
      <c r="I113" s="245" t="s">
        <v>208</v>
      </c>
      <c r="J113" s="245" t="s">
        <v>224</v>
      </c>
      <c r="K113" s="67"/>
      <c r="L113" s="67"/>
    </row>
    <row r="114">
      <c r="A114" s="67"/>
      <c r="B114" s="99"/>
      <c r="C114" s="251" t="s">
        <v>78</v>
      </c>
      <c r="D114" s="245" t="s">
        <v>258</v>
      </c>
      <c r="E114" s="245" t="s">
        <v>247</v>
      </c>
      <c r="F114" s="87" t="s">
        <v>248</v>
      </c>
      <c r="G114" s="246">
        <v>45170.0</v>
      </c>
      <c r="H114" s="247">
        <v>86.75</v>
      </c>
      <c r="I114" s="245" t="s">
        <v>206</v>
      </c>
      <c r="J114" s="245" t="s">
        <v>249</v>
      </c>
      <c r="K114" s="67"/>
      <c r="L114" s="67"/>
    </row>
    <row r="115">
      <c r="A115" s="67"/>
      <c r="B115" s="99"/>
      <c r="C115" s="251" t="s">
        <v>78</v>
      </c>
      <c r="D115" s="245" t="s">
        <v>258</v>
      </c>
      <c r="E115" s="245" t="s">
        <v>228</v>
      </c>
      <c r="F115" s="246"/>
      <c r="G115" s="246">
        <v>45170.0</v>
      </c>
      <c r="H115" s="247">
        <v>180.5</v>
      </c>
      <c r="I115" s="245" t="s">
        <v>206</v>
      </c>
      <c r="J115" s="245" t="s">
        <v>76</v>
      </c>
      <c r="K115" s="67"/>
      <c r="L115" s="67"/>
    </row>
    <row r="116">
      <c r="A116" s="67"/>
      <c r="B116" s="99"/>
      <c r="C116" s="251" t="s">
        <v>78</v>
      </c>
      <c r="D116" s="245" t="s">
        <v>258</v>
      </c>
      <c r="E116" s="245" t="s">
        <v>229</v>
      </c>
      <c r="F116" s="246"/>
      <c r="G116" s="246">
        <v>45170.0</v>
      </c>
      <c r="H116" s="247">
        <v>167.35</v>
      </c>
      <c r="I116" s="245" t="s">
        <v>206</v>
      </c>
      <c r="J116" s="245" t="s">
        <v>221</v>
      </c>
      <c r="K116" s="67"/>
      <c r="L116" s="67"/>
    </row>
    <row r="117">
      <c r="A117" s="67"/>
      <c r="B117" s="99"/>
      <c r="C117" s="251" t="s">
        <v>78</v>
      </c>
      <c r="D117" s="245" t="s">
        <v>258</v>
      </c>
      <c r="E117" s="245" t="s">
        <v>236</v>
      </c>
      <c r="F117" s="87" t="s">
        <v>237</v>
      </c>
      <c r="G117" s="246">
        <v>45170.0</v>
      </c>
      <c r="H117" s="247">
        <v>10.0</v>
      </c>
      <c r="I117" s="245" t="s">
        <v>206</v>
      </c>
      <c r="J117" s="245" t="s">
        <v>234</v>
      </c>
      <c r="K117" s="67"/>
      <c r="L117" s="67"/>
    </row>
    <row r="118">
      <c r="A118" s="67"/>
      <c r="B118" s="99"/>
      <c r="C118" s="251" t="s">
        <v>78</v>
      </c>
      <c r="D118" s="245" t="s">
        <v>258</v>
      </c>
      <c r="E118" s="245" t="s">
        <v>238</v>
      </c>
      <c r="F118" s="87" t="s">
        <v>239</v>
      </c>
      <c r="G118" s="246">
        <v>45170.0</v>
      </c>
      <c r="H118" s="247">
        <v>32.55</v>
      </c>
      <c r="I118" s="245" t="s">
        <v>205</v>
      </c>
      <c r="J118" s="245" t="s">
        <v>240</v>
      </c>
      <c r="K118" s="67"/>
      <c r="L118" s="67"/>
    </row>
    <row r="119">
      <c r="A119" s="67"/>
      <c r="B119" s="99"/>
      <c r="C119" s="251" t="s">
        <v>78</v>
      </c>
      <c r="D119" s="245" t="s">
        <v>258</v>
      </c>
      <c r="E119" s="245" t="s">
        <v>251</v>
      </c>
      <c r="F119" s="246"/>
      <c r="G119" s="246">
        <v>45170.0</v>
      </c>
      <c r="H119" s="247">
        <v>128.07</v>
      </c>
      <c r="I119" s="245" t="s">
        <v>206</v>
      </c>
      <c r="J119" s="245" t="s">
        <v>76</v>
      </c>
      <c r="K119" s="67"/>
      <c r="L119" s="67"/>
    </row>
    <row r="120">
      <c r="A120" s="67"/>
      <c r="B120" s="99"/>
      <c r="C120" s="251" t="s">
        <v>78</v>
      </c>
      <c r="D120" s="245" t="s">
        <v>254</v>
      </c>
      <c r="E120" s="245" t="s">
        <v>256</v>
      </c>
      <c r="F120" s="87" t="s">
        <v>257</v>
      </c>
      <c r="G120" s="246">
        <v>45200.0</v>
      </c>
      <c r="H120" s="247">
        <v>4.0</v>
      </c>
      <c r="I120" s="245" t="s">
        <v>206</v>
      </c>
      <c r="J120" s="245" t="s">
        <v>234</v>
      </c>
      <c r="K120" s="67"/>
      <c r="L120" s="67"/>
    </row>
    <row r="121">
      <c r="A121" s="67"/>
      <c r="B121" s="99"/>
      <c r="C121" s="251" t="s">
        <v>78</v>
      </c>
      <c r="D121" s="245" t="s">
        <v>254</v>
      </c>
      <c r="E121" s="245" t="s">
        <v>229</v>
      </c>
      <c r="F121" s="246"/>
      <c r="G121" s="246">
        <v>45200.0</v>
      </c>
      <c r="H121" s="247">
        <v>14.25</v>
      </c>
      <c r="I121" s="245" t="s">
        <v>206</v>
      </c>
      <c r="J121" s="245" t="s">
        <v>221</v>
      </c>
      <c r="K121" s="67"/>
      <c r="L121" s="67"/>
    </row>
    <row r="122">
      <c r="A122" s="67"/>
      <c r="B122" s="99"/>
      <c r="C122" s="251" t="s">
        <v>78</v>
      </c>
      <c r="D122" s="245" t="s">
        <v>254</v>
      </c>
      <c r="E122" s="245" t="s">
        <v>236</v>
      </c>
      <c r="F122" s="87" t="s">
        <v>237</v>
      </c>
      <c r="G122" s="246">
        <v>45200.0</v>
      </c>
      <c r="H122" s="247">
        <v>7.0</v>
      </c>
      <c r="I122" s="245" t="s">
        <v>206</v>
      </c>
      <c r="J122" s="245" t="s">
        <v>234</v>
      </c>
      <c r="K122" s="67"/>
      <c r="L122" s="67"/>
    </row>
    <row r="123">
      <c r="A123" s="67"/>
      <c r="B123" s="99"/>
      <c r="C123" s="251" t="s">
        <v>78</v>
      </c>
      <c r="D123" s="245" t="s">
        <v>254</v>
      </c>
      <c r="E123" s="245" t="s">
        <v>251</v>
      </c>
      <c r="F123" s="252"/>
      <c r="G123" s="252">
        <v>45200.0</v>
      </c>
      <c r="H123" s="247">
        <v>25.22</v>
      </c>
      <c r="I123" s="245" t="s">
        <v>206</v>
      </c>
      <c r="J123" s="245" t="s">
        <v>76</v>
      </c>
      <c r="K123" s="67"/>
      <c r="L123" s="67"/>
    </row>
    <row r="124">
      <c r="A124" s="67"/>
      <c r="B124" s="99"/>
      <c r="C124" s="251" t="s">
        <v>78</v>
      </c>
      <c r="D124" s="245" t="s">
        <v>259</v>
      </c>
      <c r="E124" s="245" t="s">
        <v>222</v>
      </c>
      <c r="F124" s="246" t="s">
        <v>223</v>
      </c>
      <c r="G124" s="252">
        <v>45200.0</v>
      </c>
      <c r="H124" s="247">
        <v>32.0</v>
      </c>
      <c r="I124" s="245" t="s">
        <v>208</v>
      </c>
      <c r="J124" s="245" t="s">
        <v>224</v>
      </c>
      <c r="K124" s="67"/>
      <c r="L124" s="67"/>
    </row>
    <row r="125">
      <c r="A125" s="67"/>
      <c r="B125" s="99"/>
      <c r="C125" s="251" t="s">
        <v>78</v>
      </c>
      <c r="D125" s="245" t="s">
        <v>259</v>
      </c>
      <c r="E125" s="248" t="s">
        <v>226</v>
      </c>
      <c r="F125" s="87" t="s">
        <v>227</v>
      </c>
      <c r="G125" s="252">
        <v>45200.0</v>
      </c>
      <c r="H125" s="247">
        <v>46.5</v>
      </c>
      <c r="I125" s="245" t="s">
        <v>206</v>
      </c>
      <c r="J125" s="245" t="s">
        <v>76</v>
      </c>
      <c r="K125" s="67"/>
      <c r="L125" s="67"/>
    </row>
    <row r="126">
      <c r="A126" s="67"/>
      <c r="B126" s="99"/>
      <c r="C126" s="251" t="s">
        <v>78</v>
      </c>
      <c r="D126" s="245" t="s">
        <v>259</v>
      </c>
      <c r="E126" s="245" t="s">
        <v>247</v>
      </c>
      <c r="F126" s="87" t="s">
        <v>248</v>
      </c>
      <c r="G126" s="252">
        <v>45200.0</v>
      </c>
      <c r="H126" s="247">
        <v>119.5</v>
      </c>
      <c r="I126" s="245" t="s">
        <v>206</v>
      </c>
      <c r="J126" s="245" t="s">
        <v>249</v>
      </c>
      <c r="K126" s="67"/>
      <c r="L126" s="67"/>
    </row>
    <row r="127">
      <c r="A127" s="67"/>
      <c r="B127" s="99"/>
      <c r="C127" s="251" t="s">
        <v>78</v>
      </c>
      <c r="D127" s="245" t="s">
        <v>259</v>
      </c>
      <c r="E127" s="245" t="s">
        <v>245</v>
      </c>
      <c r="F127" s="252"/>
      <c r="G127" s="252">
        <v>45200.0</v>
      </c>
      <c r="H127" s="247">
        <v>5.55</v>
      </c>
      <c r="I127" s="245" t="s">
        <v>206</v>
      </c>
      <c r="J127" s="245" t="s">
        <v>221</v>
      </c>
      <c r="K127" s="67"/>
      <c r="L127" s="67"/>
    </row>
    <row r="128">
      <c r="A128" s="67"/>
      <c r="B128" s="99"/>
      <c r="C128" s="251" t="s">
        <v>78</v>
      </c>
      <c r="D128" s="245" t="s">
        <v>259</v>
      </c>
      <c r="E128" s="245" t="s">
        <v>228</v>
      </c>
      <c r="F128" s="252"/>
      <c r="G128" s="252">
        <v>45200.0</v>
      </c>
      <c r="H128" s="247">
        <v>64.28</v>
      </c>
      <c r="I128" s="245" t="s">
        <v>206</v>
      </c>
      <c r="J128" s="245" t="s">
        <v>76</v>
      </c>
      <c r="K128" s="67"/>
      <c r="L128" s="67"/>
    </row>
    <row r="129">
      <c r="A129" s="67"/>
      <c r="B129" s="99"/>
      <c r="C129" s="251" t="s">
        <v>78</v>
      </c>
      <c r="D129" s="245" t="s">
        <v>259</v>
      </c>
      <c r="E129" s="245" t="s">
        <v>229</v>
      </c>
      <c r="F129" s="252"/>
      <c r="G129" s="252">
        <v>45200.0</v>
      </c>
      <c r="H129" s="247">
        <v>98.0</v>
      </c>
      <c r="I129" s="245" t="s">
        <v>206</v>
      </c>
      <c r="J129" s="245" t="s">
        <v>221</v>
      </c>
      <c r="K129" s="67"/>
      <c r="L129" s="67"/>
    </row>
    <row r="130">
      <c r="A130" s="67"/>
      <c r="B130" s="99"/>
      <c r="C130" s="251" t="s">
        <v>78</v>
      </c>
      <c r="D130" s="245" t="s">
        <v>259</v>
      </c>
      <c r="E130" s="245" t="s">
        <v>251</v>
      </c>
      <c r="F130" s="252"/>
      <c r="G130" s="252">
        <v>45200.0</v>
      </c>
      <c r="H130" s="247">
        <v>64.61</v>
      </c>
      <c r="I130" s="245" t="s">
        <v>206</v>
      </c>
      <c r="J130" s="245" t="s">
        <v>76</v>
      </c>
      <c r="K130" s="67"/>
      <c r="L130" s="67"/>
    </row>
    <row r="131">
      <c r="A131" s="67"/>
      <c r="B131" s="99"/>
      <c r="C131" s="251" t="s">
        <v>78</v>
      </c>
      <c r="D131" s="245" t="s">
        <v>259</v>
      </c>
      <c r="E131" s="245" t="s">
        <v>246</v>
      </c>
      <c r="F131" s="252"/>
      <c r="G131" s="252">
        <v>45200.0</v>
      </c>
      <c r="H131" s="247">
        <v>13.25</v>
      </c>
      <c r="I131" s="245" t="s">
        <v>206</v>
      </c>
      <c r="J131" s="245" t="s">
        <v>221</v>
      </c>
      <c r="K131" s="67"/>
      <c r="L131" s="67"/>
    </row>
    <row r="132">
      <c r="A132" s="67"/>
      <c r="B132" s="99"/>
      <c r="C132" s="251" t="s">
        <v>78</v>
      </c>
      <c r="D132" s="245" t="s">
        <v>252</v>
      </c>
      <c r="E132" s="248" t="s">
        <v>226</v>
      </c>
      <c r="F132" s="87" t="s">
        <v>227</v>
      </c>
      <c r="G132" s="252">
        <v>45231.0</v>
      </c>
      <c r="H132" s="247">
        <v>33.0</v>
      </c>
      <c r="I132" s="245" t="s">
        <v>206</v>
      </c>
      <c r="J132" s="245" t="s">
        <v>76</v>
      </c>
      <c r="K132" s="67"/>
      <c r="L132" s="67"/>
    </row>
    <row r="133">
      <c r="A133" s="67"/>
      <c r="B133" s="99"/>
      <c r="C133" s="251" t="s">
        <v>78</v>
      </c>
      <c r="D133" s="245" t="s">
        <v>252</v>
      </c>
      <c r="E133" s="245" t="s">
        <v>256</v>
      </c>
      <c r="F133" s="87" t="s">
        <v>257</v>
      </c>
      <c r="G133" s="252">
        <v>45231.0</v>
      </c>
      <c r="H133" s="247">
        <v>5.0</v>
      </c>
      <c r="I133" s="245" t="s">
        <v>206</v>
      </c>
      <c r="J133" s="245" t="s">
        <v>234</v>
      </c>
      <c r="K133" s="67"/>
      <c r="L133" s="67"/>
    </row>
    <row r="134">
      <c r="A134" s="67"/>
      <c r="B134" s="99"/>
      <c r="C134" s="251" t="s">
        <v>78</v>
      </c>
      <c r="D134" s="245" t="s">
        <v>252</v>
      </c>
      <c r="E134" s="245" t="s">
        <v>229</v>
      </c>
      <c r="F134" s="252"/>
      <c r="G134" s="252">
        <v>45231.0</v>
      </c>
      <c r="H134" s="247">
        <v>25.4</v>
      </c>
      <c r="I134" s="245" t="s">
        <v>206</v>
      </c>
      <c r="J134" s="245" t="s">
        <v>221</v>
      </c>
      <c r="K134" s="67"/>
      <c r="L134" s="67"/>
    </row>
    <row r="135">
      <c r="A135" s="67"/>
      <c r="B135" s="99"/>
      <c r="C135" s="251" t="s">
        <v>78</v>
      </c>
      <c r="D135" s="245" t="s">
        <v>260</v>
      </c>
      <c r="E135" s="245" t="s">
        <v>222</v>
      </c>
      <c r="F135" s="246" t="s">
        <v>223</v>
      </c>
      <c r="G135" s="252">
        <v>45231.0</v>
      </c>
      <c r="H135" s="247">
        <v>2.0</v>
      </c>
      <c r="I135" s="245" t="s">
        <v>208</v>
      </c>
      <c r="J135" s="245" t="s">
        <v>224</v>
      </c>
      <c r="K135" s="67"/>
      <c r="L135" s="67"/>
    </row>
    <row r="136">
      <c r="A136" s="67"/>
      <c r="B136" s="99"/>
      <c r="C136" s="251" t="s">
        <v>78</v>
      </c>
      <c r="D136" s="245" t="s">
        <v>260</v>
      </c>
      <c r="E136" s="248" t="s">
        <v>226</v>
      </c>
      <c r="F136" s="87" t="s">
        <v>227</v>
      </c>
      <c r="G136" s="252">
        <v>45231.0</v>
      </c>
      <c r="H136" s="247">
        <v>34.0</v>
      </c>
      <c r="I136" s="245" t="s">
        <v>206</v>
      </c>
      <c r="J136" s="245" t="s">
        <v>76</v>
      </c>
      <c r="K136" s="67"/>
      <c r="L136" s="67"/>
    </row>
    <row r="137">
      <c r="A137" s="67"/>
      <c r="B137" s="99"/>
      <c r="C137" s="251" t="s">
        <v>78</v>
      </c>
      <c r="D137" s="245" t="s">
        <v>260</v>
      </c>
      <c r="E137" s="245" t="s">
        <v>247</v>
      </c>
      <c r="F137" s="87" t="s">
        <v>248</v>
      </c>
      <c r="G137" s="252">
        <v>45231.0</v>
      </c>
      <c r="H137" s="247">
        <v>144.75</v>
      </c>
      <c r="I137" s="245" t="s">
        <v>206</v>
      </c>
      <c r="J137" s="245" t="s">
        <v>249</v>
      </c>
      <c r="K137" s="67"/>
      <c r="L137" s="67"/>
    </row>
    <row r="138">
      <c r="A138" s="67"/>
      <c r="B138" s="99"/>
      <c r="C138" s="251" t="s">
        <v>78</v>
      </c>
      <c r="D138" s="245" t="s">
        <v>260</v>
      </c>
      <c r="E138" s="245" t="s">
        <v>245</v>
      </c>
      <c r="F138" s="252"/>
      <c r="G138" s="252">
        <v>45231.0</v>
      </c>
      <c r="H138" s="247">
        <v>8.25</v>
      </c>
      <c r="I138" s="245" t="s">
        <v>206</v>
      </c>
      <c r="J138" s="245" t="s">
        <v>221</v>
      </c>
      <c r="K138" s="67"/>
      <c r="L138" s="67"/>
    </row>
    <row r="139">
      <c r="A139" s="67"/>
      <c r="B139" s="99"/>
      <c r="C139" s="251" t="s">
        <v>78</v>
      </c>
      <c r="D139" s="245" t="s">
        <v>260</v>
      </c>
      <c r="E139" s="245" t="s">
        <v>228</v>
      </c>
      <c r="F139" s="252"/>
      <c r="G139" s="252">
        <v>45231.0</v>
      </c>
      <c r="H139" s="247">
        <v>203.8</v>
      </c>
      <c r="I139" s="245" t="s">
        <v>206</v>
      </c>
      <c r="J139" s="245" t="s">
        <v>76</v>
      </c>
      <c r="K139" s="67"/>
      <c r="L139" s="67"/>
    </row>
    <row r="140">
      <c r="A140" s="67"/>
      <c r="B140" s="99"/>
      <c r="C140" s="251" t="s">
        <v>78</v>
      </c>
      <c r="D140" s="245" t="s">
        <v>260</v>
      </c>
      <c r="E140" s="245" t="s">
        <v>256</v>
      </c>
      <c r="F140" s="87" t="s">
        <v>257</v>
      </c>
      <c r="G140" s="252">
        <v>45231.0</v>
      </c>
      <c r="H140" s="247">
        <v>43.0</v>
      </c>
      <c r="I140" s="245" t="s">
        <v>206</v>
      </c>
      <c r="J140" s="245" t="s">
        <v>234</v>
      </c>
      <c r="K140" s="67"/>
      <c r="L140" s="67"/>
    </row>
    <row r="141">
      <c r="A141" s="67"/>
      <c r="B141" s="99"/>
      <c r="C141" s="251" t="s">
        <v>78</v>
      </c>
      <c r="D141" s="245" t="s">
        <v>260</v>
      </c>
      <c r="E141" s="245" t="s">
        <v>229</v>
      </c>
      <c r="F141" s="252"/>
      <c r="G141" s="252">
        <v>45231.0</v>
      </c>
      <c r="H141" s="247">
        <v>102.78</v>
      </c>
      <c r="I141" s="245" t="s">
        <v>206</v>
      </c>
      <c r="J141" s="245" t="s">
        <v>221</v>
      </c>
      <c r="K141" s="67"/>
      <c r="L141" s="67"/>
    </row>
    <row r="142">
      <c r="A142" s="67"/>
      <c r="B142" s="99"/>
      <c r="C142" s="251" t="s">
        <v>78</v>
      </c>
      <c r="D142" s="245" t="s">
        <v>260</v>
      </c>
      <c r="E142" s="245" t="s">
        <v>236</v>
      </c>
      <c r="F142" s="87" t="s">
        <v>237</v>
      </c>
      <c r="G142" s="252">
        <v>45231.0</v>
      </c>
      <c r="H142" s="247">
        <v>20.0</v>
      </c>
      <c r="I142" s="245" t="s">
        <v>206</v>
      </c>
      <c r="J142" s="245" t="s">
        <v>234</v>
      </c>
      <c r="K142" s="67"/>
      <c r="L142" s="67"/>
    </row>
    <row r="143">
      <c r="A143" s="67"/>
      <c r="B143" s="99"/>
      <c r="C143" s="251" t="s">
        <v>78</v>
      </c>
      <c r="D143" s="245" t="s">
        <v>260</v>
      </c>
      <c r="E143" s="245" t="s">
        <v>251</v>
      </c>
      <c r="F143" s="252"/>
      <c r="G143" s="252">
        <v>45231.0</v>
      </c>
      <c r="H143" s="247">
        <v>29.67</v>
      </c>
      <c r="I143" s="245" t="s">
        <v>206</v>
      </c>
      <c r="J143" s="245" t="s">
        <v>76</v>
      </c>
      <c r="K143" s="67"/>
      <c r="L143" s="67"/>
    </row>
    <row r="144">
      <c r="A144" s="67"/>
      <c r="B144" s="99"/>
      <c r="C144" s="251" t="s">
        <v>78</v>
      </c>
      <c r="D144" s="245" t="s">
        <v>252</v>
      </c>
      <c r="E144" s="248" t="s">
        <v>226</v>
      </c>
      <c r="F144" s="87" t="s">
        <v>227</v>
      </c>
      <c r="G144" s="246">
        <v>45261.0</v>
      </c>
      <c r="H144" s="247">
        <v>1.0</v>
      </c>
      <c r="I144" s="245" t="s">
        <v>206</v>
      </c>
      <c r="J144" s="245" t="s">
        <v>76</v>
      </c>
      <c r="K144" s="67"/>
      <c r="L144" s="67"/>
    </row>
    <row r="145">
      <c r="A145" s="67"/>
      <c r="B145" s="99"/>
      <c r="C145" s="251" t="s">
        <v>78</v>
      </c>
      <c r="D145" s="245" t="s">
        <v>252</v>
      </c>
      <c r="E145" s="245" t="s">
        <v>247</v>
      </c>
      <c r="F145" s="87" t="s">
        <v>248</v>
      </c>
      <c r="G145" s="246">
        <v>45261.0</v>
      </c>
      <c r="H145" s="247">
        <v>32.0</v>
      </c>
      <c r="I145" s="245" t="s">
        <v>206</v>
      </c>
      <c r="J145" s="245" t="s">
        <v>249</v>
      </c>
      <c r="K145" s="67"/>
      <c r="L145" s="67"/>
    </row>
    <row r="146">
      <c r="A146" s="67"/>
      <c r="B146" s="99"/>
      <c r="C146" s="251" t="s">
        <v>78</v>
      </c>
      <c r="D146" s="245" t="s">
        <v>252</v>
      </c>
      <c r="E146" s="245" t="s">
        <v>228</v>
      </c>
      <c r="F146" s="246"/>
      <c r="G146" s="246">
        <v>45261.0</v>
      </c>
      <c r="H146" s="247">
        <v>10.0</v>
      </c>
      <c r="I146" s="245" t="s">
        <v>206</v>
      </c>
      <c r="J146" s="245" t="s">
        <v>76</v>
      </c>
      <c r="K146" s="67"/>
      <c r="L146" s="67"/>
    </row>
    <row r="147">
      <c r="A147" s="67"/>
      <c r="B147" s="99"/>
      <c r="C147" s="251" t="s">
        <v>78</v>
      </c>
      <c r="D147" s="245" t="s">
        <v>252</v>
      </c>
      <c r="E147" s="245" t="s">
        <v>229</v>
      </c>
      <c r="F147" s="246"/>
      <c r="G147" s="246">
        <v>45261.0</v>
      </c>
      <c r="H147" s="247">
        <v>8.8</v>
      </c>
      <c r="I147" s="245" t="s">
        <v>206</v>
      </c>
      <c r="J147" s="245" t="s">
        <v>221</v>
      </c>
      <c r="K147" s="67"/>
      <c r="L147" s="67"/>
    </row>
    <row r="148">
      <c r="A148" s="67"/>
      <c r="B148" s="99"/>
      <c r="C148" s="251" t="s">
        <v>78</v>
      </c>
      <c r="D148" s="245" t="s">
        <v>260</v>
      </c>
      <c r="E148" s="245" t="s">
        <v>247</v>
      </c>
      <c r="F148" s="87" t="s">
        <v>248</v>
      </c>
      <c r="G148" s="246">
        <v>45261.0</v>
      </c>
      <c r="H148" s="247">
        <v>57.75</v>
      </c>
      <c r="I148" s="245" t="s">
        <v>206</v>
      </c>
      <c r="J148" s="245" t="s">
        <v>249</v>
      </c>
      <c r="K148" s="67"/>
      <c r="L148" s="67"/>
    </row>
    <row r="149">
      <c r="A149" s="67"/>
      <c r="B149" s="99"/>
      <c r="C149" s="251" t="s">
        <v>78</v>
      </c>
      <c r="D149" s="245" t="s">
        <v>260</v>
      </c>
      <c r="E149" s="245" t="s">
        <v>228</v>
      </c>
      <c r="F149" s="246"/>
      <c r="G149" s="246">
        <v>45261.0</v>
      </c>
      <c r="H149" s="247">
        <v>72.8</v>
      </c>
      <c r="I149" s="245" t="s">
        <v>206</v>
      </c>
      <c r="J149" s="245" t="s">
        <v>76</v>
      </c>
      <c r="K149" s="67"/>
      <c r="L149" s="67"/>
    </row>
    <row r="150">
      <c r="A150" s="67"/>
      <c r="B150" s="99"/>
      <c r="C150" s="251" t="s">
        <v>78</v>
      </c>
      <c r="D150" s="245" t="s">
        <v>260</v>
      </c>
      <c r="E150" s="245" t="s">
        <v>229</v>
      </c>
      <c r="F150" s="246"/>
      <c r="G150" s="246">
        <v>45261.0</v>
      </c>
      <c r="H150" s="247">
        <v>39.2</v>
      </c>
      <c r="I150" s="245" t="s">
        <v>206</v>
      </c>
      <c r="J150" s="245" t="s">
        <v>221</v>
      </c>
      <c r="K150" s="67"/>
      <c r="L150" s="67"/>
    </row>
    <row r="151">
      <c r="A151" s="67"/>
      <c r="B151" s="99"/>
      <c r="C151" s="251" t="s">
        <v>78</v>
      </c>
      <c r="D151" s="245" t="s">
        <v>260</v>
      </c>
      <c r="E151" s="245" t="s">
        <v>236</v>
      </c>
      <c r="F151" s="87" t="s">
        <v>237</v>
      </c>
      <c r="G151" s="246">
        <v>45261.0</v>
      </c>
      <c r="H151" s="247">
        <v>6.0</v>
      </c>
      <c r="I151" s="245" t="s">
        <v>206</v>
      </c>
      <c r="J151" s="245" t="s">
        <v>234</v>
      </c>
      <c r="K151" s="67"/>
      <c r="L151" s="67"/>
    </row>
  </sheetData>
  <autoFilter ref="$B$11:$J$151"/>
  <mergeCells count="1">
    <mergeCell ref="B5:D6"/>
  </mergeCells>
  <dataValidations>
    <dataValidation type="list" allowBlank="1" sqref="E12:E151">
      <formula1>IRIS!$E$28:$E$41</formula1>
    </dataValidation>
    <dataValidation type="list" allowBlank="1" sqref="I12:I151">
      <formula1>$I$6:$I$9</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showGridLines="0" workbookViewId="0"/>
  </sheetViews>
  <sheetFormatPr customHeight="1" defaultColWidth="12.63" defaultRowHeight="15.75"/>
  <cols>
    <col customWidth="1" min="1" max="1" width="2.63"/>
    <col customWidth="1" min="2" max="3" width="18.88"/>
    <col customWidth="1" min="4" max="4" width="31.38"/>
    <col customWidth="1" min="5" max="5" width="18.88"/>
    <col customWidth="1" min="6" max="7" width="12.63"/>
    <col customWidth="1" min="8" max="8" width="31.38"/>
    <col customWidth="1" min="9" max="10" width="5.13"/>
  </cols>
  <sheetData>
    <row r="1" ht="11.25" customHeight="1">
      <c r="A1" s="67"/>
      <c r="B1" s="67"/>
      <c r="C1" s="67"/>
      <c r="D1" s="67"/>
      <c r="E1" s="67"/>
      <c r="F1" s="68"/>
      <c r="G1" s="67"/>
      <c r="H1" s="67"/>
      <c r="I1" s="67"/>
      <c r="J1" s="67"/>
    </row>
    <row r="2">
      <c r="A2" s="67"/>
      <c r="B2" s="70" t="s">
        <v>56</v>
      </c>
      <c r="C2" s="70"/>
      <c r="D2" s="71"/>
      <c r="E2" s="71"/>
      <c r="F2" s="72"/>
      <c r="G2" s="67"/>
      <c r="H2" s="67"/>
      <c r="I2" s="67"/>
      <c r="J2" s="67"/>
    </row>
    <row r="3">
      <c r="A3" s="67"/>
      <c r="B3" s="79" t="s">
        <v>57</v>
      </c>
      <c r="C3" s="79"/>
      <c r="D3" s="71"/>
      <c r="E3" s="71"/>
      <c r="F3" s="72"/>
      <c r="G3" s="67"/>
      <c r="H3" s="67"/>
      <c r="I3" s="67"/>
      <c r="J3" s="67"/>
    </row>
    <row r="4">
      <c r="A4" s="67"/>
      <c r="B4" s="96" t="s">
        <v>417</v>
      </c>
      <c r="C4" s="96"/>
      <c r="D4" s="71"/>
      <c r="E4" s="71"/>
      <c r="F4" s="72"/>
      <c r="G4" s="67"/>
      <c r="H4" s="67"/>
      <c r="I4" s="67"/>
      <c r="J4" s="67"/>
    </row>
    <row r="5">
      <c r="A5" s="67"/>
      <c r="B5" s="76" t="s">
        <v>59</v>
      </c>
      <c r="E5" s="76"/>
      <c r="F5" s="76"/>
      <c r="G5" s="78"/>
      <c r="H5" s="67"/>
      <c r="I5" s="67"/>
      <c r="J5" s="67"/>
    </row>
    <row r="6">
      <c r="A6" s="67"/>
      <c r="E6" s="76"/>
      <c r="F6" s="76"/>
      <c r="G6" s="78"/>
      <c r="H6" s="67"/>
      <c r="I6" s="67"/>
      <c r="J6" s="67"/>
    </row>
    <row r="7">
      <c r="A7" s="67"/>
      <c r="B7" s="71"/>
      <c r="C7" s="71"/>
      <c r="D7" s="71"/>
      <c r="E7" s="71"/>
      <c r="F7" s="72"/>
      <c r="G7" s="78"/>
      <c r="H7" s="67"/>
      <c r="I7" s="67"/>
      <c r="J7" s="67"/>
    </row>
    <row r="8">
      <c r="A8" s="67"/>
      <c r="B8" s="70" t="s">
        <v>60</v>
      </c>
      <c r="C8" s="70"/>
      <c r="D8" s="71"/>
      <c r="E8" s="253" t="s">
        <v>418</v>
      </c>
      <c r="F8" s="72"/>
      <c r="G8" s="253" t="s">
        <v>419</v>
      </c>
      <c r="H8" s="67"/>
      <c r="I8" s="67"/>
      <c r="J8" s="67"/>
    </row>
    <row r="9">
      <c r="A9" s="67"/>
      <c r="B9" s="79" t="s">
        <v>420</v>
      </c>
      <c r="C9" s="79"/>
      <c r="D9" s="71"/>
      <c r="E9" s="254"/>
      <c r="F9" s="72"/>
      <c r="G9" s="254"/>
      <c r="H9" s="67"/>
      <c r="I9" s="67"/>
      <c r="J9" s="67"/>
    </row>
    <row r="10">
      <c r="A10" s="67"/>
      <c r="B10" s="67"/>
      <c r="C10" s="67"/>
      <c r="D10" s="67"/>
      <c r="E10" s="255"/>
      <c r="F10" s="68"/>
      <c r="G10" s="255"/>
      <c r="H10" s="67"/>
      <c r="I10" s="67"/>
      <c r="J10" s="67"/>
    </row>
    <row r="11">
      <c r="A11" s="67"/>
      <c r="B11" s="80" t="s">
        <v>62</v>
      </c>
      <c r="C11" s="80" t="s">
        <v>63</v>
      </c>
      <c r="D11" s="80" t="s">
        <v>421</v>
      </c>
      <c r="E11" s="80" t="s">
        <v>422</v>
      </c>
      <c r="F11" s="81" t="s">
        <v>423</v>
      </c>
      <c r="G11" s="81" t="s">
        <v>424</v>
      </c>
      <c r="H11" s="80" t="s">
        <v>425</v>
      </c>
      <c r="I11" s="98"/>
      <c r="J11" s="67"/>
    </row>
    <row r="12">
      <c r="A12" s="67"/>
      <c r="B12" s="240" t="s">
        <v>78</v>
      </c>
      <c r="C12" s="241" t="s">
        <v>219</v>
      </c>
      <c r="D12" s="241" t="s">
        <v>426</v>
      </c>
      <c r="E12" s="241" t="s">
        <v>427</v>
      </c>
      <c r="F12" s="256">
        <v>44927.0</v>
      </c>
      <c r="G12" s="256">
        <v>44957.0</v>
      </c>
      <c r="H12" s="107"/>
      <c r="I12" s="67"/>
      <c r="J12" s="67"/>
    </row>
    <row r="13">
      <c r="A13" s="67"/>
      <c r="B13" s="244" t="s">
        <v>78</v>
      </c>
      <c r="C13" s="245" t="s">
        <v>230</v>
      </c>
      <c r="D13" s="245" t="s">
        <v>428</v>
      </c>
      <c r="E13" s="245" t="s">
        <v>429</v>
      </c>
      <c r="F13" s="257">
        <v>410200.0</v>
      </c>
      <c r="G13" s="257">
        <v>45016.0</v>
      </c>
      <c r="H13" s="107"/>
      <c r="I13" s="67"/>
      <c r="J13" s="67"/>
    </row>
    <row r="14">
      <c r="A14" s="67"/>
      <c r="B14" s="244" t="s">
        <v>78</v>
      </c>
      <c r="C14" s="245" t="s">
        <v>231</v>
      </c>
      <c r="D14" s="245" t="s">
        <v>430</v>
      </c>
      <c r="E14" s="245" t="s">
        <v>431</v>
      </c>
      <c r="F14" s="257">
        <v>44958.0</v>
      </c>
      <c r="G14" s="257">
        <v>45016.0</v>
      </c>
      <c r="H14" s="107"/>
      <c r="I14" s="67"/>
      <c r="J14" s="67"/>
    </row>
    <row r="15">
      <c r="A15" s="67"/>
      <c r="B15" s="244" t="s">
        <v>78</v>
      </c>
      <c r="C15" s="245" t="s">
        <v>235</v>
      </c>
      <c r="D15" s="245" t="s">
        <v>432</v>
      </c>
      <c r="E15" s="245" t="s">
        <v>431</v>
      </c>
      <c r="F15" s="257">
        <v>44958.0</v>
      </c>
      <c r="G15" s="257">
        <v>45016.0</v>
      </c>
      <c r="H15" s="107"/>
      <c r="I15" s="67"/>
      <c r="J15" s="67"/>
    </row>
    <row r="16">
      <c r="A16" s="67"/>
      <c r="B16" s="244" t="s">
        <v>78</v>
      </c>
      <c r="C16" s="245" t="s">
        <v>241</v>
      </c>
      <c r="D16" s="245" t="s">
        <v>433</v>
      </c>
      <c r="E16" s="245" t="s">
        <v>431</v>
      </c>
      <c r="F16" s="257">
        <v>44986.0</v>
      </c>
      <c r="G16" s="257">
        <v>45016.0</v>
      </c>
      <c r="H16" s="107"/>
      <c r="I16" s="67"/>
      <c r="J16" s="67"/>
    </row>
    <row r="17">
      <c r="A17" s="67"/>
      <c r="B17" s="244" t="s">
        <v>78</v>
      </c>
      <c r="C17" s="245" t="s">
        <v>242</v>
      </c>
      <c r="D17" s="245" t="s">
        <v>434</v>
      </c>
      <c r="E17" s="245" t="s">
        <v>431</v>
      </c>
      <c r="F17" s="257">
        <v>45017.0</v>
      </c>
      <c r="G17" s="257">
        <v>45046.0</v>
      </c>
      <c r="H17" s="107"/>
      <c r="I17" s="67"/>
      <c r="J17" s="67"/>
    </row>
    <row r="18">
      <c r="A18" s="67"/>
      <c r="B18" s="244" t="s">
        <v>78</v>
      </c>
      <c r="C18" s="245" t="s">
        <v>243</v>
      </c>
      <c r="D18" s="245" t="s">
        <v>435</v>
      </c>
      <c r="E18" s="245" t="s">
        <v>431</v>
      </c>
      <c r="F18" s="258">
        <v>45017.0</v>
      </c>
      <c r="G18" s="257">
        <v>45077.0</v>
      </c>
      <c r="H18" s="107"/>
      <c r="I18" s="67"/>
      <c r="J18" s="67"/>
    </row>
    <row r="19">
      <c r="A19" s="67"/>
      <c r="B19" s="244" t="s">
        <v>78</v>
      </c>
      <c r="C19" s="245" t="s">
        <v>436</v>
      </c>
      <c r="D19" s="245" t="s">
        <v>437</v>
      </c>
      <c r="E19" s="245" t="s">
        <v>431</v>
      </c>
      <c r="F19" s="257">
        <v>45748.0</v>
      </c>
      <c r="G19" s="257">
        <v>45107.0</v>
      </c>
      <c r="H19" s="107"/>
      <c r="I19" s="67"/>
      <c r="J19" s="67"/>
    </row>
    <row r="20">
      <c r="A20" s="67"/>
      <c r="B20" s="244" t="s">
        <v>78</v>
      </c>
      <c r="C20" s="245" t="s">
        <v>250</v>
      </c>
      <c r="D20" s="245" t="s">
        <v>438</v>
      </c>
      <c r="E20" s="245" t="s">
        <v>431</v>
      </c>
      <c r="F20" s="257">
        <v>45047.0</v>
      </c>
      <c r="G20" s="257">
        <v>45077.0</v>
      </c>
      <c r="H20" s="107"/>
      <c r="I20" s="67"/>
      <c r="J20" s="67"/>
    </row>
    <row r="21">
      <c r="A21" s="67"/>
      <c r="B21" s="244" t="s">
        <v>78</v>
      </c>
      <c r="C21" s="245" t="s">
        <v>252</v>
      </c>
      <c r="D21" s="245" t="s">
        <v>439</v>
      </c>
      <c r="E21" s="245" t="s">
        <v>431</v>
      </c>
      <c r="F21" s="257">
        <v>45078.0</v>
      </c>
      <c r="G21" s="257">
        <v>45138.0</v>
      </c>
      <c r="H21" s="107"/>
      <c r="I21" s="67"/>
      <c r="J21" s="67"/>
    </row>
    <row r="22">
      <c r="A22" s="67"/>
      <c r="B22" s="244" t="s">
        <v>78</v>
      </c>
      <c r="C22" s="245" t="s">
        <v>253</v>
      </c>
      <c r="D22" s="245" t="s">
        <v>440</v>
      </c>
      <c r="E22" s="245" t="s">
        <v>431</v>
      </c>
      <c r="F22" s="257">
        <v>45108.0</v>
      </c>
      <c r="G22" s="257">
        <v>45138.0</v>
      </c>
      <c r="H22" s="107"/>
      <c r="I22" s="67"/>
      <c r="J22" s="67"/>
    </row>
    <row r="23">
      <c r="A23" s="67"/>
      <c r="B23" s="244" t="s">
        <v>78</v>
      </c>
      <c r="C23" s="245" t="s">
        <v>254</v>
      </c>
      <c r="D23" s="245" t="s">
        <v>441</v>
      </c>
      <c r="E23" s="245" t="s">
        <v>431</v>
      </c>
      <c r="F23" s="257">
        <v>45139.0</v>
      </c>
      <c r="G23" s="257">
        <v>45230.0</v>
      </c>
      <c r="H23" s="107"/>
      <c r="I23" s="67"/>
      <c r="J23" s="67"/>
    </row>
    <row r="24">
      <c r="A24" s="67"/>
      <c r="B24" s="244" t="s">
        <v>78</v>
      </c>
      <c r="C24" s="245" t="s">
        <v>255</v>
      </c>
      <c r="D24" s="245" t="s">
        <v>442</v>
      </c>
      <c r="E24" s="245" t="s">
        <v>431</v>
      </c>
      <c r="F24" s="257">
        <v>45139.0</v>
      </c>
      <c r="G24" s="257">
        <v>45169.0</v>
      </c>
      <c r="H24" s="107"/>
      <c r="I24" s="67"/>
      <c r="J24" s="67"/>
    </row>
    <row r="25">
      <c r="A25" s="67"/>
      <c r="B25" s="244" t="s">
        <v>78</v>
      </c>
      <c r="C25" s="245" t="s">
        <v>258</v>
      </c>
      <c r="D25" s="245" t="s">
        <v>443</v>
      </c>
      <c r="E25" s="245" t="s">
        <v>431</v>
      </c>
      <c r="F25" s="257">
        <v>45170.0</v>
      </c>
      <c r="G25" s="257">
        <v>45199.0</v>
      </c>
      <c r="H25" s="107"/>
      <c r="I25" s="67"/>
      <c r="J25" s="67"/>
    </row>
    <row r="26">
      <c r="A26" s="67"/>
      <c r="B26" s="244" t="s">
        <v>78</v>
      </c>
      <c r="C26" s="245" t="s">
        <v>259</v>
      </c>
      <c r="D26" s="245" t="s">
        <v>444</v>
      </c>
      <c r="E26" s="245" t="s">
        <v>431</v>
      </c>
      <c r="F26" s="257">
        <v>45200.0</v>
      </c>
      <c r="G26" s="257">
        <v>45230.0</v>
      </c>
      <c r="H26" s="107"/>
      <c r="I26" s="67"/>
      <c r="J26" s="67"/>
    </row>
    <row r="27">
      <c r="A27" s="67"/>
      <c r="B27" s="244" t="s">
        <v>78</v>
      </c>
      <c r="C27" s="245" t="s">
        <v>252</v>
      </c>
      <c r="D27" s="245" t="s">
        <v>445</v>
      </c>
      <c r="E27" s="245" t="s">
        <v>431</v>
      </c>
      <c r="F27" s="257">
        <v>45231.0</v>
      </c>
      <c r="G27" s="257">
        <v>45291.0</v>
      </c>
      <c r="H27" s="107"/>
      <c r="I27" s="67"/>
      <c r="J27" s="67"/>
    </row>
    <row r="28">
      <c r="A28" s="67"/>
      <c r="B28" s="244" t="s">
        <v>78</v>
      </c>
      <c r="C28" s="245" t="s">
        <v>260</v>
      </c>
      <c r="D28" s="245" t="s">
        <v>446</v>
      </c>
      <c r="E28" s="245" t="s">
        <v>431</v>
      </c>
      <c r="F28" s="257">
        <v>45231.0</v>
      </c>
      <c r="G28" s="257">
        <v>45282.0</v>
      </c>
      <c r="H28" s="107"/>
      <c r="I28" s="67"/>
      <c r="J28" s="67"/>
    </row>
  </sheetData>
  <mergeCells count="3">
    <mergeCell ref="B5:D6"/>
    <mergeCell ref="E8:E9"/>
    <mergeCell ref="G8:G9"/>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showGridLines="0" workbookViewId="0"/>
  </sheetViews>
  <sheetFormatPr customHeight="1" defaultColWidth="12.63" defaultRowHeight="15.75"/>
  <cols>
    <col customWidth="1" min="1" max="1" width="2.63"/>
    <col customWidth="1" min="2" max="4" width="18.88"/>
    <col customWidth="1" min="5" max="8" width="12.63"/>
    <col customWidth="1" min="9" max="10" width="31.38"/>
    <col customWidth="1" min="11" max="11" width="3.0"/>
    <col customWidth="1" min="12" max="12" width="5.13"/>
  </cols>
  <sheetData>
    <row r="1" ht="11.25" customHeight="1">
      <c r="A1" s="67"/>
      <c r="B1" s="67"/>
      <c r="C1" s="67"/>
      <c r="D1" s="67"/>
      <c r="E1" s="67"/>
      <c r="F1" s="67"/>
      <c r="G1" s="259"/>
      <c r="H1" s="68"/>
      <c r="I1" s="67"/>
      <c r="J1" s="67"/>
      <c r="K1" s="67"/>
      <c r="L1" s="67"/>
    </row>
    <row r="2">
      <c r="A2" s="67"/>
      <c r="B2" s="70" t="s">
        <v>56</v>
      </c>
      <c r="C2" s="71"/>
      <c r="D2" s="71"/>
      <c r="E2" s="71"/>
      <c r="F2" s="71"/>
      <c r="G2" s="260"/>
      <c r="H2" s="72"/>
      <c r="I2" s="67"/>
      <c r="J2" s="67"/>
      <c r="K2" s="67"/>
      <c r="L2" s="67"/>
    </row>
    <row r="3">
      <c r="A3" s="67"/>
      <c r="B3" s="79" t="s">
        <v>57</v>
      </c>
      <c r="C3" s="71"/>
      <c r="D3" s="71"/>
      <c r="E3" s="71"/>
      <c r="F3" s="71"/>
      <c r="G3" s="260"/>
      <c r="H3" s="72"/>
      <c r="I3" s="67"/>
      <c r="J3" s="67"/>
      <c r="K3" s="67"/>
      <c r="L3" s="67"/>
    </row>
    <row r="4">
      <c r="A4" s="67"/>
      <c r="B4" s="96" t="s">
        <v>447</v>
      </c>
      <c r="C4" s="71"/>
      <c r="D4" s="71"/>
      <c r="E4" s="71"/>
      <c r="F4" s="71"/>
      <c r="G4" s="260"/>
      <c r="H4" s="72"/>
      <c r="I4" s="67"/>
      <c r="J4" s="67"/>
      <c r="K4" s="67"/>
      <c r="L4" s="67"/>
    </row>
    <row r="5">
      <c r="A5" s="67"/>
      <c r="B5" s="76" t="s">
        <v>59</v>
      </c>
      <c r="E5" s="76"/>
      <c r="F5" s="76"/>
      <c r="G5" s="261"/>
      <c r="H5" s="76"/>
      <c r="I5" s="67"/>
      <c r="J5" s="67"/>
      <c r="K5" s="67"/>
      <c r="L5" s="67"/>
    </row>
    <row r="6">
      <c r="A6" s="67"/>
      <c r="E6" s="76"/>
      <c r="F6" s="76"/>
      <c r="G6" s="261"/>
      <c r="H6" s="76"/>
      <c r="I6" s="67"/>
      <c r="J6" s="67"/>
      <c r="K6" s="67"/>
      <c r="L6" s="67"/>
    </row>
    <row r="7">
      <c r="A7" s="67"/>
      <c r="B7" s="71"/>
      <c r="C7" s="78"/>
      <c r="D7" s="78"/>
      <c r="E7" s="78"/>
      <c r="F7" s="78"/>
      <c r="G7" s="78"/>
      <c r="H7" s="78"/>
      <c r="I7" s="67"/>
      <c r="J7" s="67"/>
      <c r="K7" s="67"/>
      <c r="L7" s="67"/>
    </row>
    <row r="8">
      <c r="A8" s="67"/>
      <c r="B8" s="70" t="s">
        <v>60</v>
      </c>
      <c r="C8" s="78"/>
      <c r="D8" s="78"/>
      <c r="E8" s="78"/>
      <c r="F8" s="78"/>
      <c r="G8" s="78"/>
      <c r="H8" s="78"/>
      <c r="I8" s="67"/>
      <c r="J8" s="67"/>
      <c r="K8" s="67"/>
      <c r="L8" s="67"/>
    </row>
    <row r="9">
      <c r="A9" s="67"/>
      <c r="B9" s="79" t="s">
        <v>61</v>
      </c>
      <c r="C9" s="78"/>
      <c r="D9" s="78"/>
      <c r="E9" s="78"/>
      <c r="F9" s="78"/>
      <c r="G9" s="78"/>
      <c r="H9" s="78"/>
      <c r="I9" s="67"/>
      <c r="J9" s="67"/>
      <c r="K9" s="67"/>
      <c r="L9" s="67"/>
    </row>
    <row r="10">
      <c r="A10" s="67"/>
      <c r="B10" s="67"/>
      <c r="C10" s="78"/>
      <c r="D10" s="78"/>
      <c r="E10" s="78"/>
      <c r="F10" s="78"/>
      <c r="G10" s="78"/>
      <c r="H10" s="78"/>
      <c r="I10" s="67"/>
      <c r="J10" s="67"/>
      <c r="K10" s="67"/>
      <c r="L10" s="67"/>
    </row>
    <row r="11">
      <c r="A11" s="67"/>
      <c r="B11" s="80" t="s">
        <v>62</v>
      </c>
      <c r="C11" s="80" t="s">
        <v>63</v>
      </c>
      <c r="D11" s="80" t="s">
        <v>64</v>
      </c>
      <c r="E11" s="81" t="s">
        <v>65</v>
      </c>
      <c r="F11" s="81" t="s">
        <v>66</v>
      </c>
      <c r="G11" s="239" t="s">
        <v>67</v>
      </c>
      <c r="H11" s="81" t="s">
        <v>68</v>
      </c>
      <c r="I11" s="80" t="s">
        <v>69</v>
      </c>
      <c r="J11" s="80" t="s">
        <v>70</v>
      </c>
      <c r="K11" s="262"/>
      <c r="L11" s="67"/>
    </row>
    <row r="12">
      <c r="A12" s="67"/>
      <c r="B12" s="240" t="s">
        <v>78</v>
      </c>
      <c r="C12" s="99" t="s">
        <v>72</v>
      </c>
      <c r="D12" s="241" t="s">
        <v>73</v>
      </c>
      <c r="E12" s="263" t="s">
        <v>74</v>
      </c>
      <c r="F12" s="240" t="s">
        <v>75</v>
      </c>
      <c r="G12" s="264">
        <v>572.0</v>
      </c>
      <c r="H12" s="265">
        <v>45017.0</v>
      </c>
      <c r="I12" s="240" t="s">
        <v>76</v>
      </c>
      <c r="J12" s="99" t="s">
        <v>77</v>
      </c>
      <c r="K12" s="266"/>
      <c r="L12" s="67"/>
    </row>
    <row r="13">
      <c r="A13" s="67"/>
      <c r="B13" s="244" t="s">
        <v>78</v>
      </c>
      <c r="C13" s="99" t="s">
        <v>79</v>
      </c>
      <c r="D13" s="245" t="s">
        <v>80</v>
      </c>
      <c r="E13" s="267" t="s">
        <v>81</v>
      </c>
      <c r="F13" s="244" t="s">
        <v>82</v>
      </c>
      <c r="G13" s="268">
        <v>9963.35</v>
      </c>
      <c r="H13" s="269">
        <v>45065.0</v>
      </c>
      <c r="I13" s="244" t="s">
        <v>83</v>
      </c>
      <c r="J13" s="99" t="s">
        <v>84</v>
      </c>
      <c r="L13" s="67"/>
    </row>
    <row r="14">
      <c r="A14" s="67"/>
      <c r="B14" s="244" t="s">
        <v>78</v>
      </c>
      <c r="C14" s="99" t="s">
        <v>79</v>
      </c>
      <c r="D14" s="245" t="s">
        <v>80</v>
      </c>
      <c r="E14" s="267" t="s">
        <v>81</v>
      </c>
      <c r="F14" s="244" t="s">
        <v>85</v>
      </c>
      <c r="G14" s="268">
        <v>28380.48</v>
      </c>
      <c r="H14" s="269">
        <v>45082.0</v>
      </c>
      <c r="I14" s="244" t="s">
        <v>86</v>
      </c>
      <c r="J14" s="99" t="s">
        <v>87</v>
      </c>
      <c r="L14" s="67"/>
    </row>
    <row r="15">
      <c r="A15" s="67"/>
      <c r="B15" s="244" t="s">
        <v>78</v>
      </c>
      <c r="C15" s="99" t="s">
        <v>79</v>
      </c>
      <c r="D15" s="245" t="s">
        <v>88</v>
      </c>
      <c r="E15" s="267" t="s">
        <v>89</v>
      </c>
      <c r="F15" s="244" t="s">
        <v>90</v>
      </c>
      <c r="G15" s="268">
        <v>19768.3</v>
      </c>
      <c r="H15" s="269">
        <v>45141.0</v>
      </c>
      <c r="I15" s="244" t="s">
        <v>91</v>
      </c>
      <c r="J15" s="270" t="s">
        <v>92</v>
      </c>
      <c r="L15" s="67"/>
    </row>
    <row r="16">
      <c r="A16" s="67"/>
      <c r="B16" s="244" t="s">
        <v>78</v>
      </c>
      <c r="C16" s="99" t="s">
        <v>72</v>
      </c>
      <c r="D16" s="245" t="s">
        <v>73</v>
      </c>
      <c r="E16" s="267" t="s">
        <v>74</v>
      </c>
      <c r="F16" s="244" t="s">
        <v>93</v>
      </c>
      <c r="G16" s="268">
        <v>15123.0</v>
      </c>
      <c r="H16" s="269">
        <v>45170.0</v>
      </c>
      <c r="I16" s="244" t="s">
        <v>76</v>
      </c>
      <c r="J16" s="270" t="s">
        <v>94</v>
      </c>
      <c r="L16" s="67"/>
    </row>
    <row r="17">
      <c r="A17" s="67"/>
      <c r="B17" s="244" t="s">
        <v>78</v>
      </c>
      <c r="C17" s="99" t="s">
        <v>72</v>
      </c>
      <c r="D17" s="245" t="s">
        <v>73</v>
      </c>
      <c r="E17" s="267" t="s">
        <v>74</v>
      </c>
      <c r="F17" s="244" t="s">
        <v>95</v>
      </c>
      <c r="G17" s="268">
        <v>15045.0</v>
      </c>
      <c r="H17" s="269">
        <v>45200.0</v>
      </c>
      <c r="I17" s="244" t="s">
        <v>76</v>
      </c>
      <c r="J17" s="99" t="s">
        <v>96</v>
      </c>
      <c r="L17" s="67"/>
    </row>
    <row r="18">
      <c r="A18" s="67"/>
      <c r="B18" s="244" t="s">
        <v>78</v>
      </c>
      <c r="C18" s="99" t="s">
        <v>72</v>
      </c>
      <c r="D18" s="245" t="s">
        <v>73</v>
      </c>
      <c r="E18" s="267" t="s">
        <v>74</v>
      </c>
      <c r="F18" s="244" t="s">
        <v>97</v>
      </c>
      <c r="G18" s="268">
        <v>16820.0</v>
      </c>
      <c r="H18" s="269">
        <v>45231.0</v>
      </c>
      <c r="I18" s="244" t="s">
        <v>76</v>
      </c>
      <c r="J18" s="99" t="s">
        <v>98</v>
      </c>
      <c r="L18" s="67"/>
    </row>
  </sheetData>
  <mergeCells count="2">
    <mergeCell ref="B5:D6"/>
    <mergeCell ref="K12:K18"/>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sheetPr>
  <sheetViews>
    <sheetView showGridLines="0" workbookViewId="0"/>
  </sheetViews>
  <sheetFormatPr customHeight="1" defaultColWidth="12.63" defaultRowHeight="15.75"/>
  <cols>
    <col customWidth="1" min="1" max="1" width="2.0"/>
    <col customWidth="1" min="3" max="3" width="6.38"/>
    <col customWidth="1" min="4" max="4" width="2.0"/>
    <col customWidth="1" min="5" max="5" width="18.88"/>
    <col customWidth="1" min="6" max="6" width="22.25"/>
    <col customWidth="1" min="8" max="9" width="2.0"/>
    <col customWidth="1" min="10" max="10" width="6.38"/>
    <col customWidth="1" min="11" max="11" width="2.0"/>
    <col customWidth="1" min="13" max="13" width="2.63"/>
    <col customWidth="1" min="14" max="14" width="2.75"/>
  </cols>
  <sheetData>
    <row r="1" ht="11.25" customHeight="1">
      <c r="A1" s="71"/>
      <c r="B1" s="71"/>
      <c r="C1" s="71"/>
      <c r="D1" s="71"/>
      <c r="E1" s="71"/>
      <c r="F1" s="71"/>
      <c r="G1" s="71"/>
      <c r="H1" s="71"/>
      <c r="I1" s="71"/>
      <c r="J1" s="71"/>
      <c r="K1" s="71"/>
      <c r="L1" s="71"/>
      <c r="M1" s="71"/>
      <c r="N1" s="71"/>
    </row>
    <row r="2">
      <c r="A2" s="71"/>
      <c r="B2" s="70" t="s">
        <v>174</v>
      </c>
      <c r="C2" s="71"/>
      <c r="D2" s="71"/>
      <c r="E2" s="71"/>
      <c r="F2" s="71"/>
      <c r="G2" s="71"/>
      <c r="H2" s="71"/>
      <c r="I2" s="71"/>
      <c r="J2" s="71"/>
      <c r="K2" s="71"/>
      <c r="L2" s="71"/>
      <c r="M2" s="71"/>
      <c r="N2" s="71"/>
    </row>
    <row r="3">
      <c r="A3" s="71"/>
      <c r="B3" s="79" t="s">
        <v>57</v>
      </c>
      <c r="C3" s="71"/>
      <c r="D3" s="71"/>
      <c r="E3" s="71"/>
      <c r="F3" s="71"/>
      <c r="G3" s="71"/>
      <c r="N3" s="71"/>
    </row>
    <row r="4">
      <c r="A4" s="71"/>
      <c r="B4" s="96" t="s">
        <v>448</v>
      </c>
      <c r="C4" s="71"/>
      <c r="D4" s="71"/>
      <c r="E4" s="71"/>
      <c r="F4" s="71"/>
      <c r="G4" s="71"/>
      <c r="H4" s="71"/>
      <c r="I4" s="206"/>
      <c r="J4" s="159" t="s">
        <v>200</v>
      </c>
      <c r="K4" s="71"/>
      <c r="L4" s="71"/>
      <c r="M4" s="207" t="b">
        <v>1</v>
      </c>
      <c r="N4" s="71"/>
    </row>
    <row r="5">
      <c r="A5" s="71"/>
      <c r="B5" s="76" t="s">
        <v>449</v>
      </c>
      <c r="G5" s="71"/>
      <c r="H5" s="71"/>
      <c r="I5" s="206"/>
      <c r="J5" s="159" t="s">
        <v>201</v>
      </c>
      <c r="K5" s="71"/>
      <c r="L5" s="71"/>
      <c r="M5" s="207" t="b">
        <v>0</v>
      </c>
      <c r="N5" s="71"/>
    </row>
    <row r="6">
      <c r="A6" s="71"/>
      <c r="G6" s="71"/>
      <c r="H6" s="71"/>
      <c r="I6" s="206"/>
      <c r="J6" s="159" t="s">
        <v>202</v>
      </c>
      <c r="K6" s="71"/>
      <c r="L6" s="71"/>
      <c r="M6" s="207" t="b">
        <v>0</v>
      </c>
      <c r="N6" s="71"/>
    </row>
    <row r="7">
      <c r="A7" s="71"/>
      <c r="B7" s="71"/>
      <c r="C7" s="71"/>
      <c r="D7" s="71"/>
      <c r="E7" s="71"/>
      <c r="F7" s="71"/>
      <c r="G7" s="71"/>
      <c r="H7" s="71"/>
      <c r="I7" s="71"/>
      <c r="J7" s="159"/>
      <c r="K7" s="71"/>
      <c r="L7" s="71"/>
      <c r="M7" s="71"/>
      <c r="N7" s="71"/>
    </row>
    <row r="8">
      <c r="A8" s="71"/>
      <c r="B8" s="70" t="s">
        <v>60</v>
      </c>
      <c r="C8" s="71"/>
      <c r="D8" s="71"/>
      <c r="E8" s="71"/>
      <c r="F8" s="71"/>
      <c r="G8" s="71"/>
      <c r="H8" s="71"/>
      <c r="N8" s="71"/>
    </row>
    <row r="9">
      <c r="A9" s="71"/>
      <c r="B9" s="79" t="s">
        <v>379</v>
      </c>
      <c r="C9" s="71"/>
      <c r="D9" s="71"/>
      <c r="E9" s="71"/>
      <c r="F9" s="71"/>
      <c r="G9" s="71"/>
      <c r="H9" s="71"/>
      <c r="I9" s="71"/>
      <c r="J9" s="71"/>
      <c r="K9" s="71"/>
      <c r="L9" s="71"/>
      <c r="M9" s="71"/>
      <c r="N9" s="71"/>
    </row>
    <row r="10">
      <c r="A10" s="71"/>
      <c r="B10" s="71"/>
      <c r="C10" s="71"/>
      <c r="D10" s="71"/>
      <c r="E10" s="71"/>
      <c r="F10" s="71"/>
      <c r="G10" s="71"/>
      <c r="H10" s="71"/>
      <c r="I10" s="71"/>
      <c r="J10" s="71"/>
      <c r="K10" s="71"/>
      <c r="L10" s="71"/>
      <c r="M10" s="71"/>
      <c r="N10" s="71"/>
    </row>
    <row r="11">
      <c r="A11" s="71"/>
      <c r="B11" s="208" t="s">
        <v>380</v>
      </c>
      <c r="C11" s="71"/>
      <c r="D11" s="206"/>
      <c r="E11" s="209" t="s">
        <v>450</v>
      </c>
      <c r="H11" s="71"/>
      <c r="I11" s="71"/>
      <c r="J11" s="71"/>
      <c r="K11" s="71"/>
      <c r="L11" s="71"/>
      <c r="M11" s="71"/>
      <c r="N11" s="71"/>
    </row>
    <row r="12">
      <c r="A12" s="71"/>
      <c r="B12" s="71"/>
      <c r="C12" s="71"/>
      <c r="D12" s="71"/>
      <c r="E12" s="71"/>
      <c r="F12" s="71"/>
      <c r="G12" s="71"/>
      <c r="H12" s="71"/>
      <c r="I12" s="206"/>
      <c r="J12" s="159" t="s">
        <v>382</v>
      </c>
      <c r="K12" s="69"/>
      <c r="L12" s="69"/>
      <c r="M12" s="210" t="s">
        <v>383</v>
      </c>
      <c r="N12" s="71"/>
    </row>
    <row r="13">
      <c r="A13" s="71"/>
      <c r="B13" s="208" t="s">
        <v>384</v>
      </c>
      <c r="C13" s="71"/>
      <c r="D13" s="206"/>
      <c r="E13" s="211" t="s">
        <v>386</v>
      </c>
      <c r="G13" s="212"/>
      <c r="H13" s="71"/>
      <c r="I13" s="206"/>
      <c r="J13" s="159" t="s">
        <v>385</v>
      </c>
      <c r="K13" s="69"/>
      <c r="L13" s="69"/>
      <c r="M13" s="210" t="s">
        <v>383</v>
      </c>
      <c r="N13" s="71"/>
    </row>
    <row r="14">
      <c r="A14" s="71"/>
      <c r="B14" s="71"/>
      <c r="C14" s="71"/>
      <c r="D14" s="71"/>
      <c r="E14" s="71"/>
      <c r="F14" s="71"/>
      <c r="G14" s="71"/>
      <c r="H14" s="71"/>
      <c r="I14" s="206"/>
      <c r="J14" s="159" t="s">
        <v>386</v>
      </c>
      <c r="K14" s="69"/>
      <c r="L14" s="69"/>
      <c r="M14" s="210" t="s">
        <v>383</v>
      </c>
      <c r="N14" s="71"/>
    </row>
    <row r="15">
      <c r="A15" s="71"/>
      <c r="B15" s="208" t="s">
        <v>387</v>
      </c>
      <c r="C15" s="71"/>
      <c r="D15" s="206"/>
      <c r="E15" s="209" t="s">
        <v>451</v>
      </c>
      <c r="H15" s="214"/>
      <c r="I15" s="214"/>
      <c r="J15" s="215"/>
      <c r="K15" s="215"/>
      <c r="L15" s="215"/>
      <c r="M15" s="215"/>
      <c r="N15" s="71"/>
    </row>
    <row r="16">
      <c r="A16" s="71"/>
      <c r="B16" s="71"/>
      <c r="C16" s="71"/>
      <c r="D16" s="71"/>
      <c r="E16" s="71"/>
      <c r="F16" s="71"/>
      <c r="G16" s="71"/>
      <c r="H16" s="71"/>
      <c r="I16" s="206"/>
      <c r="J16" s="159" t="s">
        <v>389</v>
      </c>
      <c r="K16" s="69"/>
      <c r="L16" s="69"/>
      <c r="M16" s="210" t="s">
        <v>383</v>
      </c>
      <c r="N16" s="71"/>
    </row>
    <row r="17">
      <c r="A17" s="71"/>
      <c r="B17" s="208" t="s">
        <v>390</v>
      </c>
      <c r="C17" s="71"/>
      <c r="D17" s="206"/>
      <c r="E17" s="211" t="s">
        <v>392</v>
      </c>
      <c r="G17" s="212"/>
      <c r="H17" s="71"/>
      <c r="I17" s="206"/>
      <c r="J17" s="159" t="s">
        <v>391</v>
      </c>
      <c r="K17" s="69"/>
      <c r="L17" s="69"/>
      <c r="M17" s="210" t="s">
        <v>383</v>
      </c>
      <c r="N17" s="71"/>
    </row>
    <row r="18">
      <c r="A18" s="71"/>
      <c r="B18" s="216"/>
      <c r="C18" s="217"/>
      <c r="D18" s="217"/>
      <c r="E18" s="217"/>
      <c r="F18" s="71"/>
      <c r="G18" s="71"/>
      <c r="H18" s="71"/>
      <c r="I18" s="206"/>
      <c r="J18" s="218" t="s">
        <v>392</v>
      </c>
      <c r="K18" s="219"/>
      <c r="L18" s="219"/>
      <c r="M18" s="220" t="s">
        <v>383</v>
      </c>
      <c r="N18" s="71"/>
    </row>
    <row r="19">
      <c r="A19" s="71"/>
      <c r="B19" s="208" t="s">
        <v>393</v>
      </c>
      <c r="C19" s="71"/>
      <c r="D19" s="206"/>
      <c r="E19" s="213" t="s">
        <v>452</v>
      </c>
      <c r="H19" s="71"/>
      <c r="I19" s="71"/>
      <c r="J19" s="221" t="s">
        <v>395</v>
      </c>
      <c r="N19" s="71"/>
    </row>
    <row r="20">
      <c r="A20" s="71"/>
      <c r="B20" s="71"/>
      <c r="C20" s="71"/>
      <c r="D20" s="71"/>
      <c r="E20" s="71"/>
      <c r="F20" s="71"/>
      <c r="G20" s="71"/>
      <c r="H20" s="71"/>
      <c r="I20" s="206"/>
      <c r="J20" s="159" t="s">
        <v>396</v>
      </c>
      <c r="K20" s="69"/>
      <c r="L20" s="69"/>
      <c r="M20" s="210" t="s">
        <v>383</v>
      </c>
      <c r="N20" s="71"/>
    </row>
    <row r="21">
      <c r="A21" s="71"/>
      <c r="B21" s="208" t="s">
        <v>397</v>
      </c>
      <c r="C21" s="71"/>
      <c r="D21" s="206"/>
      <c r="E21" s="211" t="s">
        <v>396</v>
      </c>
      <c r="G21" s="212"/>
      <c r="H21" s="71"/>
      <c r="I21" s="206"/>
      <c r="J21" s="159" t="s">
        <v>398</v>
      </c>
      <c r="K21" s="69"/>
      <c r="L21" s="69"/>
      <c r="M21" s="210" t="s">
        <v>383</v>
      </c>
      <c r="N21" s="71"/>
    </row>
    <row r="22">
      <c r="A22" s="71"/>
      <c r="B22" s="71"/>
      <c r="C22" s="71"/>
      <c r="D22" s="71"/>
      <c r="E22" s="71"/>
      <c r="F22" s="71"/>
      <c r="G22" s="71"/>
      <c r="H22" s="71"/>
      <c r="I22" s="206"/>
      <c r="J22" s="159" t="s">
        <v>399</v>
      </c>
      <c r="K22" s="69"/>
      <c r="L22" s="69"/>
      <c r="M22" s="210" t="s">
        <v>383</v>
      </c>
      <c r="N22" s="71"/>
    </row>
    <row r="23">
      <c r="A23" s="71"/>
      <c r="B23" s="208" t="s">
        <v>400</v>
      </c>
      <c r="C23" s="71"/>
      <c r="D23" s="206"/>
      <c r="E23" s="209" t="s">
        <v>453</v>
      </c>
      <c r="H23" s="71"/>
      <c r="I23" s="71"/>
      <c r="J23" s="71"/>
      <c r="K23" s="71"/>
      <c r="L23" s="71"/>
      <c r="M23" s="71"/>
      <c r="N23" s="71"/>
    </row>
    <row r="24">
      <c r="A24" s="71"/>
      <c r="B24" s="71"/>
      <c r="C24" s="71"/>
      <c r="D24" s="71"/>
      <c r="E24" s="71"/>
      <c r="F24" s="71"/>
      <c r="G24" s="71"/>
      <c r="H24" s="71"/>
      <c r="I24" s="71"/>
      <c r="J24" s="71"/>
      <c r="K24" s="71"/>
      <c r="L24" s="71"/>
      <c r="M24" s="71"/>
      <c r="N24" s="71"/>
    </row>
    <row r="25">
      <c r="A25" s="71"/>
      <c r="B25" s="208" t="s">
        <v>402</v>
      </c>
      <c r="C25" s="71"/>
      <c r="D25" s="206"/>
      <c r="E25" s="213" t="s">
        <v>454</v>
      </c>
      <c r="H25" s="71"/>
      <c r="I25" s="71"/>
      <c r="J25" s="71"/>
      <c r="K25" s="71"/>
      <c r="L25" s="71"/>
      <c r="M25" s="71"/>
      <c r="N25" s="71"/>
    </row>
    <row r="26">
      <c r="A26" s="71"/>
      <c r="B26" s="71"/>
      <c r="C26" s="71"/>
      <c r="D26" s="71"/>
      <c r="E26" s="71"/>
      <c r="F26" s="71"/>
      <c r="G26" s="71"/>
      <c r="H26" s="71"/>
      <c r="I26" s="71"/>
      <c r="J26" s="71"/>
      <c r="K26" s="71"/>
      <c r="L26" s="71"/>
      <c r="M26" s="71"/>
      <c r="N26" s="71"/>
    </row>
    <row r="27">
      <c r="A27" s="71"/>
      <c r="B27" s="208" t="s">
        <v>404</v>
      </c>
      <c r="C27" s="71"/>
      <c r="D27" s="206"/>
      <c r="E27" s="222" t="s">
        <v>314</v>
      </c>
      <c r="F27" s="223" t="s">
        <v>405</v>
      </c>
      <c r="G27" s="222" t="s">
        <v>406</v>
      </c>
      <c r="H27" s="224" t="s">
        <v>407</v>
      </c>
      <c r="I27" s="225"/>
      <c r="J27" s="216"/>
      <c r="K27" s="216"/>
      <c r="L27" s="212"/>
      <c r="M27" s="71"/>
      <c r="N27" s="71"/>
    </row>
    <row r="28">
      <c r="A28" s="71"/>
      <c r="B28" s="226" t="s">
        <v>213</v>
      </c>
      <c r="D28" s="206"/>
      <c r="E28" s="271" t="s">
        <v>261</v>
      </c>
      <c r="F28" s="272" t="s">
        <v>408</v>
      </c>
      <c r="G28" s="273"/>
      <c r="H28" s="99" t="b">
        <v>0</v>
      </c>
      <c r="I28" s="99"/>
      <c r="J28" s="216"/>
      <c r="K28" s="206"/>
      <c r="L28" s="159" t="s">
        <v>39</v>
      </c>
      <c r="M28" s="210" t="s">
        <v>383</v>
      </c>
      <c r="N28" s="71"/>
    </row>
    <row r="29">
      <c r="A29" s="71"/>
      <c r="D29" s="206"/>
      <c r="E29" s="274" t="s">
        <v>265</v>
      </c>
      <c r="F29" s="275" t="s">
        <v>408</v>
      </c>
      <c r="G29" s="276"/>
      <c r="H29" s="99" t="b">
        <v>0</v>
      </c>
      <c r="I29" s="99"/>
      <c r="J29" s="216"/>
      <c r="K29" s="206"/>
      <c r="L29" s="159" t="s">
        <v>411</v>
      </c>
      <c r="M29" s="71"/>
      <c r="N29" s="71"/>
    </row>
    <row r="30">
      <c r="A30" s="71"/>
      <c r="B30" s="71"/>
      <c r="C30" s="71"/>
      <c r="D30" s="206"/>
      <c r="E30" s="274" t="s">
        <v>232</v>
      </c>
      <c r="F30" s="275" t="s">
        <v>408</v>
      </c>
      <c r="G30" s="277"/>
      <c r="H30" s="99" t="b">
        <v>0</v>
      </c>
      <c r="I30" s="99"/>
      <c r="J30" s="216"/>
      <c r="K30" s="206"/>
      <c r="L30" s="159" t="s">
        <v>409</v>
      </c>
      <c r="M30" s="71"/>
      <c r="N30" s="71"/>
    </row>
    <row r="31">
      <c r="A31" s="71"/>
      <c r="B31" s="71"/>
      <c r="C31" s="71"/>
      <c r="D31" s="206"/>
      <c r="E31" s="274" t="s">
        <v>268</v>
      </c>
      <c r="F31" s="275" t="s">
        <v>408</v>
      </c>
      <c r="G31" s="276"/>
      <c r="H31" s="99" t="b">
        <v>0</v>
      </c>
      <c r="I31" s="99"/>
      <c r="J31" s="216"/>
      <c r="K31" s="206"/>
      <c r="L31" s="159" t="s">
        <v>43</v>
      </c>
      <c r="M31" s="71"/>
      <c r="N31" s="71"/>
    </row>
    <row r="32">
      <c r="A32" s="71"/>
      <c r="B32" s="71"/>
      <c r="C32" s="71"/>
      <c r="D32" s="206"/>
      <c r="E32" s="274" t="s">
        <v>270</v>
      </c>
      <c r="F32" s="275" t="s">
        <v>408</v>
      </c>
      <c r="G32" s="278" t="s">
        <v>411</v>
      </c>
      <c r="H32" s="99" t="b">
        <v>0</v>
      </c>
      <c r="I32" s="99"/>
      <c r="J32" s="71"/>
      <c r="K32" s="206"/>
      <c r="L32" s="159" t="s">
        <v>44</v>
      </c>
      <c r="M32" s="71"/>
      <c r="N32" s="71"/>
    </row>
    <row r="33">
      <c r="A33" s="71"/>
      <c r="B33" s="71"/>
      <c r="C33" s="71"/>
      <c r="D33" s="206"/>
      <c r="E33" s="274" t="s">
        <v>226</v>
      </c>
      <c r="F33" s="275" t="s">
        <v>408</v>
      </c>
      <c r="G33" s="278" t="s">
        <v>411</v>
      </c>
      <c r="H33" s="99" t="b">
        <v>0</v>
      </c>
      <c r="I33" s="99"/>
      <c r="J33" s="71"/>
      <c r="K33" s="71"/>
      <c r="L33" s="71"/>
      <c r="M33" s="71"/>
      <c r="N33" s="71"/>
    </row>
    <row r="34">
      <c r="A34" s="71"/>
      <c r="B34" s="208"/>
      <c r="C34" s="71"/>
      <c r="D34" s="206"/>
      <c r="E34" s="279" t="s">
        <v>272</v>
      </c>
      <c r="F34" s="278" t="s">
        <v>455</v>
      </c>
      <c r="G34" s="278" t="s">
        <v>43</v>
      </c>
      <c r="H34" s="99" t="b">
        <v>0</v>
      </c>
      <c r="I34" s="99"/>
      <c r="J34" s="71"/>
      <c r="K34" s="71"/>
      <c r="L34" s="71"/>
      <c r="M34" s="71"/>
    </row>
    <row r="35">
      <c r="A35" s="71"/>
      <c r="B35" s="208"/>
      <c r="C35" s="71"/>
      <c r="D35" s="206"/>
      <c r="E35" s="279" t="s">
        <v>222</v>
      </c>
      <c r="F35" s="278" t="s">
        <v>410</v>
      </c>
      <c r="G35" s="278" t="s">
        <v>409</v>
      </c>
      <c r="H35" s="99" t="b">
        <v>0</v>
      </c>
      <c r="I35" s="99"/>
      <c r="J35" s="71"/>
      <c r="K35" s="71"/>
      <c r="L35" s="71"/>
      <c r="M35" s="71"/>
      <c r="N35" s="71"/>
    </row>
    <row r="36">
      <c r="A36" s="71"/>
      <c r="B36" s="208"/>
      <c r="C36" s="71"/>
      <c r="D36" s="206"/>
      <c r="E36" s="279" t="s">
        <v>238</v>
      </c>
      <c r="F36" s="278" t="s">
        <v>412</v>
      </c>
      <c r="G36" s="278" t="s">
        <v>411</v>
      </c>
      <c r="H36" s="99" t="b">
        <v>0</v>
      </c>
      <c r="I36" s="99"/>
      <c r="J36" s="71"/>
      <c r="K36" s="71"/>
      <c r="L36" s="71"/>
      <c r="M36" s="71"/>
      <c r="N36" s="71"/>
    </row>
    <row r="37">
      <c r="A37" s="71"/>
      <c r="B37" s="208"/>
      <c r="C37" s="71"/>
      <c r="D37" s="206"/>
      <c r="E37" s="274" t="s">
        <v>236</v>
      </c>
      <c r="F37" s="275" t="s">
        <v>408</v>
      </c>
      <c r="G37" s="276"/>
      <c r="H37" s="99" t="b">
        <v>0</v>
      </c>
      <c r="I37" s="99"/>
      <c r="J37" s="71"/>
      <c r="K37" s="71"/>
      <c r="L37" s="71"/>
      <c r="M37" s="71"/>
      <c r="N37" s="71"/>
    </row>
    <row r="38">
      <c r="A38" s="71"/>
      <c r="B38" s="208"/>
      <c r="C38" s="71"/>
      <c r="D38" s="206"/>
      <c r="E38" s="274" t="s">
        <v>247</v>
      </c>
      <c r="F38" s="275" t="s">
        <v>413</v>
      </c>
      <c r="G38" s="278" t="s">
        <v>411</v>
      </c>
      <c r="H38" s="99" t="b">
        <v>0</v>
      </c>
      <c r="I38" s="99"/>
      <c r="J38" s="71"/>
      <c r="K38" s="71"/>
      <c r="L38" s="71"/>
      <c r="M38" s="71"/>
      <c r="N38" s="71"/>
    </row>
    <row r="39">
      <c r="A39" s="71"/>
      <c r="B39" s="208"/>
      <c r="C39" s="71"/>
      <c r="D39" s="206"/>
      <c r="E39" s="274" t="s">
        <v>256</v>
      </c>
      <c r="F39" s="275" t="s">
        <v>408</v>
      </c>
      <c r="G39" s="280"/>
      <c r="H39" s="99" t="b">
        <v>0</v>
      </c>
      <c r="I39" s="99"/>
      <c r="J39" s="71"/>
      <c r="K39" s="71"/>
      <c r="L39" s="71"/>
      <c r="M39" s="71"/>
      <c r="N39" s="71"/>
    </row>
    <row r="40">
      <c r="A40" s="71"/>
      <c r="B40" s="208"/>
      <c r="C40" s="71"/>
      <c r="D40" s="71"/>
      <c r="E40" s="281"/>
      <c r="F40" s="282"/>
      <c r="G40" s="283"/>
      <c r="H40" s="159"/>
      <c r="I40" s="159"/>
      <c r="J40" s="71"/>
      <c r="K40" s="71"/>
      <c r="L40" s="71"/>
      <c r="M40" s="71"/>
      <c r="N40" s="71"/>
    </row>
    <row r="41">
      <c r="A41" s="71"/>
      <c r="B41" s="208" t="s">
        <v>414</v>
      </c>
      <c r="C41" s="71"/>
      <c r="D41" s="71"/>
      <c r="E41" s="281"/>
      <c r="F41" s="282"/>
      <c r="G41" s="283"/>
      <c r="H41" s="159"/>
      <c r="J41" s="71"/>
      <c r="K41" s="71"/>
      <c r="L41" s="71"/>
      <c r="M41" s="71"/>
      <c r="N41" s="71"/>
    </row>
    <row r="42">
      <c r="A42" s="71"/>
      <c r="B42" s="159" t="s">
        <v>415</v>
      </c>
      <c r="C42" s="71"/>
      <c r="D42" s="71"/>
      <c r="E42" s="281"/>
      <c r="F42" s="284"/>
      <c r="G42" s="284"/>
      <c r="H42" s="159"/>
      <c r="J42" s="71"/>
      <c r="K42" s="71"/>
      <c r="L42" s="71"/>
      <c r="M42" s="71"/>
      <c r="N42" s="71"/>
    </row>
    <row r="43">
      <c r="A43" s="71"/>
      <c r="B43" s="71"/>
      <c r="C43" s="71"/>
      <c r="D43" s="71"/>
      <c r="E43" s="285"/>
      <c r="F43" s="286"/>
      <c r="G43" s="276"/>
      <c r="H43" s="71"/>
      <c r="I43" s="71"/>
      <c r="J43" s="71"/>
      <c r="K43" s="71"/>
      <c r="L43" s="71"/>
      <c r="M43" s="71"/>
      <c r="N43" s="71"/>
    </row>
    <row r="44">
      <c r="A44" s="71"/>
      <c r="B44" s="71"/>
      <c r="C44" s="71"/>
      <c r="D44" s="71"/>
      <c r="E44" s="71"/>
      <c r="F44" s="71"/>
      <c r="G44" s="71"/>
      <c r="H44" s="71"/>
      <c r="I44" s="71"/>
      <c r="J44" s="71"/>
      <c r="K44" s="71"/>
      <c r="L44" s="71"/>
      <c r="M44" s="71"/>
      <c r="N44" s="71"/>
    </row>
    <row r="45">
      <c r="A45" s="71"/>
      <c r="B45" s="71"/>
      <c r="C45" s="71"/>
      <c r="D45" s="71"/>
      <c r="E45" s="71"/>
      <c r="F45" s="71"/>
      <c r="G45" s="71"/>
      <c r="H45" s="71"/>
      <c r="I45" s="71"/>
      <c r="J45" s="71"/>
      <c r="K45" s="71"/>
      <c r="L45" s="71"/>
      <c r="M45" s="71"/>
      <c r="N45" s="71"/>
    </row>
    <row r="46">
      <c r="A46" s="71"/>
      <c r="B46" s="71"/>
      <c r="C46" s="71"/>
      <c r="D46" s="71"/>
      <c r="E46" s="71"/>
      <c r="F46" s="71"/>
      <c r="G46" s="71"/>
      <c r="H46" s="71"/>
      <c r="I46" s="71"/>
      <c r="J46" s="71"/>
      <c r="K46" s="71"/>
      <c r="L46" s="71"/>
      <c r="M46" s="71"/>
      <c r="N46" s="71"/>
    </row>
    <row r="47">
      <c r="A47" s="71"/>
      <c r="B47" s="71"/>
      <c r="C47" s="71"/>
      <c r="D47" s="71"/>
      <c r="E47" s="71"/>
      <c r="F47" s="71"/>
      <c r="G47" s="71"/>
      <c r="H47" s="71"/>
      <c r="I47" s="71"/>
      <c r="J47" s="71"/>
      <c r="K47" s="71"/>
      <c r="L47" s="71"/>
      <c r="M47" s="71"/>
      <c r="N47" s="71"/>
    </row>
    <row r="48">
      <c r="A48" s="71"/>
      <c r="B48" s="71"/>
      <c r="C48" s="71"/>
      <c r="D48" s="71"/>
      <c r="E48" s="71"/>
      <c r="F48" s="71"/>
      <c r="G48" s="71"/>
      <c r="H48" s="71"/>
      <c r="I48" s="71"/>
      <c r="J48" s="71"/>
      <c r="K48" s="71"/>
      <c r="L48" s="71"/>
      <c r="M48" s="71"/>
      <c r="N48" s="71"/>
    </row>
    <row r="49">
      <c r="A49" s="71"/>
      <c r="B49" s="71"/>
      <c r="C49" s="71"/>
      <c r="D49" s="71"/>
      <c r="E49" s="71"/>
      <c r="F49" s="71"/>
      <c r="G49" s="71"/>
      <c r="H49" s="71"/>
      <c r="I49" s="71"/>
      <c r="J49" s="71"/>
      <c r="K49" s="71"/>
      <c r="L49" s="71"/>
      <c r="M49" s="71"/>
      <c r="N49" s="71"/>
    </row>
    <row r="50">
      <c r="A50" s="71"/>
      <c r="B50" s="71"/>
      <c r="C50" s="71"/>
      <c r="D50" s="71"/>
      <c r="E50" s="71"/>
      <c r="F50" s="71"/>
      <c r="G50" s="71"/>
      <c r="H50" s="71"/>
      <c r="I50" s="71"/>
      <c r="J50" s="71"/>
      <c r="K50" s="71"/>
      <c r="L50" s="71"/>
      <c r="M50" s="71"/>
      <c r="N50" s="71"/>
    </row>
    <row r="51">
      <c r="A51" s="71"/>
      <c r="B51" s="71"/>
      <c r="C51" s="71"/>
      <c r="D51" s="71"/>
      <c r="E51" s="71"/>
      <c r="F51" s="71"/>
      <c r="G51" s="71"/>
      <c r="H51" s="71"/>
      <c r="I51" s="71"/>
      <c r="J51" s="71"/>
      <c r="K51" s="71"/>
      <c r="L51" s="71"/>
      <c r="M51" s="71"/>
      <c r="N51" s="71"/>
    </row>
    <row r="52">
      <c r="A52" s="71"/>
      <c r="B52" s="71"/>
      <c r="C52" s="71"/>
      <c r="D52" s="71"/>
      <c r="E52" s="71"/>
      <c r="F52" s="71"/>
      <c r="G52" s="71"/>
      <c r="H52" s="71"/>
      <c r="I52" s="71"/>
      <c r="J52" s="71"/>
      <c r="K52" s="71"/>
      <c r="L52" s="71"/>
      <c r="M52" s="71"/>
      <c r="N52" s="71"/>
    </row>
    <row r="53">
      <c r="A53" s="71"/>
      <c r="B53" s="71"/>
      <c r="C53" s="71"/>
      <c r="D53" s="71"/>
      <c r="E53" s="71"/>
      <c r="F53" s="71"/>
      <c r="G53" s="71"/>
      <c r="H53" s="71"/>
      <c r="I53" s="71"/>
      <c r="J53" s="71"/>
      <c r="K53" s="71"/>
      <c r="L53" s="71"/>
      <c r="M53" s="71"/>
      <c r="N53" s="71"/>
    </row>
    <row r="54">
      <c r="A54" s="71"/>
      <c r="B54" s="71"/>
      <c r="C54" s="71"/>
      <c r="D54" s="71"/>
      <c r="E54" s="71"/>
      <c r="F54" s="71"/>
      <c r="G54" s="71"/>
      <c r="H54" s="71"/>
      <c r="I54" s="71"/>
      <c r="J54" s="71"/>
      <c r="K54" s="71"/>
      <c r="L54" s="71"/>
      <c r="M54" s="71"/>
      <c r="N54" s="71"/>
    </row>
    <row r="55">
      <c r="A55" s="71"/>
      <c r="B55" s="71"/>
      <c r="C55" s="71"/>
      <c r="D55" s="71"/>
      <c r="E55" s="71"/>
      <c r="F55" s="71"/>
      <c r="G55" s="71"/>
      <c r="H55" s="71"/>
      <c r="I55" s="71"/>
      <c r="J55" s="71"/>
      <c r="K55" s="71"/>
      <c r="L55" s="71"/>
      <c r="M55" s="71"/>
      <c r="N55" s="71"/>
    </row>
    <row r="56">
      <c r="A56" s="71"/>
      <c r="B56" s="71"/>
      <c r="C56" s="71"/>
      <c r="D56" s="71"/>
      <c r="E56" s="71"/>
      <c r="F56" s="71"/>
      <c r="G56" s="71"/>
      <c r="H56" s="71"/>
      <c r="I56" s="71"/>
      <c r="J56" s="71"/>
      <c r="K56" s="71"/>
      <c r="L56" s="71"/>
      <c r="M56" s="71"/>
      <c r="N56" s="71"/>
    </row>
    <row r="57">
      <c r="A57" s="71"/>
      <c r="B57" s="71"/>
      <c r="C57" s="71"/>
      <c r="D57" s="71"/>
      <c r="E57" s="71"/>
      <c r="F57" s="71"/>
      <c r="G57" s="71"/>
      <c r="H57" s="71"/>
      <c r="I57" s="71"/>
      <c r="J57" s="71"/>
      <c r="K57" s="71"/>
      <c r="L57" s="71"/>
      <c r="M57" s="71"/>
      <c r="N57" s="71"/>
    </row>
    <row r="58">
      <c r="A58" s="71"/>
      <c r="B58" s="71"/>
      <c r="C58" s="71"/>
      <c r="D58" s="71"/>
      <c r="E58" s="71"/>
      <c r="F58" s="71"/>
      <c r="G58" s="71"/>
      <c r="H58" s="71"/>
      <c r="I58" s="71"/>
      <c r="J58" s="71"/>
      <c r="K58" s="71"/>
      <c r="L58" s="71"/>
      <c r="M58" s="71"/>
      <c r="N58" s="71"/>
    </row>
    <row r="59">
      <c r="A59" s="71"/>
      <c r="B59" s="71"/>
      <c r="C59" s="71"/>
      <c r="D59" s="71"/>
      <c r="E59" s="71"/>
      <c r="F59" s="71"/>
      <c r="G59" s="71"/>
      <c r="H59" s="71"/>
      <c r="I59" s="71"/>
      <c r="J59" s="71"/>
      <c r="K59" s="71"/>
      <c r="L59" s="71"/>
      <c r="M59" s="71"/>
      <c r="N59" s="71"/>
    </row>
    <row r="60">
      <c r="A60" s="71"/>
      <c r="B60" s="71"/>
      <c r="C60" s="71"/>
      <c r="D60" s="71"/>
      <c r="E60" s="71"/>
      <c r="F60" s="71"/>
      <c r="G60" s="71"/>
      <c r="H60" s="71"/>
      <c r="I60" s="71"/>
      <c r="J60" s="71"/>
      <c r="K60" s="71"/>
      <c r="L60" s="71"/>
      <c r="M60" s="71"/>
      <c r="N60" s="71"/>
    </row>
    <row r="61">
      <c r="A61" s="71"/>
      <c r="B61" s="71"/>
      <c r="C61" s="71"/>
      <c r="D61" s="71"/>
      <c r="E61" s="71"/>
      <c r="F61" s="71"/>
      <c r="G61" s="71"/>
      <c r="H61" s="71"/>
      <c r="I61" s="71"/>
      <c r="J61" s="71"/>
      <c r="K61" s="71"/>
      <c r="L61" s="71"/>
      <c r="M61" s="71"/>
      <c r="N61" s="71"/>
    </row>
  </sheetData>
  <mergeCells count="14">
    <mergeCell ref="E21:F21"/>
    <mergeCell ref="E23:G23"/>
    <mergeCell ref="E25:G25"/>
    <mergeCell ref="H27:I27"/>
    <mergeCell ref="B28:C29"/>
    <mergeCell ref="H41:I41"/>
    <mergeCell ref="H42:I42"/>
    <mergeCell ref="B5:F6"/>
    <mergeCell ref="E11:G11"/>
    <mergeCell ref="E13:F13"/>
    <mergeCell ref="E15:G15"/>
    <mergeCell ref="E17:F17"/>
    <mergeCell ref="E19:G19"/>
    <mergeCell ref="J19:M19"/>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 type="list" allowBlank="1" showInputMessage="1" prompt="Clique e insira um valor de intervalo" sqref="G28:G43">
      <formula1>$L$28:$L$32</formula1>
    </dataValidation>
  </dataValidation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4C2F4"/>
    <outlinePr summaryBelow="0" summaryRight="0"/>
  </sheetPr>
  <sheetViews>
    <sheetView showGridLines="0" workbookViewId="0"/>
  </sheetViews>
  <sheetFormatPr customHeight="1" defaultColWidth="12.63" defaultRowHeight="15.75"/>
  <cols>
    <col customWidth="1" min="1" max="1" width="2.63"/>
    <col customWidth="1" min="2" max="2" width="6.38"/>
    <col customWidth="1" min="3" max="5" width="18.88"/>
    <col customWidth="1" min="8" max="8" width="10.13"/>
    <col customWidth="1" min="10" max="10" width="30.38"/>
    <col customWidth="1" min="11" max="12" width="5.13"/>
  </cols>
  <sheetData>
    <row r="1" ht="11.25" customHeight="1">
      <c r="A1" s="67"/>
      <c r="B1" s="67"/>
      <c r="C1" s="67"/>
      <c r="D1" s="67"/>
      <c r="E1" s="67"/>
      <c r="F1" s="68"/>
      <c r="G1" s="68"/>
      <c r="H1" s="78"/>
      <c r="I1" s="67"/>
      <c r="J1" s="67"/>
      <c r="K1" s="67"/>
      <c r="L1" s="67"/>
    </row>
    <row r="2">
      <c r="A2" s="67"/>
      <c r="B2" s="70" t="s">
        <v>56</v>
      </c>
      <c r="C2" s="71"/>
      <c r="D2" s="71"/>
      <c r="E2" s="71"/>
      <c r="F2" s="72"/>
      <c r="G2" s="72"/>
      <c r="H2" s="78"/>
      <c r="I2" s="67"/>
      <c r="J2" s="67"/>
      <c r="K2" s="67"/>
      <c r="L2" s="67"/>
    </row>
    <row r="3">
      <c r="A3" s="67"/>
      <c r="B3" s="79" t="s">
        <v>57</v>
      </c>
      <c r="C3" s="71"/>
      <c r="D3" s="71"/>
      <c r="E3" s="71"/>
      <c r="F3" s="72"/>
      <c r="G3" s="72"/>
      <c r="H3" s="78"/>
      <c r="I3" s="67"/>
      <c r="J3" s="67"/>
      <c r="K3" s="67"/>
      <c r="L3" s="67"/>
    </row>
    <row r="4">
      <c r="A4" s="67"/>
      <c r="B4" s="96" t="s">
        <v>456</v>
      </c>
      <c r="C4" s="71"/>
      <c r="D4" s="71"/>
      <c r="E4" s="71"/>
      <c r="F4" s="72"/>
      <c r="G4" s="72"/>
      <c r="H4" s="78"/>
      <c r="I4" s="67"/>
      <c r="J4" s="67"/>
      <c r="K4" s="67"/>
      <c r="L4" s="67"/>
    </row>
    <row r="5">
      <c r="A5" s="67"/>
      <c r="B5" s="76" t="s">
        <v>59</v>
      </c>
      <c r="E5" s="76"/>
      <c r="F5" s="76"/>
      <c r="G5" s="76"/>
      <c r="H5" s="78"/>
      <c r="I5" s="67"/>
      <c r="J5" s="67"/>
      <c r="K5" s="67"/>
      <c r="L5" s="67"/>
    </row>
    <row r="6">
      <c r="A6" s="67"/>
      <c r="E6" s="76"/>
      <c r="F6" s="76"/>
      <c r="G6" s="76"/>
      <c r="H6" s="78"/>
      <c r="I6" s="102" t="s">
        <v>204</v>
      </c>
      <c r="J6" s="67"/>
      <c r="K6" s="67"/>
      <c r="L6" s="67"/>
    </row>
    <row r="7">
      <c r="A7" s="67"/>
      <c r="B7" s="71"/>
      <c r="C7" s="71"/>
      <c r="D7" s="71"/>
      <c r="E7" s="71"/>
      <c r="F7" s="72"/>
      <c r="G7" s="72"/>
      <c r="H7" s="78"/>
      <c r="I7" s="102" t="s">
        <v>205</v>
      </c>
      <c r="J7" s="67"/>
      <c r="K7" s="67"/>
      <c r="L7" s="67"/>
    </row>
    <row r="8">
      <c r="A8" s="67"/>
      <c r="B8" s="70" t="s">
        <v>60</v>
      </c>
      <c r="C8" s="71"/>
      <c r="D8" s="71"/>
      <c r="E8" s="71"/>
      <c r="F8" s="72"/>
      <c r="G8" s="72"/>
      <c r="H8" s="78"/>
      <c r="I8" s="102" t="s">
        <v>206</v>
      </c>
      <c r="J8" s="67"/>
      <c r="K8" s="67"/>
      <c r="L8" s="67"/>
    </row>
    <row r="9">
      <c r="A9" s="67"/>
      <c r="B9" s="79" t="s">
        <v>207</v>
      </c>
      <c r="C9" s="71"/>
      <c r="D9" s="71"/>
      <c r="E9" s="71"/>
      <c r="F9" s="72"/>
      <c r="G9" s="72"/>
      <c r="H9" s="78"/>
      <c r="I9" s="102" t="s">
        <v>208</v>
      </c>
      <c r="J9" s="67"/>
      <c r="K9" s="67"/>
      <c r="L9" s="67"/>
    </row>
    <row r="10">
      <c r="A10" s="67"/>
      <c r="B10" s="67"/>
      <c r="C10" s="67"/>
      <c r="D10" s="67"/>
      <c r="E10" s="67"/>
      <c r="F10" s="68"/>
      <c r="G10" s="68"/>
      <c r="H10" s="78">
        <f>SUM(H12:H106)</f>
        <v>9341</v>
      </c>
      <c r="I10" s="103"/>
      <c r="J10" s="67"/>
      <c r="K10" s="67"/>
      <c r="L10" s="67"/>
    </row>
    <row r="11">
      <c r="A11" s="67"/>
      <c r="B11" s="80" t="s">
        <v>209</v>
      </c>
      <c r="C11" s="80" t="s">
        <v>62</v>
      </c>
      <c r="D11" s="80" t="s">
        <v>63</v>
      </c>
      <c r="E11" s="80" t="s">
        <v>210</v>
      </c>
      <c r="F11" s="81" t="s">
        <v>211</v>
      </c>
      <c r="G11" s="82" t="s">
        <v>68</v>
      </c>
      <c r="H11" s="239" t="s">
        <v>212</v>
      </c>
      <c r="I11" s="80" t="s">
        <v>214</v>
      </c>
      <c r="J11" s="80" t="s">
        <v>215</v>
      </c>
      <c r="K11" s="98"/>
      <c r="L11" s="67"/>
    </row>
    <row r="12">
      <c r="A12" s="67"/>
      <c r="B12" s="99"/>
      <c r="C12" s="99" t="s">
        <v>99</v>
      </c>
      <c r="D12" s="99" t="s">
        <v>100</v>
      </c>
      <c r="E12" s="99" t="s">
        <v>261</v>
      </c>
      <c r="F12" s="119" t="s">
        <v>262</v>
      </c>
      <c r="G12" s="287">
        <v>44927.0</v>
      </c>
      <c r="H12" s="105">
        <v>166.0</v>
      </c>
      <c r="I12" s="99" t="s">
        <v>206</v>
      </c>
      <c r="J12" s="135" t="s">
        <v>263</v>
      </c>
      <c r="K12" s="67"/>
      <c r="L12" s="67"/>
    </row>
    <row r="13">
      <c r="A13" s="67"/>
      <c r="B13" s="99"/>
      <c r="C13" s="99" t="s">
        <v>99</v>
      </c>
      <c r="D13" s="99" t="s">
        <v>100</v>
      </c>
      <c r="E13" s="99" t="s">
        <v>265</v>
      </c>
      <c r="F13" s="119" t="s">
        <v>266</v>
      </c>
      <c r="G13" s="287">
        <v>44927.0</v>
      </c>
      <c r="H13" s="105">
        <v>125.0</v>
      </c>
      <c r="I13" s="99" t="s">
        <v>206</v>
      </c>
      <c r="J13" s="135" t="s">
        <v>267</v>
      </c>
      <c r="K13" s="67"/>
      <c r="L13" s="67"/>
    </row>
    <row r="14">
      <c r="A14" s="67"/>
      <c r="B14" s="99"/>
      <c r="C14" s="99" t="s">
        <v>99</v>
      </c>
      <c r="D14" s="99" t="s">
        <v>100</v>
      </c>
      <c r="E14" s="99" t="s">
        <v>232</v>
      </c>
      <c r="F14" s="119" t="s">
        <v>233</v>
      </c>
      <c r="G14" s="287">
        <v>44927.0</v>
      </c>
      <c r="H14" s="105">
        <v>3.0</v>
      </c>
      <c r="I14" s="99" t="s">
        <v>208</v>
      </c>
      <c r="J14" s="135" t="s">
        <v>161</v>
      </c>
      <c r="K14" s="67"/>
      <c r="L14" s="67"/>
    </row>
    <row r="15">
      <c r="A15" s="67"/>
      <c r="B15" s="99"/>
      <c r="C15" s="99" t="s">
        <v>99</v>
      </c>
      <c r="D15" s="99" t="s">
        <v>105</v>
      </c>
      <c r="E15" s="99" t="s">
        <v>268</v>
      </c>
      <c r="F15" s="119" t="s">
        <v>269</v>
      </c>
      <c r="G15" s="287">
        <v>44927.0</v>
      </c>
      <c r="H15" s="105">
        <v>163.0</v>
      </c>
      <c r="I15" s="99" t="s">
        <v>206</v>
      </c>
      <c r="J15" s="135" t="s">
        <v>263</v>
      </c>
      <c r="K15" s="67"/>
      <c r="L15" s="67"/>
    </row>
    <row r="16">
      <c r="A16" s="67"/>
      <c r="B16" s="99"/>
      <c r="C16" s="99" t="s">
        <v>99</v>
      </c>
      <c r="D16" s="99" t="s">
        <v>105</v>
      </c>
      <c r="E16" s="99" t="s">
        <v>270</v>
      </c>
      <c r="F16" s="119" t="s">
        <v>271</v>
      </c>
      <c r="G16" s="287">
        <v>44927.0</v>
      </c>
      <c r="H16" s="105">
        <v>175.0</v>
      </c>
      <c r="I16" s="99" t="s">
        <v>206</v>
      </c>
      <c r="J16" s="135" t="s">
        <v>267</v>
      </c>
      <c r="K16" s="67"/>
      <c r="L16" s="67"/>
    </row>
    <row r="17">
      <c r="A17" s="67"/>
      <c r="B17" s="99"/>
      <c r="C17" s="99" t="s">
        <v>99</v>
      </c>
      <c r="D17" s="99" t="s">
        <v>105</v>
      </c>
      <c r="E17" s="99" t="s">
        <v>226</v>
      </c>
      <c r="F17" s="119" t="s">
        <v>227</v>
      </c>
      <c r="G17" s="287">
        <v>44927.0</v>
      </c>
      <c r="H17" s="105">
        <v>18.0</v>
      </c>
      <c r="I17" s="99" t="s">
        <v>208</v>
      </c>
      <c r="J17" s="135" t="s">
        <v>161</v>
      </c>
      <c r="K17" s="67"/>
      <c r="L17" s="67"/>
    </row>
    <row r="18">
      <c r="A18" s="67"/>
      <c r="B18" s="99"/>
      <c r="C18" s="99" t="s">
        <v>99</v>
      </c>
      <c r="D18" s="99" t="s">
        <v>111</v>
      </c>
      <c r="E18" s="99" t="s">
        <v>272</v>
      </c>
      <c r="F18" s="119" t="s">
        <v>273</v>
      </c>
      <c r="G18" s="287">
        <v>44927.0</v>
      </c>
      <c r="H18" s="105">
        <v>2.0</v>
      </c>
      <c r="I18" s="99" t="s">
        <v>208</v>
      </c>
      <c r="J18" s="135" t="s">
        <v>224</v>
      </c>
      <c r="K18" s="67"/>
      <c r="L18" s="67"/>
    </row>
    <row r="19">
      <c r="A19" s="67"/>
      <c r="B19" s="99"/>
      <c r="C19" s="99" t="s">
        <v>99</v>
      </c>
      <c r="D19" s="99" t="s">
        <v>111</v>
      </c>
      <c r="E19" s="99" t="s">
        <v>222</v>
      </c>
      <c r="F19" s="119" t="s">
        <v>223</v>
      </c>
      <c r="G19" s="287">
        <v>44927.0</v>
      </c>
      <c r="H19" s="105">
        <v>13.0</v>
      </c>
      <c r="I19" s="99" t="s">
        <v>205</v>
      </c>
      <c r="J19" s="135" t="s">
        <v>274</v>
      </c>
      <c r="K19" s="67"/>
      <c r="L19" s="67"/>
    </row>
    <row r="20">
      <c r="A20" s="67"/>
      <c r="B20" s="99"/>
      <c r="C20" s="99" t="s">
        <v>99</v>
      </c>
      <c r="D20" s="99" t="s">
        <v>100</v>
      </c>
      <c r="E20" s="99" t="s">
        <v>261</v>
      </c>
      <c r="F20" s="119" t="s">
        <v>262</v>
      </c>
      <c r="G20" s="287">
        <v>44958.0</v>
      </c>
      <c r="H20" s="105">
        <v>171.0</v>
      </c>
      <c r="I20" s="99" t="s">
        <v>206</v>
      </c>
      <c r="J20" s="135" t="s">
        <v>263</v>
      </c>
      <c r="K20" s="67"/>
      <c r="L20" s="67"/>
    </row>
    <row r="21">
      <c r="A21" s="67"/>
      <c r="B21" s="99"/>
      <c r="C21" s="99" t="s">
        <v>99</v>
      </c>
      <c r="D21" s="99" t="s">
        <v>100</v>
      </c>
      <c r="E21" s="99" t="s">
        <v>232</v>
      </c>
      <c r="F21" s="119" t="s">
        <v>233</v>
      </c>
      <c r="G21" s="287">
        <v>44958.0</v>
      </c>
      <c r="H21" s="105">
        <v>17.0</v>
      </c>
      <c r="I21" s="99" t="s">
        <v>208</v>
      </c>
      <c r="J21" s="135" t="s">
        <v>161</v>
      </c>
      <c r="K21" s="67"/>
      <c r="L21" s="67"/>
    </row>
    <row r="22">
      <c r="A22" s="67"/>
      <c r="B22" s="99"/>
      <c r="C22" s="99" t="s">
        <v>99</v>
      </c>
      <c r="D22" s="99" t="s">
        <v>105</v>
      </c>
      <c r="E22" s="99" t="s">
        <v>268</v>
      </c>
      <c r="F22" s="119" t="s">
        <v>269</v>
      </c>
      <c r="G22" s="287">
        <v>44958.0</v>
      </c>
      <c r="H22" s="105">
        <v>179.0</v>
      </c>
      <c r="I22" s="99" t="s">
        <v>206</v>
      </c>
      <c r="J22" s="135" t="s">
        <v>263</v>
      </c>
      <c r="K22" s="67"/>
      <c r="L22" s="67"/>
    </row>
    <row r="23">
      <c r="A23" s="67"/>
      <c r="B23" s="99"/>
      <c r="C23" s="99" t="s">
        <v>99</v>
      </c>
      <c r="D23" s="99" t="s">
        <v>105</v>
      </c>
      <c r="E23" s="99" t="s">
        <v>270</v>
      </c>
      <c r="F23" s="119" t="s">
        <v>271</v>
      </c>
      <c r="G23" s="287">
        <v>44958.0</v>
      </c>
      <c r="H23" s="105">
        <v>182.0</v>
      </c>
      <c r="I23" s="99" t="s">
        <v>206</v>
      </c>
      <c r="J23" s="135" t="s">
        <v>267</v>
      </c>
      <c r="K23" s="67"/>
      <c r="L23" s="67"/>
    </row>
    <row r="24">
      <c r="A24" s="67"/>
      <c r="B24" s="99"/>
      <c r="C24" s="99" t="s">
        <v>99</v>
      </c>
      <c r="D24" s="99" t="s">
        <v>105</v>
      </c>
      <c r="E24" s="99" t="s">
        <v>226</v>
      </c>
      <c r="F24" s="119" t="s">
        <v>227</v>
      </c>
      <c r="G24" s="287">
        <v>44958.0</v>
      </c>
      <c r="H24" s="105">
        <v>8.0</v>
      </c>
      <c r="I24" s="99" t="s">
        <v>208</v>
      </c>
      <c r="J24" s="135" t="s">
        <v>161</v>
      </c>
      <c r="K24" s="67"/>
      <c r="L24" s="67"/>
    </row>
    <row r="25">
      <c r="A25" s="67"/>
      <c r="B25" s="99"/>
      <c r="C25" s="99" t="s">
        <v>99</v>
      </c>
      <c r="D25" s="99" t="s">
        <v>111</v>
      </c>
      <c r="E25" s="99" t="s">
        <v>272</v>
      </c>
      <c r="F25" s="119" t="s">
        <v>273</v>
      </c>
      <c r="G25" s="287">
        <v>44958.0</v>
      </c>
      <c r="H25" s="105">
        <v>3.0</v>
      </c>
      <c r="I25" s="99" t="s">
        <v>208</v>
      </c>
      <c r="J25" s="135" t="s">
        <v>224</v>
      </c>
      <c r="K25" s="67"/>
      <c r="L25" s="67"/>
    </row>
    <row r="26">
      <c r="A26" s="67"/>
      <c r="B26" s="99"/>
      <c r="C26" s="99" t="s">
        <v>99</v>
      </c>
      <c r="D26" s="99" t="s">
        <v>111</v>
      </c>
      <c r="E26" s="99" t="s">
        <v>222</v>
      </c>
      <c r="F26" s="119" t="s">
        <v>223</v>
      </c>
      <c r="G26" s="287">
        <v>44958.0</v>
      </c>
      <c r="H26" s="105">
        <v>6.0</v>
      </c>
      <c r="I26" s="99" t="s">
        <v>205</v>
      </c>
      <c r="J26" s="135" t="s">
        <v>274</v>
      </c>
      <c r="K26" s="67"/>
      <c r="L26" s="67"/>
    </row>
    <row r="27">
      <c r="A27" s="67"/>
      <c r="B27" s="99"/>
      <c r="C27" s="99" t="s">
        <v>99</v>
      </c>
      <c r="D27" s="99" t="s">
        <v>118</v>
      </c>
      <c r="E27" s="99" t="s">
        <v>265</v>
      </c>
      <c r="F27" s="119" t="s">
        <v>266</v>
      </c>
      <c r="G27" s="287">
        <v>44958.0</v>
      </c>
      <c r="H27" s="105">
        <v>76.0</v>
      </c>
      <c r="I27" s="99" t="s">
        <v>205</v>
      </c>
      <c r="J27" s="135" t="s">
        <v>240</v>
      </c>
      <c r="K27" s="67"/>
      <c r="L27" s="67"/>
    </row>
    <row r="28">
      <c r="A28" s="67"/>
      <c r="B28" s="99"/>
      <c r="C28" s="99" t="s">
        <v>99</v>
      </c>
      <c r="D28" s="99" t="s">
        <v>119</v>
      </c>
      <c r="E28" s="99" t="s">
        <v>265</v>
      </c>
      <c r="F28" s="119" t="s">
        <v>266</v>
      </c>
      <c r="G28" s="287">
        <v>44958.0</v>
      </c>
      <c r="H28" s="105">
        <v>76.0</v>
      </c>
      <c r="I28" s="99" t="s">
        <v>205</v>
      </c>
      <c r="J28" s="135" t="s">
        <v>240</v>
      </c>
      <c r="K28" s="67"/>
      <c r="L28" s="67"/>
    </row>
    <row r="29">
      <c r="A29" s="67"/>
      <c r="B29" s="99"/>
      <c r="C29" s="99" t="s">
        <v>99</v>
      </c>
      <c r="D29" s="99" t="s">
        <v>119</v>
      </c>
      <c r="E29" s="99" t="s">
        <v>238</v>
      </c>
      <c r="F29" s="119" t="s">
        <v>239</v>
      </c>
      <c r="G29" s="287">
        <v>44958.0</v>
      </c>
      <c r="H29" s="105">
        <v>3.0</v>
      </c>
      <c r="I29" s="99" t="s">
        <v>205</v>
      </c>
      <c r="J29" s="135" t="s">
        <v>240</v>
      </c>
      <c r="K29" s="67"/>
      <c r="L29" s="67"/>
    </row>
    <row r="30">
      <c r="A30" s="67"/>
      <c r="B30" s="99"/>
      <c r="C30" s="99" t="s">
        <v>99</v>
      </c>
      <c r="D30" s="99" t="s">
        <v>111</v>
      </c>
      <c r="E30" s="99" t="s">
        <v>222</v>
      </c>
      <c r="F30" s="119" t="s">
        <v>223</v>
      </c>
      <c r="G30" s="287">
        <v>44986.0</v>
      </c>
      <c r="H30" s="105">
        <v>13.0</v>
      </c>
      <c r="I30" s="99" t="s">
        <v>208</v>
      </c>
      <c r="J30" s="135" t="s">
        <v>275</v>
      </c>
      <c r="K30" s="67"/>
      <c r="L30" s="67"/>
    </row>
    <row r="31">
      <c r="A31" s="67"/>
      <c r="B31" s="99"/>
      <c r="C31" s="99" t="s">
        <v>99</v>
      </c>
      <c r="D31" s="99" t="s">
        <v>111</v>
      </c>
      <c r="E31" s="99" t="s">
        <v>261</v>
      </c>
      <c r="F31" s="119" t="s">
        <v>262</v>
      </c>
      <c r="G31" s="287">
        <v>44986.0</v>
      </c>
      <c r="H31" s="105">
        <v>220.0</v>
      </c>
      <c r="I31" s="99" t="s">
        <v>206</v>
      </c>
      <c r="J31" s="135" t="s">
        <v>263</v>
      </c>
      <c r="K31" s="67"/>
      <c r="L31" s="67"/>
    </row>
    <row r="32">
      <c r="A32" s="67"/>
      <c r="B32" s="99"/>
      <c r="C32" s="99" t="s">
        <v>99</v>
      </c>
      <c r="D32" s="99" t="s">
        <v>111</v>
      </c>
      <c r="E32" s="99" t="s">
        <v>232</v>
      </c>
      <c r="F32" s="119" t="s">
        <v>233</v>
      </c>
      <c r="G32" s="287">
        <v>44986.0</v>
      </c>
      <c r="H32" s="105">
        <v>12.0</v>
      </c>
      <c r="I32" s="99" t="s">
        <v>208</v>
      </c>
      <c r="J32" s="135" t="s">
        <v>161</v>
      </c>
      <c r="K32" s="67"/>
      <c r="L32" s="67"/>
    </row>
    <row r="33">
      <c r="A33" s="67"/>
      <c r="B33" s="99"/>
      <c r="C33" s="99" t="s">
        <v>99</v>
      </c>
      <c r="D33" s="99" t="s">
        <v>118</v>
      </c>
      <c r="E33" s="99" t="s">
        <v>265</v>
      </c>
      <c r="F33" s="119" t="s">
        <v>266</v>
      </c>
      <c r="G33" s="287">
        <v>44986.0</v>
      </c>
      <c r="H33" s="105">
        <v>66.0</v>
      </c>
      <c r="I33" s="99" t="s">
        <v>205</v>
      </c>
      <c r="J33" s="135" t="s">
        <v>240</v>
      </c>
      <c r="K33" s="67"/>
      <c r="L33" s="67"/>
    </row>
    <row r="34">
      <c r="A34" s="67"/>
      <c r="B34" s="99"/>
      <c r="C34" s="99" t="s">
        <v>99</v>
      </c>
      <c r="D34" s="99" t="s">
        <v>118</v>
      </c>
      <c r="E34" s="99" t="s">
        <v>268</v>
      </c>
      <c r="F34" s="119" t="s">
        <v>269</v>
      </c>
      <c r="G34" s="287">
        <v>44986.0</v>
      </c>
      <c r="H34" s="105">
        <v>219.0</v>
      </c>
      <c r="I34" s="99" t="s">
        <v>206</v>
      </c>
      <c r="J34" s="135" t="s">
        <v>263</v>
      </c>
      <c r="K34" s="67"/>
      <c r="L34" s="67"/>
    </row>
    <row r="35">
      <c r="A35" s="67"/>
      <c r="B35" s="99"/>
      <c r="C35" s="99" t="s">
        <v>99</v>
      </c>
      <c r="D35" s="99" t="s">
        <v>118</v>
      </c>
      <c r="E35" s="99" t="s">
        <v>226</v>
      </c>
      <c r="F35" s="119" t="s">
        <v>227</v>
      </c>
      <c r="G35" s="287">
        <v>44986.0</v>
      </c>
      <c r="H35" s="105">
        <v>5.0</v>
      </c>
      <c r="I35" s="99" t="s">
        <v>208</v>
      </c>
      <c r="J35" s="135" t="s">
        <v>161</v>
      </c>
      <c r="K35" s="67"/>
      <c r="L35" s="67"/>
    </row>
    <row r="36">
      <c r="A36" s="67"/>
      <c r="B36" s="99"/>
      <c r="C36" s="99" t="s">
        <v>99</v>
      </c>
      <c r="D36" s="99" t="s">
        <v>119</v>
      </c>
      <c r="E36" s="99" t="s">
        <v>265</v>
      </c>
      <c r="F36" s="119" t="s">
        <v>266</v>
      </c>
      <c r="G36" s="287">
        <v>44986.0</v>
      </c>
      <c r="H36" s="105">
        <v>66.0</v>
      </c>
      <c r="I36" s="99" t="s">
        <v>205</v>
      </c>
      <c r="J36" s="135" t="s">
        <v>240</v>
      </c>
      <c r="K36" s="67"/>
      <c r="L36" s="67"/>
    </row>
    <row r="37">
      <c r="A37" s="67"/>
      <c r="B37" s="99"/>
      <c r="C37" s="99" t="s">
        <v>99</v>
      </c>
      <c r="D37" s="99" t="s">
        <v>119</v>
      </c>
      <c r="E37" s="99" t="s">
        <v>238</v>
      </c>
      <c r="F37" s="119" t="s">
        <v>239</v>
      </c>
      <c r="G37" s="287">
        <v>44986.0</v>
      </c>
      <c r="H37" s="105">
        <v>38.0</v>
      </c>
      <c r="I37" s="99" t="s">
        <v>205</v>
      </c>
      <c r="J37" s="135" t="s">
        <v>240</v>
      </c>
      <c r="K37" s="67"/>
      <c r="L37" s="67"/>
    </row>
    <row r="38">
      <c r="A38" s="67"/>
      <c r="B38" s="99"/>
      <c r="C38" s="99" t="s">
        <v>99</v>
      </c>
      <c r="D38" s="99" t="s">
        <v>119</v>
      </c>
      <c r="E38" s="99" t="s">
        <v>270</v>
      </c>
      <c r="F38" s="119" t="s">
        <v>271</v>
      </c>
      <c r="G38" s="287">
        <v>44986.0</v>
      </c>
      <c r="H38" s="105">
        <v>211.0</v>
      </c>
      <c r="I38" s="99" t="s">
        <v>206</v>
      </c>
      <c r="J38" s="135" t="s">
        <v>267</v>
      </c>
      <c r="K38" s="67"/>
      <c r="L38" s="67"/>
    </row>
    <row r="39">
      <c r="A39" s="67"/>
      <c r="B39" s="99"/>
      <c r="C39" s="99" t="s">
        <v>99</v>
      </c>
      <c r="D39" s="99" t="s">
        <v>119</v>
      </c>
      <c r="E39" s="99" t="s">
        <v>236</v>
      </c>
      <c r="F39" s="119" t="s">
        <v>237</v>
      </c>
      <c r="G39" s="287">
        <v>44986.0</v>
      </c>
      <c r="H39" s="105">
        <v>3.0</v>
      </c>
      <c r="I39" s="99" t="s">
        <v>208</v>
      </c>
      <c r="J39" s="135" t="s">
        <v>161</v>
      </c>
      <c r="K39" s="67"/>
      <c r="L39" s="67"/>
    </row>
    <row r="40">
      <c r="A40" s="67"/>
      <c r="B40" s="99"/>
      <c r="C40" s="99" t="s">
        <v>99</v>
      </c>
      <c r="D40" s="99" t="s">
        <v>111</v>
      </c>
      <c r="E40" s="99" t="s">
        <v>222</v>
      </c>
      <c r="F40" s="119" t="s">
        <v>223</v>
      </c>
      <c r="G40" s="287">
        <v>45017.0</v>
      </c>
      <c r="H40" s="105">
        <v>7.0</v>
      </c>
      <c r="I40" s="99" t="s">
        <v>208</v>
      </c>
      <c r="J40" s="135" t="s">
        <v>275</v>
      </c>
      <c r="K40" s="67"/>
      <c r="L40" s="67"/>
    </row>
    <row r="41">
      <c r="A41" s="67"/>
      <c r="B41" s="99"/>
      <c r="C41" s="99" t="s">
        <v>99</v>
      </c>
      <c r="D41" s="99" t="s">
        <v>111</v>
      </c>
      <c r="E41" s="99" t="s">
        <v>232</v>
      </c>
      <c r="F41" s="119" t="s">
        <v>233</v>
      </c>
      <c r="G41" s="287">
        <v>45017.0</v>
      </c>
      <c r="H41" s="105">
        <v>17.0</v>
      </c>
      <c r="I41" s="99" t="s">
        <v>208</v>
      </c>
      <c r="J41" s="135" t="s">
        <v>161</v>
      </c>
      <c r="K41" s="67"/>
      <c r="L41" s="67"/>
    </row>
    <row r="42">
      <c r="A42" s="67"/>
      <c r="B42" s="99"/>
      <c r="C42" s="99" t="s">
        <v>99</v>
      </c>
      <c r="D42" s="99" t="s">
        <v>118</v>
      </c>
      <c r="E42" s="99" t="s">
        <v>265</v>
      </c>
      <c r="F42" s="119" t="s">
        <v>266</v>
      </c>
      <c r="G42" s="287">
        <v>45017.0</v>
      </c>
      <c r="H42" s="105">
        <v>145.0</v>
      </c>
      <c r="I42" s="99" t="s">
        <v>206</v>
      </c>
      <c r="J42" s="135" t="s">
        <v>267</v>
      </c>
      <c r="K42" s="67"/>
      <c r="L42" s="67"/>
    </row>
    <row r="43">
      <c r="A43" s="67"/>
      <c r="B43" s="99"/>
      <c r="C43" s="99" t="s">
        <v>99</v>
      </c>
      <c r="D43" s="99" t="s">
        <v>118</v>
      </c>
      <c r="E43" s="99" t="s">
        <v>268</v>
      </c>
      <c r="F43" s="119" t="s">
        <v>269</v>
      </c>
      <c r="G43" s="287">
        <v>45017.0</v>
      </c>
      <c r="H43" s="105">
        <v>145.0</v>
      </c>
      <c r="I43" s="99" t="s">
        <v>206</v>
      </c>
      <c r="J43" s="135" t="s">
        <v>263</v>
      </c>
      <c r="K43" s="67"/>
      <c r="L43" s="67"/>
    </row>
    <row r="44">
      <c r="A44" s="67"/>
      <c r="B44" s="99"/>
      <c r="C44" s="99" t="s">
        <v>99</v>
      </c>
      <c r="D44" s="99" t="s">
        <v>118</v>
      </c>
      <c r="E44" s="99" t="s">
        <v>226</v>
      </c>
      <c r="F44" s="119" t="s">
        <v>227</v>
      </c>
      <c r="G44" s="287">
        <v>45017.0</v>
      </c>
      <c r="H44" s="105">
        <v>3.0</v>
      </c>
      <c r="I44" s="99" t="s">
        <v>208</v>
      </c>
      <c r="J44" s="135" t="s">
        <v>161</v>
      </c>
      <c r="K44" s="67"/>
      <c r="L44" s="67"/>
    </row>
    <row r="45">
      <c r="A45" s="67"/>
      <c r="B45" s="99"/>
      <c r="C45" s="99" t="s">
        <v>99</v>
      </c>
      <c r="D45" s="99" t="s">
        <v>119</v>
      </c>
      <c r="E45" s="99" t="s">
        <v>261</v>
      </c>
      <c r="F45" s="119" t="s">
        <v>262</v>
      </c>
      <c r="G45" s="287">
        <v>45017.0</v>
      </c>
      <c r="H45" s="105">
        <v>161.0</v>
      </c>
      <c r="I45" s="99" t="s">
        <v>206</v>
      </c>
      <c r="J45" s="135" t="s">
        <v>263</v>
      </c>
      <c r="K45" s="67"/>
      <c r="L45" s="67"/>
    </row>
    <row r="46">
      <c r="A46" s="67"/>
      <c r="B46" s="99"/>
      <c r="C46" s="99" t="s">
        <v>99</v>
      </c>
      <c r="D46" s="99" t="s">
        <v>119</v>
      </c>
      <c r="E46" s="99" t="s">
        <v>238</v>
      </c>
      <c r="F46" s="119" t="s">
        <v>239</v>
      </c>
      <c r="G46" s="287">
        <v>45017.0</v>
      </c>
      <c r="H46" s="105">
        <v>18.0</v>
      </c>
      <c r="I46" s="99" t="s">
        <v>205</v>
      </c>
      <c r="J46" s="135" t="s">
        <v>240</v>
      </c>
      <c r="K46" s="67"/>
      <c r="L46" s="67"/>
    </row>
    <row r="47">
      <c r="A47" s="67"/>
      <c r="B47" s="99"/>
      <c r="C47" s="99" t="s">
        <v>99</v>
      </c>
      <c r="D47" s="99" t="s">
        <v>119</v>
      </c>
      <c r="E47" s="99" t="s">
        <v>270</v>
      </c>
      <c r="F47" s="119" t="s">
        <v>271</v>
      </c>
      <c r="G47" s="287">
        <v>45017.0</v>
      </c>
      <c r="H47" s="105">
        <v>99.0</v>
      </c>
      <c r="I47" s="99" t="s">
        <v>206</v>
      </c>
      <c r="J47" s="135" t="s">
        <v>267</v>
      </c>
      <c r="K47" s="67"/>
      <c r="L47" s="67"/>
    </row>
    <row r="48">
      <c r="A48" s="67"/>
      <c r="B48" s="99"/>
      <c r="C48" s="99" t="s">
        <v>99</v>
      </c>
      <c r="D48" s="99" t="s">
        <v>111</v>
      </c>
      <c r="E48" s="99" t="s">
        <v>222</v>
      </c>
      <c r="F48" s="119" t="s">
        <v>223</v>
      </c>
      <c r="G48" s="287">
        <v>45047.0</v>
      </c>
      <c r="H48" s="105">
        <v>23.0</v>
      </c>
      <c r="I48" s="99" t="s">
        <v>208</v>
      </c>
      <c r="J48" s="135" t="s">
        <v>275</v>
      </c>
      <c r="K48" s="67"/>
      <c r="L48" s="67"/>
    </row>
    <row r="49">
      <c r="A49" s="67"/>
      <c r="B49" s="99"/>
      <c r="C49" s="99" t="s">
        <v>99</v>
      </c>
      <c r="D49" s="99" t="s">
        <v>118</v>
      </c>
      <c r="E49" s="99" t="s">
        <v>265</v>
      </c>
      <c r="F49" s="119" t="s">
        <v>266</v>
      </c>
      <c r="G49" s="287">
        <v>45047.0</v>
      </c>
      <c r="H49" s="105">
        <v>207.0</v>
      </c>
      <c r="I49" s="99" t="s">
        <v>206</v>
      </c>
      <c r="J49" s="135" t="s">
        <v>267</v>
      </c>
      <c r="K49" s="67"/>
      <c r="L49" s="67"/>
    </row>
    <row r="50">
      <c r="A50" s="67"/>
      <c r="B50" s="99"/>
      <c r="C50" s="99" t="s">
        <v>99</v>
      </c>
      <c r="D50" s="99" t="s">
        <v>118</v>
      </c>
      <c r="E50" s="99" t="s">
        <v>268</v>
      </c>
      <c r="F50" s="119" t="s">
        <v>269</v>
      </c>
      <c r="G50" s="287">
        <v>45047.0</v>
      </c>
      <c r="H50" s="105">
        <v>110.0</v>
      </c>
      <c r="I50" s="99" t="s">
        <v>206</v>
      </c>
      <c r="J50" s="135" t="s">
        <v>263</v>
      </c>
      <c r="K50" s="67"/>
      <c r="L50" s="67"/>
    </row>
    <row r="51">
      <c r="A51" s="67"/>
      <c r="B51" s="99"/>
      <c r="C51" s="99" t="s">
        <v>99</v>
      </c>
      <c r="D51" s="99" t="s">
        <v>119</v>
      </c>
      <c r="E51" s="99" t="s">
        <v>232</v>
      </c>
      <c r="F51" s="119" t="s">
        <v>233</v>
      </c>
      <c r="G51" s="287">
        <v>45047.0</v>
      </c>
      <c r="H51" s="105">
        <v>15.0</v>
      </c>
      <c r="I51" s="99" t="s">
        <v>208</v>
      </c>
      <c r="J51" s="135" t="s">
        <v>161</v>
      </c>
      <c r="K51" s="67"/>
      <c r="L51" s="67"/>
    </row>
    <row r="52">
      <c r="A52" s="67"/>
      <c r="B52" s="99"/>
      <c r="C52" s="99" t="s">
        <v>99</v>
      </c>
      <c r="D52" s="99" t="s">
        <v>119</v>
      </c>
      <c r="E52" s="99" t="s">
        <v>261</v>
      </c>
      <c r="F52" s="119" t="s">
        <v>262</v>
      </c>
      <c r="G52" s="287">
        <v>45047.0</v>
      </c>
      <c r="H52" s="105">
        <v>213.0</v>
      </c>
      <c r="I52" s="99" t="s">
        <v>206</v>
      </c>
      <c r="J52" s="135" t="s">
        <v>263</v>
      </c>
      <c r="K52" s="67"/>
      <c r="L52" s="67"/>
    </row>
    <row r="53">
      <c r="A53" s="67"/>
      <c r="B53" s="99"/>
      <c r="C53" s="99" t="s">
        <v>99</v>
      </c>
      <c r="D53" s="99" t="s">
        <v>119</v>
      </c>
      <c r="E53" s="99" t="s">
        <v>270</v>
      </c>
      <c r="F53" s="119" t="s">
        <v>271</v>
      </c>
      <c r="G53" s="287">
        <v>45047.0</v>
      </c>
      <c r="H53" s="105">
        <v>192.0</v>
      </c>
      <c r="I53" s="99" t="s">
        <v>206</v>
      </c>
      <c r="J53" s="135" t="s">
        <v>267</v>
      </c>
      <c r="K53" s="67"/>
      <c r="L53" s="67"/>
    </row>
    <row r="54">
      <c r="A54" s="67"/>
      <c r="B54" s="99"/>
      <c r="C54" s="99" t="s">
        <v>99</v>
      </c>
      <c r="D54" s="99" t="s">
        <v>127</v>
      </c>
      <c r="E54" s="99" t="s">
        <v>238</v>
      </c>
      <c r="F54" s="119" t="s">
        <v>239</v>
      </c>
      <c r="G54" s="287">
        <v>45047.0</v>
      </c>
      <c r="H54" s="105">
        <v>48.0</v>
      </c>
      <c r="I54" s="99" t="s">
        <v>205</v>
      </c>
      <c r="J54" s="135" t="s">
        <v>240</v>
      </c>
      <c r="K54" s="67"/>
      <c r="L54" s="67"/>
    </row>
    <row r="55">
      <c r="A55" s="67"/>
      <c r="B55" s="99"/>
      <c r="C55" s="99" t="s">
        <v>99</v>
      </c>
      <c r="D55" s="99" t="s">
        <v>111</v>
      </c>
      <c r="E55" s="99" t="s">
        <v>222</v>
      </c>
      <c r="F55" s="119" t="s">
        <v>223</v>
      </c>
      <c r="G55" s="287">
        <v>45078.0</v>
      </c>
      <c r="H55" s="105">
        <v>9.0</v>
      </c>
      <c r="I55" s="99" t="s">
        <v>208</v>
      </c>
      <c r="J55" s="135" t="s">
        <v>275</v>
      </c>
      <c r="K55" s="67"/>
      <c r="L55" s="67"/>
    </row>
    <row r="56">
      <c r="A56" s="67"/>
      <c r="B56" s="99"/>
      <c r="C56" s="99" t="s">
        <v>99</v>
      </c>
      <c r="D56" s="99" t="s">
        <v>127</v>
      </c>
      <c r="E56" s="99" t="s">
        <v>232</v>
      </c>
      <c r="F56" s="119" t="s">
        <v>233</v>
      </c>
      <c r="G56" s="287">
        <v>45078.0</v>
      </c>
      <c r="H56" s="105">
        <v>22.0</v>
      </c>
      <c r="I56" s="99" t="s">
        <v>208</v>
      </c>
      <c r="J56" s="135" t="s">
        <v>161</v>
      </c>
      <c r="K56" s="67"/>
      <c r="L56" s="67"/>
    </row>
    <row r="57">
      <c r="A57" s="67"/>
      <c r="B57" s="99"/>
      <c r="C57" s="99" t="s">
        <v>99</v>
      </c>
      <c r="D57" s="99" t="s">
        <v>127</v>
      </c>
      <c r="E57" s="99" t="s">
        <v>265</v>
      </c>
      <c r="F57" s="119" t="s">
        <v>266</v>
      </c>
      <c r="G57" s="287">
        <v>45078.0</v>
      </c>
      <c r="H57" s="105">
        <v>206.0</v>
      </c>
      <c r="I57" s="99" t="s">
        <v>205</v>
      </c>
      <c r="J57" s="135" t="s">
        <v>240</v>
      </c>
      <c r="K57" s="67"/>
      <c r="L57" s="67"/>
    </row>
    <row r="58">
      <c r="A58" s="67"/>
      <c r="B58" s="99"/>
      <c r="C58" s="99" t="s">
        <v>99</v>
      </c>
      <c r="D58" s="99" t="s">
        <v>127</v>
      </c>
      <c r="E58" s="99" t="s">
        <v>268</v>
      </c>
      <c r="F58" s="119" t="s">
        <v>269</v>
      </c>
      <c r="G58" s="287">
        <v>45078.0</v>
      </c>
      <c r="H58" s="105">
        <v>219.0</v>
      </c>
      <c r="I58" s="99" t="s">
        <v>206</v>
      </c>
      <c r="J58" s="135" t="s">
        <v>263</v>
      </c>
      <c r="K58" s="67"/>
      <c r="L58" s="67"/>
    </row>
    <row r="59">
      <c r="A59" s="67"/>
      <c r="B59" s="99"/>
      <c r="C59" s="99" t="s">
        <v>99</v>
      </c>
      <c r="D59" s="99" t="s">
        <v>127</v>
      </c>
      <c r="E59" s="99" t="s">
        <v>261</v>
      </c>
      <c r="F59" s="119" t="s">
        <v>262</v>
      </c>
      <c r="G59" s="287">
        <v>45078.0</v>
      </c>
      <c r="H59" s="105">
        <v>219.0</v>
      </c>
      <c r="I59" s="99" t="s">
        <v>206</v>
      </c>
      <c r="J59" s="135" t="s">
        <v>263</v>
      </c>
      <c r="K59" s="67"/>
      <c r="L59" s="67"/>
    </row>
    <row r="60">
      <c r="A60" s="67"/>
      <c r="B60" s="99"/>
      <c r="C60" s="99" t="s">
        <v>99</v>
      </c>
      <c r="D60" s="99" t="s">
        <v>127</v>
      </c>
      <c r="E60" s="99" t="s">
        <v>270</v>
      </c>
      <c r="F60" s="119" t="s">
        <v>271</v>
      </c>
      <c r="G60" s="287">
        <v>45078.0</v>
      </c>
      <c r="H60" s="105">
        <v>211.0</v>
      </c>
      <c r="I60" s="99" t="s">
        <v>206</v>
      </c>
      <c r="J60" s="135" t="s">
        <v>267</v>
      </c>
      <c r="K60" s="67"/>
      <c r="L60" s="67"/>
    </row>
    <row r="61">
      <c r="A61" s="67"/>
      <c r="B61" s="99"/>
      <c r="C61" s="99" t="s">
        <v>99</v>
      </c>
      <c r="D61" s="99" t="s">
        <v>127</v>
      </c>
      <c r="E61" s="99" t="s">
        <v>238</v>
      </c>
      <c r="F61" s="119" t="s">
        <v>239</v>
      </c>
      <c r="G61" s="287">
        <v>45078.0</v>
      </c>
      <c r="H61" s="105">
        <v>8.0</v>
      </c>
      <c r="I61" s="99" t="s">
        <v>205</v>
      </c>
      <c r="J61" s="135" t="s">
        <v>240</v>
      </c>
      <c r="K61" s="67"/>
      <c r="L61" s="67"/>
    </row>
    <row r="62">
      <c r="A62" s="67"/>
      <c r="B62" s="99"/>
      <c r="C62" s="99" t="s">
        <v>99</v>
      </c>
      <c r="D62" s="99" t="s">
        <v>133</v>
      </c>
      <c r="E62" s="99" t="s">
        <v>222</v>
      </c>
      <c r="F62" s="119" t="s">
        <v>223</v>
      </c>
      <c r="G62" s="287">
        <v>45108.0</v>
      </c>
      <c r="H62" s="105">
        <v>4.0</v>
      </c>
      <c r="I62" s="99" t="s">
        <v>205</v>
      </c>
      <c r="J62" s="135" t="s">
        <v>240</v>
      </c>
      <c r="K62" s="67"/>
      <c r="L62" s="67"/>
    </row>
    <row r="63">
      <c r="A63" s="67"/>
      <c r="B63" s="99"/>
      <c r="C63" s="99" t="s">
        <v>99</v>
      </c>
      <c r="D63" s="99" t="s">
        <v>133</v>
      </c>
      <c r="E63" s="99" t="s">
        <v>265</v>
      </c>
      <c r="F63" s="119" t="s">
        <v>266</v>
      </c>
      <c r="G63" s="287">
        <v>45108.0</v>
      </c>
      <c r="H63" s="105">
        <v>204.0</v>
      </c>
      <c r="I63" s="99" t="s">
        <v>205</v>
      </c>
      <c r="J63" s="135" t="s">
        <v>240</v>
      </c>
      <c r="K63" s="67"/>
      <c r="L63" s="67"/>
    </row>
    <row r="64">
      <c r="A64" s="67"/>
      <c r="B64" s="99"/>
      <c r="C64" s="99" t="s">
        <v>99</v>
      </c>
      <c r="D64" s="99" t="s">
        <v>133</v>
      </c>
      <c r="E64" s="99" t="s">
        <v>268</v>
      </c>
      <c r="F64" s="119" t="s">
        <v>269</v>
      </c>
      <c r="G64" s="287">
        <v>45108.0</v>
      </c>
      <c r="H64" s="105">
        <v>161.0</v>
      </c>
      <c r="I64" s="99" t="s">
        <v>206</v>
      </c>
      <c r="J64" s="135" t="s">
        <v>263</v>
      </c>
      <c r="K64" s="67"/>
      <c r="L64" s="67"/>
    </row>
    <row r="65">
      <c r="A65" s="67"/>
      <c r="B65" s="99"/>
      <c r="C65" s="99" t="s">
        <v>99</v>
      </c>
      <c r="D65" s="99" t="s">
        <v>133</v>
      </c>
      <c r="E65" s="99" t="s">
        <v>261</v>
      </c>
      <c r="F65" s="119" t="s">
        <v>262</v>
      </c>
      <c r="G65" s="287">
        <v>45108.0</v>
      </c>
      <c r="H65" s="105">
        <v>160.0</v>
      </c>
      <c r="I65" s="99" t="s">
        <v>206</v>
      </c>
      <c r="J65" s="135" t="s">
        <v>263</v>
      </c>
      <c r="K65" s="67"/>
      <c r="L65" s="67"/>
    </row>
    <row r="66">
      <c r="A66" s="67"/>
      <c r="B66" s="99"/>
      <c r="C66" s="99" t="s">
        <v>99</v>
      </c>
      <c r="D66" s="99" t="s">
        <v>133</v>
      </c>
      <c r="E66" s="99" t="s">
        <v>270</v>
      </c>
      <c r="F66" s="119" t="s">
        <v>271</v>
      </c>
      <c r="G66" s="287">
        <v>45108.0</v>
      </c>
      <c r="H66" s="105">
        <v>205.0</v>
      </c>
      <c r="I66" s="99" t="s">
        <v>206</v>
      </c>
      <c r="J66" s="135" t="s">
        <v>267</v>
      </c>
      <c r="K66" s="67"/>
      <c r="L66" s="67"/>
    </row>
    <row r="67">
      <c r="A67" s="67"/>
      <c r="B67" s="99"/>
      <c r="C67" s="99" t="s">
        <v>99</v>
      </c>
      <c r="D67" s="99" t="s">
        <v>133</v>
      </c>
      <c r="E67" s="99" t="s">
        <v>238</v>
      </c>
      <c r="F67" s="119" t="s">
        <v>239</v>
      </c>
      <c r="G67" s="287">
        <v>45108.0</v>
      </c>
      <c r="H67" s="105">
        <v>26.0</v>
      </c>
      <c r="I67" s="99" t="s">
        <v>205</v>
      </c>
      <c r="J67" s="135" t="s">
        <v>240</v>
      </c>
      <c r="K67" s="67"/>
      <c r="L67" s="67"/>
    </row>
    <row r="68">
      <c r="A68" s="67"/>
      <c r="B68" s="99"/>
      <c r="C68" s="99" t="s">
        <v>99</v>
      </c>
      <c r="D68" s="99" t="s">
        <v>141</v>
      </c>
      <c r="E68" s="99" t="s">
        <v>247</v>
      </c>
      <c r="F68" s="119" t="s">
        <v>248</v>
      </c>
      <c r="G68" s="287">
        <v>45108.0</v>
      </c>
      <c r="H68" s="105">
        <v>40.0</v>
      </c>
      <c r="I68" s="99" t="s">
        <v>205</v>
      </c>
      <c r="J68" s="135" t="s">
        <v>276</v>
      </c>
      <c r="K68" s="67"/>
      <c r="L68" s="67"/>
    </row>
    <row r="69">
      <c r="A69" s="67"/>
      <c r="B69" s="99"/>
      <c r="C69" s="99" t="s">
        <v>99</v>
      </c>
      <c r="D69" s="99" t="s">
        <v>133</v>
      </c>
      <c r="E69" s="99" t="s">
        <v>222</v>
      </c>
      <c r="F69" s="119" t="s">
        <v>223</v>
      </c>
      <c r="G69" s="287">
        <v>45139.0</v>
      </c>
      <c r="H69" s="105">
        <v>6.0</v>
      </c>
      <c r="I69" s="99" t="s">
        <v>205</v>
      </c>
      <c r="J69" s="135" t="s">
        <v>240</v>
      </c>
      <c r="K69" s="67"/>
      <c r="L69" s="67"/>
    </row>
    <row r="70">
      <c r="A70" s="67"/>
      <c r="B70" s="99"/>
      <c r="C70" s="99" t="s">
        <v>99</v>
      </c>
      <c r="D70" s="99" t="s">
        <v>133</v>
      </c>
      <c r="E70" s="99" t="s">
        <v>265</v>
      </c>
      <c r="F70" s="119" t="s">
        <v>266</v>
      </c>
      <c r="G70" s="287">
        <v>45139.0</v>
      </c>
      <c r="H70" s="105">
        <v>199.0</v>
      </c>
      <c r="I70" s="99" t="s">
        <v>205</v>
      </c>
      <c r="J70" s="135" t="s">
        <v>240</v>
      </c>
      <c r="K70" s="67"/>
      <c r="L70" s="67"/>
    </row>
    <row r="71">
      <c r="A71" s="67"/>
      <c r="B71" s="99"/>
      <c r="C71" s="99" t="s">
        <v>99</v>
      </c>
      <c r="D71" s="99" t="s">
        <v>133</v>
      </c>
      <c r="E71" s="99" t="s">
        <v>268</v>
      </c>
      <c r="F71" s="119" t="s">
        <v>269</v>
      </c>
      <c r="G71" s="287">
        <v>45139.0</v>
      </c>
      <c r="H71" s="105">
        <v>214.0</v>
      </c>
      <c r="I71" s="99" t="s">
        <v>206</v>
      </c>
      <c r="J71" s="135" t="s">
        <v>263</v>
      </c>
      <c r="K71" s="67"/>
      <c r="L71" s="67"/>
    </row>
    <row r="72">
      <c r="A72" s="67"/>
      <c r="B72" s="99"/>
      <c r="C72" s="99" t="s">
        <v>99</v>
      </c>
      <c r="D72" s="99" t="s">
        <v>133</v>
      </c>
      <c r="E72" s="99" t="s">
        <v>261</v>
      </c>
      <c r="F72" s="119" t="s">
        <v>262</v>
      </c>
      <c r="G72" s="287">
        <v>45139.0</v>
      </c>
      <c r="H72" s="105">
        <v>107.0</v>
      </c>
      <c r="I72" s="99" t="s">
        <v>206</v>
      </c>
      <c r="J72" s="135" t="s">
        <v>263</v>
      </c>
      <c r="K72" s="67"/>
      <c r="L72" s="67"/>
    </row>
    <row r="73">
      <c r="A73" s="67"/>
      <c r="B73" s="99"/>
      <c r="C73" s="99" t="s">
        <v>99</v>
      </c>
      <c r="D73" s="99" t="s">
        <v>133</v>
      </c>
      <c r="E73" s="99" t="s">
        <v>270</v>
      </c>
      <c r="F73" s="119" t="s">
        <v>271</v>
      </c>
      <c r="G73" s="287">
        <v>45139.0</v>
      </c>
      <c r="H73" s="105">
        <v>209.0</v>
      </c>
      <c r="I73" s="99" t="s">
        <v>206</v>
      </c>
      <c r="J73" s="135" t="s">
        <v>267</v>
      </c>
      <c r="K73" s="67"/>
      <c r="L73" s="67"/>
    </row>
    <row r="74">
      <c r="A74" s="67"/>
      <c r="B74" s="99"/>
      <c r="C74" s="99" t="s">
        <v>99</v>
      </c>
      <c r="D74" s="99" t="s">
        <v>133</v>
      </c>
      <c r="E74" s="99" t="s">
        <v>238</v>
      </c>
      <c r="F74" s="119" t="s">
        <v>239</v>
      </c>
      <c r="G74" s="287">
        <v>45139.0</v>
      </c>
      <c r="H74" s="105">
        <v>80.0</v>
      </c>
      <c r="I74" s="99" t="s">
        <v>205</v>
      </c>
      <c r="J74" s="135" t="s">
        <v>240</v>
      </c>
      <c r="K74" s="67"/>
      <c r="L74" s="67"/>
    </row>
    <row r="75">
      <c r="A75" s="67"/>
      <c r="B75" s="99"/>
      <c r="C75" s="99" t="s">
        <v>99</v>
      </c>
      <c r="D75" s="99" t="s">
        <v>133</v>
      </c>
      <c r="E75" s="99" t="s">
        <v>256</v>
      </c>
      <c r="F75" s="119" t="s">
        <v>257</v>
      </c>
      <c r="G75" s="287">
        <v>45139.0</v>
      </c>
      <c r="H75" s="105">
        <v>22.0</v>
      </c>
      <c r="I75" s="99" t="s">
        <v>208</v>
      </c>
      <c r="J75" s="135" t="s">
        <v>161</v>
      </c>
      <c r="K75" s="67"/>
      <c r="L75" s="67"/>
    </row>
    <row r="76">
      <c r="A76" s="67"/>
      <c r="B76" s="99"/>
      <c r="C76" s="99" t="s">
        <v>99</v>
      </c>
      <c r="D76" s="99" t="s">
        <v>141</v>
      </c>
      <c r="E76" s="99" t="s">
        <v>272</v>
      </c>
      <c r="F76" s="119" t="s">
        <v>273</v>
      </c>
      <c r="G76" s="287">
        <v>45139.0</v>
      </c>
      <c r="H76" s="105">
        <v>1.0</v>
      </c>
      <c r="I76" s="99" t="s">
        <v>208</v>
      </c>
      <c r="J76" s="135" t="s">
        <v>224</v>
      </c>
      <c r="K76" s="67"/>
      <c r="L76" s="67"/>
    </row>
    <row r="77">
      <c r="A77" s="67"/>
      <c r="B77" s="99"/>
      <c r="C77" s="99" t="s">
        <v>99</v>
      </c>
      <c r="D77" s="99" t="s">
        <v>141</v>
      </c>
      <c r="E77" s="99" t="s">
        <v>247</v>
      </c>
      <c r="F77" s="119" t="s">
        <v>248</v>
      </c>
      <c r="G77" s="287">
        <v>45139.0</v>
      </c>
      <c r="H77" s="105">
        <v>18.0</v>
      </c>
      <c r="I77" s="99" t="s">
        <v>205</v>
      </c>
      <c r="J77" s="135" t="s">
        <v>276</v>
      </c>
      <c r="K77" s="67"/>
      <c r="L77" s="67"/>
    </row>
    <row r="78">
      <c r="A78" s="67"/>
      <c r="B78" s="99"/>
      <c r="C78" s="99" t="s">
        <v>99</v>
      </c>
      <c r="D78" s="99" t="s">
        <v>133</v>
      </c>
      <c r="E78" s="99" t="s">
        <v>270</v>
      </c>
      <c r="F78" s="119" t="s">
        <v>271</v>
      </c>
      <c r="G78" s="287">
        <v>45170.0</v>
      </c>
      <c r="H78" s="105">
        <v>226.0</v>
      </c>
      <c r="I78" s="99" t="s">
        <v>206</v>
      </c>
      <c r="J78" s="135" t="s">
        <v>267</v>
      </c>
      <c r="K78" s="67"/>
      <c r="L78" s="67"/>
    </row>
    <row r="79">
      <c r="A79" s="67"/>
      <c r="B79" s="99"/>
      <c r="C79" s="99" t="s">
        <v>99</v>
      </c>
      <c r="D79" s="99" t="s">
        <v>133</v>
      </c>
      <c r="E79" s="99" t="s">
        <v>238</v>
      </c>
      <c r="F79" s="119" t="s">
        <v>239</v>
      </c>
      <c r="G79" s="287">
        <v>45170.0</v>
      </c>
      <c r="H79" s="105">
        <v>24.0</v>
      </c>
      <c r="I79" s="99" t="s">
        <v>205</v>
      </c>
      <c r="J79" s="135" t="s">
        <v>240</v>
      </c>
      <c r="K79" s="67"/>
      <c r="L79" s="67"/>
    </row>
    <row r="80">
      <c r="A80" s="67"/>
      <c r="B80" s="99"/>
      <c r="C80" s="99" t="s">
        <v>99</v>
      </c>
      <c r="D80" s="99" t="s">
        <v>133</v>
      </c>
      <c r="E80" s="99" t="s">
        <v>256</v>
      </c>
      <c r="F80" s="119" t="s">
        <v>257</v>
      </c>
      <c r="G80" s="287">
        <v>45170.0</v>
      </c>
      <c r="H80" s="105">
        <v>68.0</v>
      </c>
      <c r="I80" s="99" t="s">
        <v>208</v>
      </c>
      <c r="J80" s="135" t="s">
        <v>161</v>
      </c>
      <c r="K80" s="67"/>
      <c r="L80" s="67"/>
    </row>
    <row r="81">
      <c r="A81" s="67"/>
      <c r="B81" s="99"/>
      <c r="C81" s="99" t="s">
        <v>99</v>
      </c>
      <c r="D81" s="99" t="s">
        <v>141</v>
      </c>
      <c r="E81" s="99" t="s">
        <v>247</v>
      </c>
      <c r="F81" s="119" t="s">
        <v>248</v>
      </c>
      <c r="G81" s="288">
        <v>45170.0</v>
      </c>
      <c r="H81" s="119">
        <v>102.0</v>
      </c>
      <c r="I81" s="99" t="s">
        <v>205</v>
      </c>
      <c r="J81" s="135" t="s">
        <v>276</v>
      </c>
      <c r="K81" s="67"/>
      <c r="L81" s="67"/>
    </row>
    <row r="82">
      <c r="A82" s="67"/>
      <c r="B82" s="99"/>
      <c r="C82" s="99" t="s">
        <v>99</v>
      </c>
      <c r="D82" s="99" t="s">
        <v>146</v>
      </c>
      <c r="E82" s="99" t="s">
        <v>268</v>
      </c>
      <c r="F82" s="119" t="s">
        <v>269</v>
      </c>
      <c r="G82" s="288">
        <v>45170.0</v>
      </c>
      <c r="H82" s="119">
        <v>175.0</v>
      </c>
      <c r="I82" s="99" t="s">
        <v>206</v>
      </c>
      <c r="J82" s="135" t="s">
        <v>263</v>
      </c>
      <c r="K82" s="67"/>
      <c r="L82" s="67"/>
    </row>
    <row r="83">
      <c r="A83" s="67"/>
      <c r="B83" s="99"/>
      <c r="C83" s="99" t="s">
        <v>99</v>
      </c>
      <c r="D83" s="99" t="s">
        <v>136</v>
      </c>
      <c r="E83" s="99" t="s">
        <v>222</v>
      </c>
      <c r="F83" s="119" t="s">
        <v>223</v>
      </c>
      <c r="G83" s="288">
        <v>45170.0</v>
      </c>
      <c r="H83" s="119">
        <v>3.0</v>
      </c>
      <c r="I83" s="99" t="s">
        <v>205</v>
      </c>
      <c r="J83" s="135" t="s">
        <v>240</v>
      </c>
      <c r="K83" s="67"/>
      <c r="L83" s="67"/>
    </row>
    <row r="84">
      <c r="A84" s="67"/>
      <c r="B84" s="99"/>
      <c r="C84" s="99" t="s">
        <v>99</v>
      </c>
      <c r="D84" s="99" t="s">
        <v>136</v>
      </c>
      <c r="E84" s="99" t="s">
        <v>265</v>
      </c>
      <c r="F84" s="119" t="s">
        <v>266</v>
      </c>
      <c r="G84" s="288">
        <v>45170.0</v>
      </c>
      <c r="H84" s="119">
        <v>124.0</v>
      </c>
      <c r="I84" s="99" t="s">
        <v>205</v>
      </c>
      <c r="J84" s="135" t="s">
        <v>240</v>
      </c>
      <c r="K84" s="67"/>
      <c r="L84" s="67"/>
    </row>
    <row r="85">
      <c r="A85" s="67"/>
      <c r="B85" s="99"/>
      <c r="C85" s="99" t="s">
        <v>99</v>
      </c>
      <c r="D85" s="99" t="s">
        <v>136</v>
      </c>
      <c r="E85" s="99" t="s">
        <v>261</v>
      </c>
      <c r="F85" s="119" t="s">
        <v>262</v>
      </c>
      <c r="G85" s="288">
        <v>45170.0</v>
      </c>
      <c r="H85" s="119">
        <v>190.0</v>
      </c>
      <c r="I85" s="99" t="s">
        <v>205</v>
      </c>
      <c r="J85" s="135" t="s">
        <v>240</v>
      </c>
      <c r="K85" s="67"/>
      <c r="L85" s="67"/>
    </row>
    <row r="86">
      <c r="A86" s="67"/>
      <c r="B86" s="99"/>
      <c r="C86" s="99" t="s">
        <v>99</v>
      </c>
      <c r="D86" s="99" t="s">
        <v>141</v>
      </c>
      <c r="E86" s="99" t="s">
        <v>247</v>
      </c>
      <c r="F86" s="119" t="s">
        <v>248</v>
      </c>
      <c r="G86" s="288">
        <v>45200.0</v>
      </c>
      <c r="H86" s="119">
        <v>66.0</v>
      </c>
      <c r="I86" s="99" t="s">
        <v>205</v>
      </c>
      <c r="J86" s="135" t="s">
        <v>276</v>
      </c>
      <c r="K86" s="67"/>
      <c r="L86" s="67"/>
    </row>
    <row r="87">
      <c r="A87" s="67"/>
      <c r="B87" s="99"/>
      <c r="C87" s="99" t="s">
        <v>99</v>
      </c>
      <c r="D87" s="99" t="s">
        <v>146</v>
      </c>
      <c r="E87" s="99" t="s">
        <v>268</v>
      </c>
      <c r="F87" s="119" t="s">
        <v>269</v>
      </c>
      <c r="G87" s="288">
        <v>45200.0</v>
      </c>
      <c r="H87" s="119">
        <v>120.0</v>
      </c>
      <c r="I87" s="99" t="s">
        <v>206</v>
      </c>
      <c r="J87" s="135" t="s">
        <v>263</v>
      </c>
      <c r="K87" s="67"/>
      <c r="L87" s="67"/>
    </row>
    <row r="88">
      <c r="A88" s="67"/>
      <c r="B88" s="99"/>
      <c r="C88" s="99" t="s">
        <v>99</v>
      </c>
      <c r="D88" s="99" t="s">
        <v>146</v>
      </c>
      <c r="E88" s="99" t="s">
        <v>256</v>
      </c>
      <c r="F88" s="119" t="s">
        <v>257</v>
      </c>
      <c r="G88" s="288">
        <v>45200.0</v>
      </c>
      <c r="H88" s="119">
        <v>64.0</v>
      </c>
      <c r="I88" s="99" t="s">
        <v>208</v>
      </c>
      <c r="J88" s="135" t="s">
        <v>161</v>
      </c>
      <c r="K88" s="67"/>
      <c r="L88" s="67"/>
    </row>
    <row r="89">
      <c r="A89" s="67"/>
      <c r="B89" s="99"/>
      <c r="C89" s="99" t="s">
        <v>99</v>
      </c>
      <c r="D89" s="99" t="s">
        <v>150</v>
      </c>
      <c r="E89" s="99" t="s">
        <v>261</v>
      </c>
      <c r="F89" s="119" t="s">
        <v>262</v>
      </c>
      <c r="G89" s="288">
        <v>45200.0</v>
      </c>
      <c r="H89" s="119">
        <v>201.0</v>
      </c>
      <c r="I89" s="99" t="s">
        <v>206</v>
      </c>
      <c r="J89" s="135" t="s">
        <v>263</v>
      </c>
      <c r="K89" s="67"/>
      <c r="L89" s="67"/>
    </row>
    <row r="90">
      <c r="A90" s="67"/>
      <c r="B90" s="99"/>
      <c r="C90" s="99" t="s">
        <v>99</v>
      </c>
      <c r="D90" s="99" t="s">
        <v>150</v>
      </c>
      <c r="E90" s="99" t="s">
        <v>270</v>
      </c>
      <c r="F90" s="119" t="s">
        <v>271</v>
      </c>
      <c r="G90" s="288">
        <v>45200.0</v>
      </c>
      <c r="H90" s="119">
        <v>223.0</v>
      </c>
      <c r="I90" s="99" t="s">
        <v>206</v>
      </c>
      <c r="J90" s="135" t="s">
        <v>267</v>
      </c>
      <c r="K90" s="67"/>
      <c r="L90" s="67"/>
    </row>
    <row r="91">
      <c r="A91" s="67"/>
      <c r="B91" s="99"/>
      <c r="C91" s="99" t="s">
        <v>99</v>
      </c>
      <c r="D91" s="99" t="s">
        <v>150</v>
      </c>
      <c r="E91" s="99" t="s">
        <v>265</v>
      </c>
      <c r="F91" s="119" t="s">
        <v>266</v>
      </c>
      <c r="G91" s="288">
        <v>45200.0</v>
      </c>
      <c r="H91" s="119">
        <v>181.0</v>
      </c>
      <c r="I91" s="99" t="s">
        <v>205</v>
      </c>
      <c r="J91" s="135" t="s">
        <v>240</v>
      </c>
      <c r="K91" s="67"/>
      <c r="L91" s="67"/>
    </row>
    <row r="92">
      <c r="A92" s="67"/>
      <c r="B92" s="99"/>
      <c r="C92" s="99" t="s">
        <v>99</v>
      </c>
      <c r="D92" s="99" t="s">
        <v>141</v>
      </c>
      <c r="E92" s="99" t="s">
        <v>247</v>
      </c>
      <c r="F92" s="119" t="s">
        <v>248</v>
      </c>
      <c r="G92" s="288">
        <v>45231.0</v>
      </c>
      <c r="H92" s="119">
        <v>43.0</v>
      </c>
      <c r="I92" s="99" t="s">
        <v>205</v>
      </c>
      <c r="J92" s="135" t="s">
        <v>276</v>
      </c>
      <c r="K92" s="67"/>
      <c r="L92" s="67"/>
    </row>
    <row r="93">
      <c r="A93" s="67"/>
      <c r="B93" s="99"/>
      <c r="C93" s="99" t="s">
        <v>99</v>
      </c>
      <c r="D93" s="99" t="s">
        <v>141</v>
      </c>
      <c r="E93" s="99" t="s">
        <v>272</v>
      </c>
      <c r="F93" s="119" t="s">
        <v>273</v>
      </c>
      <c r="G93" s="288">
        <v>45231.0</v>
      </c>
      <c r="H93" s="119">
        <v>2.0</v>
      </c>
      <c r="I93" s="99" t="s">
        <v>208</v>
      </c>
      <c r="J93" s="135" t="s">
        <v>224</v>
      </c>
      <c r="K93" s="67"/>
      <c r="L93" s="67"/>
    </row>
    <row r="94">
      <c r="A94" s="67"/>
      <c r="B94" s="99"/>
      <c r="C94" s="99" t="s">
        <v>99</v>
      </c>
      <c r="D94" s="99" t="s">
        <v>146</v>
      </c>
      <c r="E94" s="99" t="s">
        <v>268</v>
      </c>
      <c r="F94" s="119" t="s">
        <v>269</v>
      </c>
      <c r="G94" s="288">
        <v>45231.0</v>
      </c>
      <c r="H94" s="119">
        <v>186.0</v>
      </c>
      <c r="I94" s="99" t="s">
        <v>206</v>
      </c>
      <c r="J94" s="135" t="s">
        <v>263</v>
      </c>
      <c r="K94" s="67"/>
      <c r="L94" s="67"/>
    </row>
    <row r="95">
      <c r="A95" s="67"/>
      <c r="B95" s="99"/>
      <c r="C95" s="99" t="s">
        <v>99</v>
      </c>
      <c r="D95" s="99" t="s">
        <v>146</v>
      </c>
      <c r="E95" s="99" t="s">
        <v>256</v>
      </c>
      <c r="F95" s="119" t="s">
        <v>257</v>
      </c>
      <c r="G95" s="288">
        <v>45231.0</v>
      </c>
      <c r="H95" s="119">
        <v>21.0</v>
      </c>
      <c r="I95" s="99" t="s">
        <v>208</v>
      </c>
      <c r="J95" s="135" t="s">
        <v>161</v>
      </c>
      <c r="K95" s="67"/>
      <c r="L95" s="67"/>
    </row>
    <row r="96">
      <c r="A96" s="67"/>
      <c r="B96" s="99"/>
      <c r="C96" s="99" t="s">
        <v>99</v>
      </c>
      <c r="D96" s="99" t="s">
        <v>150</v>
      </c>
      <c r="E96" s="99" t="s">
        <v>261</v>
      </c>
      <c r="F96" s="119" t="s">
        <v>262</v>
      </c>
      <c r="G96" s="288">
        <v>45231.0</v>
      </c>
      <c r="H96" s="119">
        <v>140.0</v>
      </c>
      <c r="I96" s="99" t="s">
        <v>206</v>
      </c>
      <c r="J96" s="135" t="s">
        <v>263</v>
      </c>
      <c r="K96" s="67"/>
      <c r="L96" s="67"/>
    </row>
    <row r="97">
      <c r="A97" s="67"/>
      <c r="B97" s="99"/>
      <c r="C97" s="99" t="s">
        <v>99</v>
      </c>
      <c r="D97" s="99" t="s">
        <v>150</v>
      </c>
      <c r="E97" s="99" t="s">
        <v>270</v>
      </c>
      <c r="F97" s="119" t="s">
        <v>271</v>
      </c>
      <c r="G97" s="288">
        <v>45231.0</v>
      </c>
      <c r="H97" s="119">
        <v>199.0</v>
      </c>
      <c r="I97" s="99" t="s">
        <v>206</v>
      </c>
      <c r="J97" s="135" t="s">
        <v>267</v>
      </c>
      <c r="K97" s="67"/>
      <c r="L97" s="67"/>
    </row>
    <row r="98">
      <c r="A98" s="67"/>
      <c r="B98" s="99"/>
      <c r="C98" s="99" t="s">
        <v>99</v>
      </c>
      <c r="D98" s="99" t="s">
        <v>150</v>
      </c>
      <c r="E98" s="99" t="s">
        <v>265</v>
      </c>
      <c r="F98" s="119" t="s">
        <v>266</v>
      </c>
      <c r="G98" s="288">
        <v>45231.0</v>
      </c>
      <c r="H98" s="119">
        <v>179.0</v>
      </c>
      <c r="I98" s="99" t="s">
        <v>205</v>
      </c>
      <c r="J98" s="135" t="s">
        <v>240</v>
      </c>
      <c r="K98" s="67"/>
      <c r="L98" s="67"/>
    </row>
    <row r="99">
      <c r="A99" s="67"/>
      <c r="B99" s="99"/>
      <c r="C99" s="99" t="s">
        <v>99</v>
      </c>
      <c r="D99" s="99" t="s">
        <v>141</v>
      </c>
      <c r="E99" s="99" t="s">
        <v>247</v>
      </c>
      <c r="F99" s="119" t="s">
        <v>248</v>
      </c>
      <c r="G99" s="288">
        <v>45261.0</v>
      </c>
      <c r="H99" s="119">
        <v>7.0</v>
      </c>
      <c r="I99" s="99" t="s">
        <v>205</v>
      </c>
      <c r="J99" s="135" t="s">
        <v>276</v>
      </c>
      <c r="K99" s="67"/>
      <c r="L99" s="67"/>
    </row>
    <row r="100">
      <c r="A100" s="67"/>
      <c r="B100" s="99"/>
      <c r="C100" s="99" t="s">
        <v>99</v>
      </c>
      <c r="D100" s="99" t="s">
        <v>146</v>
      </c>
      <c r="E100" s="99" t="s">
        <v>268</v>
      </c>
      <c r="F100" s="119" t="s">
        <v>269</v>
      </c>
      <c r="G100" s="288">
        <v>45261.0</v>
      </c>
      <c r="H100" s="119">
        <v>55.0</v>
      </c>
      <c r="I100" s="99" t="s">
        <v>206</v>
      </c>
      <c r="J100" s="135" t="s">
        <v>263</v>
      </c>
      <c r="K100" s="67"/>
      <c r="L100" s="67"/>
    </row>
    <row r="101">
      <c r="A101" s="67"/>
      <c r="B101" s="99"/>
      <c r="C101" s="99" t="s">
        <v>99</v>
      </c>
      <c r="D101" s="99" t="s">
        <v>146</v>
      </c>
      <c r="E101" s="99" t="s">
        <v>256</v>
      </c>
      <c r="F101" s="119" t="s">
        <v>257</v>
      </c>
      <c r="G101" s="288">
        <v>45261.0</v>
      </c>
      <c r="H101" s="119">
        <v>24.0</v>
      </c>
      <c r="I101" s="99" t="s">
        <v>208</v>
      </c>
      <c r="J101" s="135" t="s">
        <v>161</v>
      </c>
      <c r="K101" s="67"/>
      <c r="L101" s="67"/>
    </row>
    <row r="102">
      <c r="A102" s="67"/>
      <c r="B102" s="99"/>
      <c r="C102" s="99" t="s">
        <v>99</v>
      </c>
      <c r="D102" s="99" t="s">
        <v>150</v>
      </c>
      <c r="E102" s="99" t="s">
        <v>261</v>
      </c>
      <c r="F102" s="119" t="s">
        <v>262</v>
      </c>
      <c r="G102" s="288">
        <v>45261.0</v>
      </c>
      <c r="H102" s="119">
        <v>172.0</v>
      </c>
      <c r="I102" s="99" t="s">
        <v>206</v>
      </c>
      <c r="J102" s="135" t="s">
        <v>263</v>
      </c>
      <c r="K102" s="67"/>
      <c r="L102" s="67"/>
    </row>
    <row r="103">
      <c r="A103" s="67"/>
      <c r="B103" s="99"/>
      <c r="C103" s="99" t="s">
        <v>99</v>
      </c>
      <c r="D103" s="99" t="s">
        <v>150</v>
      </c>
      <c r="E103" s="99" t="s">
        <v>270</v>
      </c>
      <c r="F103" s="119" t="s">
        <v>271</v>
      </c>
      <c r="G103" s="288">
        <v>45261.0</v>
      </c>
      <c r="H103" s="119">
        <v>163.0</v>
      </c>
      <c r="I103" s="99" t="s">
        <v>206</v>
      </c>
      <c r="J103" s="135" t="s">
        <v>267</v>
      </c>
      <c r="K103" s="67"/>
      <c r="L103" s="67"/>
    </row>
    <row r="104">
      <c r="A104" s="67"/>
      <c r="B104" s="99"/>
      <c r="C104" s="99" t="s">
        <v>99</v>
      </c>
      <c r="D104" s="99" t="s">
        <v>150</v>
      </c>
      <c r="E104" s="99" t="s">
        <v>265</v>
      </c>
      <c r="F104" s="119" t="s">
        <v>266</v>
      </c>
      <c r="G104" s="288">
        <v>45261.0</v>
      </c>
      <c r="H104" s="119">
        <v>111.0</v>
      </c>
      <c r="I104" s="99" t="s">
        <v>205</v>
      </c>
      <c r="J104" s="135" t="s">
        <v>240</v>
      </c>
      <c r="K104" s="67"/>
      <c r="L104" s="67"/>
    </row>
    <row r="105">
      <c r="A105" s="67"/>
      <c r="B105" s="99"/>
      <c r="C105" s="99" t="s">
        <v>99</v>
      </c>
      <c r="D105" s="99" t="s">
        <v>136</v>
      </c>
      <c r="E105" s="99" t="s">
        <v>238</v>
      </c>
      <c r="F105" s="119" t="s">
        <v>239</v>
      </c>
      <c r="G105" s="288">
        <v>45261.0</v>
      </c>
      <c r="H105" s="119">
        <v>40.0</v>
      </c>
      <c r="I105" s="99" t="s">
        <v>205</v>
      </c>
      <c r="J105" s="135" t="s">
        <v>240</v>
      </c>
      <c r="K105" s="67"/>
      <c r="L105" s="67"/>
    </row>
    <row r="106">
      <c r="A106" s="67"/>
      <c r="B106" s="99"/>
      <c r="C106" s="99" t="s">
        <v>99</v>
      </c>
      <c r="D106" s="99" t="s">
        <v>136</v>
      </c>
      <c r="E106" s="99" t="s">
        <v>222</v>
      </c>
      <c r="F106" s="119" t="s">
        <v>223</v>
      </c>
      <c r="G106" s="288">
        <v>45261.0</v>
      </c>
      <c r="H106" s="119">
        <v>40.0</v>
      </c>
      <c r="I106" s="99" t="s">
        <v>205</v>
      </c>
      <c r="J106" s="135" t="s">
        <v>240</v>
      </c>
      <c r="K106" s="67"/>
      <c r="L106" s="67"/>
    </row>
  </sheetData>
  <autoFilter ref="$B$11:$J$106"/>
  <mergeCells count="1">
    <mergeCell ref="B5:D6"/>
  </mergeCells>
  <dataValidations>
    <dataValidation type="list" allowBlank="1" sqref="E12:E106">
      <formula1>NOTIFY!$E$28:$E$39</formula1>
    </dataValidation>
    <dataValidation type="list" allowBlank="1" sqref="I12:I106">
      <formula1>$I$6:$I$9</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sheetPr>
  <sheetViews>
    <sheetView showGridLines="0" workbookViewId="0"/>
  </sheetViews>
  <sheetFormatPr customHeight="1" defaultColWidth="12.63" defaultRowHeight="15.75"/>
  <cols>
    <col customWidth="1" min="1" max="1" width="2.63"/>
    <col customWidth="1" min="2" max="3" width="18.88"/>
    <col customWidth="1" min="4" max="4" width="31.38"/>
    <col customWidth="1" min="5" max="5" width="18.88"/>
    <col customWidth="1" min="6" max="7" width="12.63"/>
    <col customWidth="1" min="8" max="8" width="31.38"/>
    <col customWidth="1" min="9" max="10" width="5.13"/>
  </cols>
  <sheetData>
    <row r="1" ht="11.25" customHeight="1">
      <c r="A1" s="67"/>
      <c r="B1" s="67"/>
      <c r="C1" s="67"/>
      <c r="D1" s="67"/>
      <c r="E1" s="67"/>
      <c r="F1" s="68"/>
      <c r="G1" s="67"/>
      <c r="H1" s="67"/>
      <c r="I1" s="67"/>
      <c r="J1" s="67"/>
    </row>
    <row r="2">
      <c r="A2" s="67"/>
      <c r="B2" s="70" t="s">
        <v>56</v>
      </c>
      <c r="C2" s="70"/>
      <c r="D2" s="71"/>
      <c r="E2" s="71"/>
      <c r="F2" s="72"/>
      <c r="G2" s="67"/>
      <c r="H2" s="67"/>
      <c r="I2" s="67"/>
      <c r="J2" s="67"/>
    </row>
    <row r="3">
      <c r="A3" s="67"/>
      <c r="B3" s="79" t="s">
        <v>57</v>
      </c>
      <c r="C3" s="79"/>
      <c r="D3" s="71"/>
      <c r="E3" s="71"/>
      <c r="F3" s="72"/>
      <c r="G3" s="67"/>
      <c r="H3" s="67"/>
      <c r="I3" s="67"/>
      <c r="J3" s="67"/>
    </row>
    <row r="4">
      <c r="A4" s="67"/>
      <c r="B4" s="96" t="s">
        <v>457</v>
      </c>
      <c r="C4" s="96"/>
      <c r="D4" s="71"/>
      <c r="E4" s="71"/>
      <c r="F4" s="72"/>
      <c r="G4" s="67"/>
      <c r="H4" s="67"/>
      <c r="I4" s="67"/>
      <c r="J4" s="67"/>
    </row>
    <row r="5">
      <c r="A5" s="67"/>
      <c r="B5" s="76" t="s">
        <v>59</v>
      </c>
      <c r="E5" s="76"/>
      <c r="F5" s="76"/>
      <c r="G5" s="78"/>
      <c r="H5" s="67"/>
      <c r="I5" s="67"/>
      <c r="J5" s="67"/>
    </row>
    <row r="6">
      <c r="A6" s="67"/>
      <c r="E6" s="76"/>
      <c r="F6" s="76"/>
      <c r="G6" s="78"/>
      <c r="H6" s="67"/>
      <c r="I6" s="67"/>
      <c r="J6" s="67"/>
    </row>
    <row r="7">
      <c r="A7" s="67"/>
      <c r="B7" s="71"/>
      <c r="C7" s="71"/>
      <c r="D7" s="71"/>
      <c r="E7" s="71"/>
      <c r="F7" s="72"/>
      <c r="G7" s="78"/>
      <c r="H7" s="67"/>
      <c r="I7" s="67"/>
      <c r="J7" s="67"/>
    </row>
    <row r="8">
      <c r="A8" s="67"/>
      <c r="B8" s="70" t="s">
        <v>60</v>
      </c>
      <c r="C8" s="70"/>
      <c r="D8" s="71"/>
      <c r="E8" s="253" t="s">
        <v>418</v>
      </c>
      <c r="F8" s="72"/>
      <c r="G8" s="253" t="s">
        <v>419</v>
      </c>
      <c r="H8" s="67"/>
      <c r="I8" s="67"/>
      <c r="J8" s="67"/>
    </row>
    <row r="9">
      <c r="A9" s="67"/>
      <c r="B9" s="79" t="s">
        <v>420</v>
      </c>
      <c r="C9" s="79"/>
      <c r="D9" s="71"/>
      <c r="E9" s="254"/>
      <c r="F9" s="72"/>
      <c r="G9" s="254"/>
      <c r="H9" s="67"/>
      <c r="I9" s="67"/>
      <c r="J9" s="67"/>
    </row>
    <row r="10">
      <c r="A10" s="67"/>
      <c r="B10" s="67"/>
      <c r="C10" s="67"/>
      <c r="D10" s="67"/>
      <c r="E10" s="255"/>
      <c r="F10" s="68"/>
      <c r="G10" s="255"/>
      <c r="H10" s="67"/>
      <c r="I10" s="67"/>
      <c r="J10" s="67"/>
    </row>
    <row r="11">
      <c r="A11" s="67"/>
      <c r="B11" s="80" t="s">
        <v>62</v>
      </c>
      <c r="C11" s="80" t="s">
        <v>63</v>
      </c>
      <c r="D11" s="80" t="s">
        <v>421</v>
      </c>
      <c r="E11" s="80" t="s">
        <v>422</v>
      </c>
      <c r="F11" s="81" t="s">
        <v>423</v>
      </c>
      <c r="G11" s="81" t="s">
        <v>424</v>
      </c>
      <c r="H11" s="80" t="s">
        <v>425</v>
      </c>
      <c r="I11" s="98"/>
      <c r="J11" s="67"/>
    </row>
    <row r="12">
      <c r="A12" s="67"/>
      <c r="B12" s="99" t="s">
        <v>99</v>
      </c>
      <c r="C12" s="99" t="s">
        <v>100</v>
      </c>
      <c r="D12" s="135" t="s">
        <v>458</v>
      </c>
      <c r="E12" s="99" t="s">
        <v>459</v>
      </c>
      <c r="F12" s="287">
        <v>44866.0</v>
      </c>
      <c r="G12" s="287">
        <v>44986.0</v>
      </c>
      <c r="H12" s="107"/>
      <c r="I12" s="67"/>
      <c r="J12" s="67"/>
    </row>
    <row r="13">
      <c r="A13" s="67"/>
      <c r="B13" s="99" t="s">
        <v>99</v>
      </c>
      <c r="C13" s="99" t="s">
        <v>105</v>
      </c>
      <c r="D13" s="135" t="s">
        <v>460</v>
      </c>
      <c r="E13" s="99" t="s">
        <v>459</v>
      </c>
      <c r="F13" s="287">
        <v>44866.0</v>
      </c>
      <c r="G13" s="287">
        <v>44986.0</v>
      </c>
      <c r="H13" s="107"/>
      <c r="I13" s="67"/>
      <c r="J13" s="67"/>
    </row>
    <row r="14">
      <c r="A14" s="67"/>
      <c r="B14" s="99" t="s">
        <v>99</v>
      </c>
      <c r="C14" s="99" t="s">
        <v>111</v>
      </c>
      <c r="D14" s="135" t="s">
        <v>461</v>
      </c>
      <c r="E14" s="99" t="s">
        <v>462</v>
      </c>
      <c r="F14" s="287">
        <v>44927.0</v>
      </c>
      <c r="G14" s="287">
        <v>45107.0</v>
      </c>
      <c r="H14" s="107"/>
      <c r="I14" s="67"/>
      <c r="J14" s="67"/>
    </row>
    <row r="15">
      <c r="A15" s="67"/>
      <c r="B15" s="99" t="s">
        <v>99</v>
      </c>
      <c r="C15" s="99" t="s">
        <v>118</v>
      </c>
      <c r="D15" s="135" t="s">
        <v>463</v>
      </c>
      <c r="E15" s="99" t="s">
        <v>459</v>
      </c>
      <c r="F15" s="287">
        <v>44958.0</v>
      </c>
      <c r="G15" s="287">
        <v>45077.0</v>
      </c>
      <c r="H15" s="107"/>
      <c r="I15" s="67"/>
      <c r="J15" s="67"/>
    </row>
    <row r="16">
      <c r="A16" s="67"/>
      <c r="B16" s="99" t="s">
        <v>99</v>
      </c>
      <c r="C16" s="99" t="s">
        <v>119</v>
      </c>
      <c r="D16" s="135" t="s">
        <v>464</v>
      </c>
      <c r="E16" s="99" t="s">
        <v>459</v>
      </c>
      <c r="F16" s="287">
        <v>44958.0</v>
      </c>
      <c r="G16" s="287">
        <v>45077.0</v>
      </c>
      <c r="H16" s="107"/>
      <c r="I16" s="67"/>
      <c r="J16" s="67"/>
    </row>
    <row r="17">
      <c r="A17" s="67"/>
      <c r="B17" s="99" t="s">
        <v>99</v>
      </c>
      <c r="C17" s="99" t="s">
        <v>127</v>
      </c>
      <c r="D17" s="135" t="s">
        <v>465</v>
      </c>
      <c r="E17" s="99" t="s">
        <v>459</v>
      </c>
      <c r="F17" s="287">
        <v>45047.0</v>
      </c>
      <c r="G17" s="287">
        <v>45107.0</v>
      </c>
      <c r="H17" s="107"/>
      <c r="I17" s="67"/>
      <c r="J17" s="67"/>
    </row>
    <row r="18">
      <c r="A18" s="67"/>
      <c r="B18" s="99" t="s">
        <v>99</v>
      </c>
      <c r="C18" s="99" t="s">
        <v>133</v>
      </c>
      <c r="D18" s="135" t="s">
        <v>466</v>
      </c>
      <c r="E18" s="99" t="s">
        <v>459</v>
      </c>
      <c r="F18" s="287">
        <v>45108.0</v>
      </c>
      <c r="G18" s="287">
        <v>45199.0</v>
      </c>
      <c r="H18" s="107"/>
      <c r="I18" s="67"/>
      <c r="J18" s="67"/>
    </row>
    <row r="19">
      <c r="A19" s="67"/>
      <c r="B19" s="99" t="s">
        <v>99</v>
      </c>
      <c r="C19" s="99" t="s">
        <v>141</v>
      </c>
      <c r="D19" s="135" t="s">
        <v>467</v>
      </c>
      <c r="E19" s="99" t="s">
        <v>468</v>
      </c>
      <c r="F19" s="287">
        <v>45108.0</v>
      </c>
      <c r="G19" s="287">
        <v>45350.0</v>
      </c>
      <c r="H19" s="107"/>
      <c r="I19" s="67"/>
      <c r="J19" s="67"/>
    </row>
    <row r="20">
      <c r="A20" s="67"/>
      <c r="B20" s="99" t="s">
        <v>99</v>
      </c>
      <c r="C20" s="99" t="s">
        <v>146</v>
      </c>
      <c r="D20" s="135" t="s">
        <v>469</v>
      </c>
      <c r="E20" s="99" t="s">
        <v>459</v>
      </c>
      <c r="F20" s="287">
        <v>45170.0</v>
      </c>
      <c r="G20" s="287">
        <v>45291.0</v>
      </c>
      <c r="H20" s="107"/>
      <c r="I20" s="67"/>
      <c r="J20" s="67"/>
    </row>
    <row r="21">
      <c r="A21" s="67"/>
      <c r="B21" s="99" t="s">
        <v>99</v>
      </c>
      <c r="C21" s="99" t="s">
        <v>136</v>
      </c>
      <c r="D21" s="135" t="s">
        <v>470</v>
      </c>
      <c r="E21" s="99" t="s">
        <v>459</v>
      </c>
      <c r="F21" s="287">
        <v>45170.0</v>
      </c>
      <c r="G21" s="287">
        <v>45382.0</v>
      </c>
      <c r="H21" s="107"/>
      <c r="I21" s="67"/>
      <c r="J21" s="67"/>
    </row>
    <row r="22">
      <c r="A22" s="67"/>
      <c r="B22" s="99" t="s">
        <v>99</v>
      </c>
      <c r="C22" s="99" t="s">
        <v>150</v>
      </c>
      <c r="D22" s="135" t="s">
        <v>471</v>
      </c>
      <c r="E22" s="99" t="s">
        <v>459</v>
      </c>
      <c r="F22" s="287">
        <v>45200.0</v>
      </c>
      <c r="G22" s="287">
        <v>45382.0</v>
      </c>
      <c r="H22" s="107"/>
      <c r="I22" s="67"/>
      <c r="J22" s="67"/>
    </row>
  </sheetData>
  <mergeCells count="3">
    <mergeCell ref="B5:D6"/>
    <mergeCell ref="E8:E9"/>
    <mergeCell ref="G8:G9"/>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sheetPr>
  <sheetViews>
    <sheetView showGridLines="0" workbookViewId="0"/>
  </sheetViews>
  <sheetFormatPr customHeight="1" defaultColWidth="12.63" defaultRowHeight="15.75"/>
  <cols>
    <col customWidth="1" min="1" max="1" width="2.63"/>
    <col customWidth="1" min="2" max="2" width="11.13"/>
    <col customWidth="1" min="3" max="3" width="18.25"/>
    <col customWidth="1" min="4" max="4" width="23.75"/>
    <col customWidth="1" min="5" max="5" width="11.88"/>
    <col customWidth="1" min="6" max="6" width="12.5"/>
    <col customWidth="1" min="7" max="8" width="7.25"/>
    <col customWidth="1" min="9" max="9" width="31.0"/>
    <col customWidth="1" min="10" max="10" width="34.38"/>
    <col customWidth="1" min="11" max="12" width="5.13"/>
  </cols>
  <sheetData>
    <row r="1" ht="11.25" customHeight="1">
      <c r="A1" s="67"/>
      <c r="B1" s="67"/>
      <c r="C1" s="289"/>
      <c r="D1" s="289"/>
      <c r="E1" s="67"/>
      <c r="F1" s="67"/>
      <c r="G1" s="259"/>
      <c r="H1" s="68"/>
      <c r="I1" s="289"/>
      <c r="J1" s="67"/>
      <c r="K1" s="67"/>
      <c r="L1" s="67"/>
    </row>
    <row r="2">
      <c r="A2" s="67"/>
      <c r="B2" s="70" t="s">
        <v>56</v>
      </c>
      <c r="C2" s="290"/>
      <c r="D2" s="290"/>
      <c r="E2" s="71"/>
      <c r="F2" s="71"/>
      <c r="G2" s="260"/>
      <c r="H2" s="72"/>
      <c r="I2" s="289"/>
      <c r="J2" s="67"/>
      <c r="K2" s="67"/>
      <c r="L2" s="67"/>
    </row>
    <row r="3">
      <c r="A3" s="67"/>
      <c r="B3" s="79" t="s">
        <v>57</v>
      </c>
      <c r="C3" s="290"/>
      <c r="D3" s="290"/>
      <c r="E3" s="71"/>
      <c r="F3" s="71"/>
      <c r="G3" s="260"/>
      <c r="H3" s="72"/>
      <c r="I3" s="289"/>
      <c r="J3" s="67"/>
      <c r="K3" s="67"/>
      <c r="L3" s="67"/>
    </row>
    <row r="4">
      <c r="A4" s="67"/>
      <c r="B4" s="96" t="s">
        <v>472</v>
      </c>
      <c r="C4" s="290"/>
      <c r="D4" s="290"/>
      <c r="E4" s="71"/>
      <c r="F4" s="71"/>
      <c r="G4" s="260"/>
      <c r="H4" s="72"/>
      <c r="I4" s="289"/>
      <c r="J4" s="67"/>
      <c r="K4" s="67"/>
      <c r="L4" s="67"/>
    </row>
    <row r="5">
      <c r="A5" s="67"/>
      <c r="B5" s="76" t="s">
        <v>59</v>
      </c>
      <c r="E5" s="76"/>
      <c r="F5" s="76"/>
      <c r="G5" s="261"/>
      <c r="H5" s="76"/>
      <c r="I5" s="289"/>
      <c r="J5" s="67"/>
      <c r="K5" s="67"/>
      <c r="L5" s="67"/>
    </row>
    <row r="6">
      <c r="A6" s="67"/>
      <c r="E6" s="76"/>
      <c r="F6" s="76"/>
      <c r="G6" s="261"/>
      <c r="H6" s="76"/>
      <c r="I6" s="289"/>
      <c r="J6" s="67"/>
      <c r="K6" s="67"/>
      <c r="L6" s="67"/>
    </row>
    <row r="7">
      <c r="A7" s="67"/>
      <c r="B7" s="71"/>
      <c r="C7" s="291"/>
      <c r="D7" s="291"/>
      <c r="E7" s="78"/>
      <c r="F7" s="78"/>
      <c r="G7" s="78"/>
      <c r="H7" s="78"/>
      <c r="I7" s="289"/>
      <c r="J7" s="67"/>
      <c r="K7" s="67"/>
      <c r="L7" s="67"/>
    </row>
    <row r="8">
      <c r="A8" s="67"/>
      <c r="B8" s="70" t="s">
        <v>60</v>
      </c>
      <c r="C8" s="291"/>
      <c r="D8" s="291"/>
      <c r="E8" s="78"/>
      <c r="F8" s="78"/>
      <c r="G8" s="78"/>
      <c r="H8" s="78"/>
      <c r="I8" s="289"/>
      <c r="J8" s="67"/>
      <c r="K8" s="67"/>
      <c r="L8" s="67"/>
    </row>
    <row r="9">
      <c r="A9" s="67"/>
      <c r="B9" s="79" t="s">
        <v>61</v>
      </c>
      <c r="C9" s="291"/>
      <c r="D9" s="291"/>
      <c r="E9" s="78"/>
      <c r="F9" s="78"/>
      <c r="G9" s="78"/>
      <c r="H9" s="78"/>
      <c r="I9" s="289"/>
      <c r="J9" s="67"/>
      <c r="K9" s="67"/>
      <c r="L9" s="67"/>
    </row>
    <row r="10">
      <c r="A10" s="67"/>
      <c r="B10" s="67"/>
      <c r="C10" s="291"/>
      <c r="D10" s="291"/>
      <c r="E10" s="78"/>
      <c r="F10" s="78"/>
      <c r="G10" s="78"/>
      <c r="H10" s="78"/>
      <c r="I10" s="289"/>
      <c r="J10" s="67"/>
      <c r="K10" s="67"/>
      <c r="L10" s="67"/>
    </row>
    <row r="11">
      <c r="A11" s="67"/>
      <c r="B11" s="80" t="s">
        <v>62</v>
      </c>
      <c r="C11" s="97" t="s">
        <v>63</v>
      </c>
      <c r="D11" s="97" t="s">
        <v>64</v>
      </c>
      <c r="E11" s="81" t="s">
        <v>65</v>
      </c>
      <c r="F11" s="81" t="s">
        <v>66</v>
      </c>
      <c r="G11" s="239" t="s">
        <v>67</v>
      </c>
      <c r="H11" s="81" t="s">
        <v>68</v>
      </c>
      <c r="I11" s="97" t="s">
        <v>69</v>
      </c>
      <c r="J11" s="80" t="s">
        <v>70</v>
      </c>
      <c r="K11" s="98"/>
      <c r="L11" s="67"/>
    </row>
    <row r="12">
      <c r="A12" s="67"/>
      <c r="B12" s="99" t="s">
        <v>99</v>
      </c>
      <c r="C12" s="135" t="s">
        <v>100</v>
      </c>
      <c r="D12" s="135" t="s">
        <v>101</v>
      </c>
      <c r="E12" s="119" t="s">
        <v>102</v>
      </c>
      <c r="F12" s="119">
        <v>338.0</v>
      </c>
      <c r="G12" s="292">
        <v>34850.0</v>
      </c>
      <c r="H12" s="293">
        <v>44929.0</v>
      </c>
      <c r="I12" s="135" t="s">
        <v>103</v>
      </c>
      <c r="J12" s="99" t="s">
        <v>104</v>
      </c>
      <c r="K12" s="131"/>
      <c r="L12" s="67"/>
    </row>
    <row r="13">
      <c r="A13" s="67"/>
      <c r="B13" s="99" t="s">
        <v>99</v>
      </c>
      <c r="C13" s="135" t="s">
        <v>105</v>
      </c>
      <c r="D13" s="135" t="s">
        <v>101</v>
      </c>
      <c r="E13" s="119" t="s">
        <v>102</v>
      </c>
      <c r="F13" s="119">
        <v>338.0</v>
      </c>
      <c r="G13" s="292">
        <v>34850.0</v>
      </c>
      <c r="H13" s="293">
        <v>44929.0</v>
      </c>
      <c r="I13" s="135" t="s">
        <v>103</v>
      </c>
      <c r="J13" s="99" t="s">
        <v>104</v>
      </c>
      <c r="K13" s="131"/>
      <c r="L13" s="67"/>
    </row>
    <row r="14">
      <c r="A14" s="67"/>
      <c r="B14" s="99" t="s">
        <v>99</v>
      </c>
      <c r="C14" s="135" t="s">
        <v>100</v>
      </c>
      <c r="D14" s="135" t="s">
        <v>106</v>
      </c>
      <c r="E14" s="119" t="s">
        <v>107</v>
      </c>
      <c r="F14" s="119" t="s">
        <v>108</v>
      </c>
      <c r="G14" s="292">
        <v>4059.07</v>
      </c>
      <c r="H14" s="293">
        <v>44959.0</v>
      </c>
      <c r="I14" s="135" t="s">
        <v>109</v>
      </c>
      <c r="J14" s="99" t="s">
        <v>110</v>
      </c>
      <c r="K14" s="131"/>
      <c r="L14" s="67"/>
    </row>
    <row r="15">
      <c r="A15" s="67"/>
      <c r="B15" s="99" t="s">
        <v>99</v>
      </c>
      <c r="C15" s="135" t="s">
        <v>105</v>
      </c>
      <c r="D15" s="135" t="s">
        <v>106</v>
      </c>
      <c r="E15" s="119" t="s">
        <v>107</v>
      </c>
      <c r="F15" s="119" t="s">
        <v>108</v>
      </c>
      <c r="G15" s="292">
        <v>4059.07</v>
      </c>
      <c r="H15" s="293">
        <v>44959.0</v>
      </c>
      <c r="I15" s="135" t="s">
        <v>109</v>
      </c>
      <c r="J15" s="270" t="s">
        <v>110</v>
      </c>
      <c r="K15" s="131"/>
      <c r="L15" s="67"/>
    </row>
    <row r="16">
      <c r="A16" s="67"/>
      <c r="B16" s="99" t="s">
        <v>99</v>
      </c>
      <c r="C16" s="135" t="s">
        <v>111</v>
      </c>
      <c r="D16" s="135" t="s">
        <v>112</v>
      </c>
      <c r="E16" s="119" t="s">
        <v>113</v>
      </c>
      <c r="F16" s="119">
        <v>202324.0</v>
      </c>
      <c r="G16" s="292">
        <v>4850.0</v>
      </c>
      <c r="H16" s="293">
        <v>44960.0</v>
      </c>
      <c r="I16" s="135" t="s">
        <v>114</v>
      </c>
      <c r="J16" s="270" t="s">
        <v>115</v>
      </c>
      <c r="K16" s="131"/>
      <c r="L16" s="67"/>
    </row>
    <row r="17">
      <c r="A17" s="67"/>
      <c r="B17" s="99" t="s">
        <v>99</v>
      </c>
      <c r="C17" s="135" t="s">
        <v>100</v>
      </c>
      <c r="D17" s="135" t="s">
        <v>101</v>
      </c>
      <c r="E17" s="119" t="s">
        <v>102</v>
      </c>
      <c r="F17" s="119">
        <v>377.0</v>
      </c>
      <c r="G17" s="292">
        <v>34850.0</v>
      </c>
      <c r="H17" s="293">
        <v>44960.0</v>
      </c>
      <c r="I17" s="135" t="s">
        <v>103</v>
      </c>
      <c r="J17" s="99" t="s">
        <v>104</v>
      </c>
      <c r="K17" s="131"/>
      <c r="L17" s="67"/>
    </row>
    <row r="18">
      <c r="A18" s="67"/>
      <c r="B18" s="99" t="s">
        <v>99</v>
      </c>
      <c r="C18" s="135" t="s">
        <v>105</v>
      </c>
      <c r="D18" s="135" t="s">
        <v>101</v>
      </c>
      <c r="E18" s="119" t="s">
        <v>102</v>
      </c>
      <c r="F18" s="119">
        <v>377.0</v>
      </c>
      <c r="G18" s="292">
        <v>34850.0</v>
      </c>
      <c r="H18" s="293">
        <v>44960.0</v>
      </c>
      <c r="I18" s="135" t="s">
        <v>103</v>
      </c>
      <c r="J18" s="99" t="s">
        <v>104</v>
      </c>
      <c r="K18" s="131"/>
      <c r="L18" s="67"/>
    </row>
    <row r="19">
      <c r="A19" s="67"/>
      <c r="B19" s="99" t="s">
        <v>99</v>
      </c>
      <c r="C19" s="135" t="s">
        <v>100</v>
      </c>
      <c r="D19" s="135" t="s">
        <v>106</v>
      </c>
      <c r="E19" s="119" t="s">
        <v>107</v>
      </c>
      <c r="F19" s="119" t="s">
        <v>116</v>
      </c>
      <c r="G19" s="292">
        <v>1907.88</v>
      </c>
      <c r="H19" s="293">
        <v>44987.0</v>
      </c>
      <c r="I19" s="135" t="s">
        <v>109</v>
      </c>
      <c r="J19" s="99" t="s">
        <v>117</v>
      </c>
      <c r="K19" s="131"/>
      <c r="L19" s="67"/>
    </row>
    <row r="20">
      <c r="A20" s="67"/>
      <c r="B20" s="99" t="s">
        <v>99</v>
      </c>
      <c r="C20" s="135" t="s">
        <v>105</v>
      </c>
      <c r="D20" s="135" t="s">
        <v>106</v>
      </c>
      <c r="E20" s="119" t="s">
        <v>107</v>
      </c>
      <c r="F20" s="119" t="s">
        <v>116</v>
      </c>
      <c r="G20" s="292">
        <v>1907.88</v>
      </c>
      <c r="H20" s="294">
        <v>44987.0</v>
      </c>
      <c r="I20" s="135" t="s">
        <v>109</v>
      </c>
      <c r="J20" s="99" t="s">
        <v>117</v>
      </c>
      <c r="K20" s="131"/>
      <c r="L20" s="67"/>
    </row>
    <row r="21">
      <c r="A21" s="67"/>
      <c r="B21" s="99" t="s">
        <v>99</v>
      </c>
      <c r="C21" s="135" t="s">
        <v>118</v>
      </c>
      <c r="D21" s="135" t="s">
        <v>106</v>
      </c>
      <c r="E21" s="119" t="s">
        <v>107</v>
      </c>
      <c r="F21" s="119" t="s">
        <v>116</v>
      </c>
      <c r="G21" s="292">
        <v>1907.88</v>
      </c>
      <c r="H21" s="294">
        <v>44987.0</v>
      </c>
      <c r="I21" s="135" t="s">
        <v>109</v>
      </c>
      <c r="J21" s="99" t="s">
        <v>117</v>
      </c>
      <c r="K21" s="131"/>
      <c r="L21" s="67"/>
    </row>
    <row r="22">
      <c r="A22" s="67"/>
      <c r="B22" s="99" t="s">
        <v>99</v>
      </c>
      <c r="C22" s="135" t="s">
        <v>119</v>
      </c>
      <c r="D22" s="135" t="s">
        <v>106</v>
      </c>
      <c r="E22" s="119" t="s">
        <v>107</v>
      </c>
      <c r="F22" s="119" t="s">
        <v>116</v>
      </c>
      <c r="G22" s="292">
        <v>1907.88</v>
      </c>
      <c r="H22" s="294">
        <v>44987.0</v>
      </c>
      <c r="I22" s="135" t="s">
        <v>109</v>
      </c>
      <c r="J22" s="99" t="s">
        <v>117</v>
      </c>
      <c r="K22" s="131"/>
      <c r="L22" s="67"/>
    </row>
    <row r="23">
      <c r="A23" s="67"/>
      <c r="B23" s="99" t="s">
        <v>99</v>
      </c>
      <c r="C23" s="135" t="s">
        <v>100</v>
      </c>
      <c r="D23" s="135" t="s">
        <v>101</v>
      </c>
      <c r="E23" s="119" t="s">
        <v>102</v>
      </c>
      <c r="F23" s="119">
        <v>408.0</v>
      </c>
      <c r="G23" s="292">
        <v>17425.0</v>
      </c>
      <c r="H23" s="294">
        <v>44991.0</v>
      </c>
      <c r="I23" s="135" t="s">
        <v>103</v>
      </c>
      <c r="J23" s="99" t="s">
        <v>120</v>
      </c>
      <c r="K23" s="131"/>
      <c r="L23" s="67"/>
    </row>
    <row r="24">
      <c r="A24" s="67"/>
      <c r="B24" s="99" t="s">
        <v>99</v>
      </c>
      <c r="C24" s="135" t="s">
        <v>105</v>
      </c>
      <c r="D24" s="135" t="s">
        <v>101</v>
      </c>
      <c r="E24" s="119" t="s">
        <v>102</v>
      </c>
      <c r="F24" s="119">
        <v>408.0</v>
      </c>
      <c r="G24" s="295">
        <v>17425.0</v>
      </c>
      <c r="H24" s="293">
        <v>44991.0</v>
      </c>
      <c r="I24" s="135" t="s">
        <v>103</v>
      </c>
      <c r="J24" s="99" t="s">
        <v>120</v>
      </c>
      <c r="K24" s="131"/>
      <c r="L24" s="67"/>
    </row>
    <row r="25">
      <c r="A25" s="67"/>
      <c r="B25" s="99" t="s">
        <v>99</v>
      </c>
      <c r="C25" s="135" t="s">
        <v>118</v>
      </c>
      <c r="D25" s="135" t="s">
        <v>101</v>
      </c>
      <c r="E25" s="119" t="s">
        <v>102</v>
      </c>
      <c r="F25" s="119">
        <v>408.0</v>
      </c>
      <c r="G25" s="296">
        <v>17425.0</v>
      </c>
      <c r="H25" s="293">
        <v>44991.0</v>
      </c>
      <c r="I25" s="135" t="s">
        <v>103</v>
      </c>
      <c r="J25" s="99" t="s">
        <v>120</v>
      </c>
      <c r="K25" s="131"/>
      <c r="L25" s="67"/>
    </row>
    <row r="26">
      <c r="A26" s="67"/>
      <c r="B26" s="99" t="s">
        <v>99</v>
      </c>
      <c r="C26" s="135" t="s">
        <v>119</v>
      </c>
      <c r="D26" s="135" t="s">
        <v>101</v>
      </c>
      <c r="E26" s="119" t="s">
        <v>102</v>
      </c>
      <c r="F26" s="119">
        <v>408.0</v>
      </c>
      <c r="G26" s="295">
        <v>17425.0</v>
      </c>
      <c r="H26" s="293">
        <v>44991.0</v>
      </c>
      <c r="I26" s="135" t="s">
        <v>103</v>
      </c>
      <c r="J26" s="99" t="s">
        <v>120</v>
      </c>
      <c r="K26" s="131"/>
      <c r="L26" s="67"/>
    </row>
    <row r="27">
      <c r="A27" s="67"/>
      <c r="B27" s="99" t="s">
        <v>99</v>
      </c>
      <c r="C27" s="135" t="s">
        <v>111</v>
      </c>
      <c r="D27" s="135" t="s">
        <v>112</v>
      </c>
      <c r="E27" s="119" t="s">
        <v>113</v>
      </c>
      <c r="F27" s="119">
        <v>202369.0</v>
      </c>
      <c r="G27" s="295">
        <v>4850.0</v>
      </c>
      <c r="H27" s="293">
        <v>44992.0</v>
      </c>
      <c r="I27" s="135" t="s">
        <v>114</v>
      </c>
      <c r="J27" s="99" t="s">
        <v>115</v>
      </c>
      <c r="K27" s="131"/>
      <c r="L27" s="67"/>
    </row>
    <row r="28">
      <c r="A28" s="67"/>
      <c r="B28" s="99" t="s">
        <v>99</v>
      </c>
      <c r="C28" s="135" t="s">
        <v>100</v>
      </c>
      <c r="D28" s="135" t="s">
        <v>106</v>
      </c>
      <c r="E28" s="119" t="s">
        <v>107</v>
      </c>
      <c r="F28" s="119" t="s">
        <v>121</v>
      </c>
      <c r="G28" s="292">
        <v>2101.47</v>
      </c>
      <c r="H28" s="293">
        <v>45018.0</v>
      </c>
      <c r="I28" s="135" t="s">
        <v>109</v>
      </c>
      <c r="J28" s="99" t="s">
        <v>122</v>
      </c>
      <c r="K28" s="131"/>
      <c r="L28" s="67"/>
    </row>
    <row r="29">
      <c r="A29" s="67"/>
      <c r="B29" s="99" t="s">
        <v>99</v>
      </c>
      <c r="C29" s="135" t="s">
        <v>105</v>
      </c>
      <c r="D29" s="135" t="s">
        <v>106</v>
      </c>
      <c r="E29" s="119" t="s">
        <v>107</v>
      </c>
      <c r="F29" s="119" t="s">
        <v>121</v>
      </c>
      <c r="G29" s="292">
        <v>2101.47</v>
      </c>
      <c r="H29" s="293">
        <v>45018.0</v>
      </c>
      <c r="I29" s="135" t="s">
        <v>109</v>
      </c>
      <c r="J29" s="99" t="s">
        <v>122</v>
      </c>
      <c r="K29" s="131"/>
      <c r="L29" s="67"/>
    </row>
    <row r="30">
      <c r="A30" s="67"/>
      <c r="B30" s="99" t="s">
        <v>99</v>
      </c>
      <c r="C30" s="135" t="s">
        <v>118</v>
      </c>
      <c r="D30" s="135" t="s">
        <v>106</v>
      </c>
      <c r="E30" s="119" t="s">
        <v>107</v>
      </c>
      <c r="F30" s="119" t="s">
        <v>121</v>
      </c>
      <c r="G30" s="292">
        <v>2101.47</v>
      </c>
      <c r="H30" s="293">
        <v>45018.0</v>
      </c>
      <c r="I30" s="135" t="s">
        <v>109</v>
      </c>
      <c r="J30" s="99" t="s">
        <v>122</v>
      </c>
      <c r="K30" s="131"/>
      <c r="L30" s="67"/>
    </row>
    <row r="31">
      <c r="A31" s="67"/>
      <c r="B31" s="99" t="s">
        <v>99</v>
      </c>
      <c r="C31" s="135" t="s">
        <v>119</v>
      </c>
      <c r="D31" s="135" t="s">
        <v>106</v>
      </c>
      <c r="E31" s="119" t="s">
        <v>107</v>
      </c>
      <c r="F31" s="119" t="s">
        <v>121</v>
      </c>
      <c r="G31" s="292">
        <v>2101.47</v>
      </c>
      <c r="H31" s="293">
        <v>45018.0</v>
      </c>
      <c r="I31" s="135" t="s">
        <v>109</v>
      </c>
      <c r="J31" s="99" t="s">
        <v>122</v>
      </c>
      <c r="K31" s="131"/>
      <c r="L31" s="67"/>
    </row>
    <row r="32">
      <c r="A32" s="67"/>
      <c r="B32" s="99" t="s">
        <v>99</v>
      </c>
      <c r="C32" s="135" t="s">
        <v>100</v>
      </c>
      <c r="D32" s="135" t="s">
        <v>101</v>
      </c>
      <c r="E32" s="119" t="s">
        <v>102</v>
      </c>
      <c r="F32" s="119">
        <v>439.0</v>
      </c>
      <c r="G32" s="292">
        <v>17425.0</v>
      </c>
      <c r="H32" s="293">
        <v>45022.0</v>
      </c>
      <c r="I32" s="135" t="s">
        <v>103</v>
      </c>
      <c r="J32" s="99" t="s">
        <v>120</v>
      </c>
      <c r="K32" s="131"/>
      <c r="L32" s="67"/>
    </row>
    <row r="33">
      <c r="A33" s="67"/>
      <c r="B33" s="99" t="s">
        <v>99</v>
      </c>
      <c r="C33" s="135" t="s">
        <v>105</v>
      </c>
      <c r="D33" s="135" t="s">
        <v>101</v>
      </c>
      <c r="E33" s="119" t="s">
        <v>102</v>
      </c>
      <c r="F33" s="119">
        <v>439.0</v>
      </c>
      <c r="G33" s="295">
        <v>17425.0</v>
      </c>
      <c r="H33" s="293">
        <v>45022.0</v>
      </c>
      <c r="I33" s="135" t="s">
        <v>103</v>
      </c>
      <c r="J33" s="99" t="s">
        <v>120</v>
      </c>
      <c r="K33" s="131"/>
      <c r="L33" s="67"/>
    </row>
    <row r="34">
      <c r="A34" s="67"/>
      <c r="B34" s="99" t="s">
        <v>99</v>
      </c>
      <c r="C34" s="135" t="s">
        <v>118</v>
      </c>
      <c r="D34" s="135" t="s">
        <v>101</v>
      </c>
      <c r="E34" s="119" t="s">
        <v>102</v>
      </c>
      <c r="F34" s="119">
        <v>439.0</v>
      </c>
      <c r="G34" s="295">
        <v>17425.0</v>
      </c>
      <c r="H34" s="293">
        <v>45022.0</v>
      </c>
      <c r="I34" s="135" t="s">
        <v>103</v>
      </c>
      <c r="J34" s="99" t="s">
        <v>120</v>
      </c>
      <c r="K34" s="131"/>
      <c r="L34" s="67"/>
    </row>
    <row r="35">
      <c r="A35" s="67"/>
      <c r="B35" s="99" t="s">
        <v>99</v>
      </c>
      <c r="C35" s="135" t="s">
        <v>119</v>
      </c>
      <c r="D35" s="135" t="s">
        <v>101</v>
      </c>
      <c r="E35" s="119" t="s">
        <v>102</v>
      </c>
      <c r="F35" s="119">
        <v>439.0</v>
      </c>
      <c r="G35" s="295">
        <v>17425.0</v>
      </c>
      <c r="H35" s="293">
        <v>45022.0</v>
      </c>
      <c r="I35" s="135" t="s">
        <v>103</v>
      </c>
      <c r="J35" s="99" t="s">
        <v>120</v>
      </c>
      <c r="K35" s="131"/>
      <c r="L35" s="67"/>
    </row>
    <row r="36">
      <c r="A36" s="67"/>
      <c r="B36" s="99" t="s">
        <v>99</v>
      </c>
      <c r="C36" s="135" t="s">
        <v>118</v>
      </c>
      <c r="D36" s="135" t="s">
        <v>106</v>
      </c>
      <c r="E36" s="119" t="s">
        <v>107</v>
      </c>
      <c r="F36" s="119" t="s">
        <v>123</v>
      </c>
      <c r="G36" s="295">
        <v>3917.99</v>
      </c>
      <c r="H36" s="293">
        <v>45048.0</v>
      </c>
      <c r="I36" s="135" t="s">
        <v>109</v>
      </c>
      <c r="J36" s="99" t="s">
        <v>124</v>
      </c>
      <c r="K36" s="131"/>
      <c r="L36" s="67"/>
    </row>
    <row r="37">
      <c r="A37" s="67"/>
      <c r="B37" s="99" t="s">
        <v>99</v>
      </c>
      <c r="C37" s="135" t="s">
        <v>119</v>
      </c>
      <c r="D37" s="135" t="s">
        <v>106</v>
      </c>
      <c r="E37" s="119" t="s">
        <v>107</v>
      </c>
      <c r="F37" s="119" t="s">
        <v>123</v>
      </c>
      <c r="G37" s="292">
        <v>3917.99</v>
      </c>
      <c r="H37" s="293">
        <v>45048.0</v>
      </c>
      <c r="I37" s="135" t="s">
        <v>109</v>
      </c>
      <c r="J37" s="99" t="s">
        <v>124</v>
      </c>
      <c r="K37" s="131"/>
      <c r="L37" s="67"/>
    </row>
    <row r="38">
      <c r="A38" s="67"/>
      <c r="B38" s="99" t="s">
        <v>99</v>
      </c>
      <c r="C38" s="135" t="s">
        <v>118</v>
      </c>
      <c r="D38" s="135" t="s">
        <v>101</v>
      </c>
      <c r="E38" s="119" t="s">
        <v>102</v>
      </c>
      <c r="F38" s="119">
        <v>475.0</v>
      </c>
      <c r="G38" s="292">
        <v>34000.0</v>
      </c>
      <c r="H38" s="293">
        <v>45055.0</v>
      </c>
      <c r="I38" s="135" t="s">
        <v>103</v>
      </c>
      <c r="J38" s="99" t="s">
        <v>125</v>
      </c>
      <c r="K38" s="131"/>
      <c r="L38" s="67"/>
    </row>
    <row r="39">
      <c r="A39" s="67"/>
      <c r="B39" s="99" t="s">
        <v>99</v>
      </c>
      <c r="C39" s="135" t="s">
        <v>119</v>
      </c>
      <c r="D39" s="135" t="s">
        <v>101</v>
      </c>
      <c r="E39" s="119" t="s">
        <v>102</v>
      </c>
      <c r="F39" s="119">
        <v>475.0</v>
      </c>
      <c r="G39" s="292">
        <v>34000.0</v>
      </c>
      <c r="H39" s="293">
        <v>45055.0</v>
      </c>
      <c r="I39" s="135" t="s">
        <v>103</v>
      </c>
      <c r="J39" s="99" t="s">
        <v>125</v>
      </c>
      <c r="K39" s="131"/>
      <c r="L39" s="67"/>
    </row>
    <row r="40">
      <c r="A40" s="67"/>
      <c r="B40" s="99" t="s">
        <v>99</v>
      </c>
      <c r="C40" s="135" t="s">
        <v>118</v>
      </c>
      <c r="D40" s="135" t="s">
        <v>101</v>
      </c>
      <c r="E40" s="119" t="s">
        <v>102</v>
      </c>
      <c r="F40" s="119">
        <v>497.0</v>
      </c>
      <c r="G40" s="292">
        <v>23233.33</v>
      </c>
      <c r="H40" s="293">
        <v>45078.0</v>
      </c>
      <c r="I40" s="135" t="s">
        <v>103</v>
      </c>
      <c r="J40" s="99" t="s">
        <v>126</v>
      </c>
      <c r="K40" s="131"/>
      <c r="L40" s="67"/>
    </row>
    <row r="41">
      <c r="A41" s="67"/>
      <c r="B41" s="99" t="s">
        <v>99</v>
      </c>
      <c r="C41" s="135" t="s">
        <v>119</v>
      </c>
      <c r="D41" s="135" t="s">
        <v>101</v>
      </c>
      <c r="E41" s="119" t="s">
        <v>102</v>
      </c>
      <c r="F41" s="119">
        <v>497.0</v>
      </c>
      <c r="G41" s="292">
        <v>23233.33</v>
      </c>
      <c r="H41" s="293">
        <v>45078.0</v>
      </c>
      <c r="I41" s="135" t="s">
        <v>103</v>
      </c>
      <c r="J41" s="99" t="s">
        <v>126</v>
      </c>
      <c r="K41" s="131"/>
      <c r="L41" s="67"/>
    </row>
    <row r="42">
      <c r="A42" s="67"/>
      <c r="B42" s="99" t="s">
        <v>99</v>
      </c>
      <c r="C42" s="135" t="s">
        <v>127</v>
      </c>
      <c r="D42" s="135" t="s">
        <v>101</v>
      </c>
      <c r="E42" s="119" t="s">
        <v>102</v>
      </c>
      <c r="F42" s="119">
        <v>497.0</v>
      </c>
      <c r="G42" s="295">
        <v>23233.33</v>
      </c>
      <c r="H42" s="293">
        <v>45078.0</v>
      </c>
      <c r="I42" s="135" t="s">
        <v>103</v>
      </c>
      <c r="J42" s="99" t="s">
        <v>126</v>
      </c>
      <c r="K42" s="131"/>
      <c r="L42" s="67"/>
    </row>
    <row r="43">
      <c r="A43" s="67"/>
      <c r="B43" s="99" t="s">
        <v>99</v>
      </c>
      <c r="C43" s="135" t="s">
        <v>118</v>
      </c>
      <c r="D43" s="135" t="s">
        <v>106</v>
      </c>
      <c r="E43" s="119" t="s">
        <v>107</v>
      </c>
      <c r="F43" s="119" t="s">
        <v>128</v>
      </c>
      <c r="G43" s="295">
        <v>2669.23</v>
      </c>
      <c r="H43" s="293">
        <v>45079.0</v>
      </c>
      <c r="I43" s="135" t="s">
        <v>109</v>
      </c>
      <c r="J43" s="99" t="s">
        <v>129</v>
      </c>
      <c r="K43" s="131"/>
      <c r="L43" s="67"/>
    </row>
    <row r="44">
      <c r="A44" s="67"/>
      <c r="B44" s="99" t="s">
        <v>99</v>
      </c>
      <c r="C44" s="135" t="s">
        <v>119</v>
      </c>
      <c r="D44" s="135" t="s">
        <v>106</v>
      </c>
      <c r="E44" s="119" t="s">
        <v>107</v>
      </c>
      <c r="F44" s="119" t="s">
        <v>128</v>
      </c>
      <c r="G44" s="295">
        <v>2669.23</v>
      </c>
      <c r="H44" s="293">
        <v>45079.0</v>
      </c>
      <c r="I44" s="135" t="s">
        <v>109</v>
      </c>
      <c r="J44" s="99" t="s">
        <v>129</v>
      </c>
      <c r="K44" s="131"/>
      <c r="L44" s="67"/>
    </row>
    <row r="45">
      <c r="A45" s="67"/>
      <c r="B45" s="99" t="s">
        <v>99</v>
      </c>
      <c r="C45" s="135" t="s">
        <v>127</v>
      </c>
      <c r="D45" s="135" t="s">
        <v>106</v>
      </c>
      <c r="E45" s="119" t="s">
        <v>107</v>
      </c>
      <c r="F45" s="119" t="s">
        <v>128</v>
      </c>
      <c r="G45" s="295">
        <v>2669.23</v>
      </c>
      <c r="H45" s="293">
        <v>45079.0</v>
      </c>
      <c r="I45" s="135" t="s">
        <v>109</v>
      </c>
      <c r="J45" s="99" t="s">
        <v>129</v>
      </c>
      <c r="K45" s="131"/>
      <c r="L45" s="67"/>
    </row>
    <row r="46">
      <c r="A46" s="67"/>
      <c r="B46" s="99" t="s">
        <v>99</v>
      </c>
      <c r="C46" s="135" t="s">
        <v>127</v>
      </c>
      <c r="D46" s="135" t="s">
        <v>106</v>
      </c>
      <c r="E46" s="119" t="s">
        <v>107</v>
      </c>
      <c r="F46" s="119" t="s">
        <v>130</v>
      </c>
      <c r="G46" s="292">
        <v>8323.82</v>
      </c>
      <c r="H46" s="294">
        <v>45109.0</v>
      </c>
      <c r="I46" s="135" t="s">
        <v>109</v>
      </c>
      <c r="J46" s="99" t="s">
        <v>131</v>
      </c>
      <c r="K46" s="131"/>
      <c r="L46" s="67"/>
    </row>
    <row r="47">
      <c r="A47" s="67"/>
      <c r="B47" s="99" t="s">
        <v>99</v>
      </c>
      <c r="C47" s="135" t="s">
        <v>127</v>
      </c>
      <c r="D47" s="135" t="s">
        <v>101</v>
      </c>
      <c r="E47" s="119" t="s">
        <v>102</v>
      </c>
      <c r="F47" s="119">
        <v>524.0</v>
      </c>
      <c r="G47" s="292">
        <v>69700.0</v>
      </c>
      <c r="H47" s="294">
        <v>45110.0</v>
      </c>
      <c r="I47" s="135" t="s">
        <v>103</v>
      </c>
      <c r="J47" s="99" t="s">
        <v>132</v>
      </c>
      <c r="K47" s="131"/>
      <c r="L47" s="67"/>
    </row>
    <row r="48">
      <c r="A48" s="67"/>
      <c r="B48" s="99" t="s">
        <v>99</v>
      </c>
      <c r="C48" s="135" t="s">
        <v>133</v>
      </c>
      <c r="D48" s="135" t="s">
        <v>101</v>
      </c>
      <c r="E48" s="119" t="s">
        <v>102</v>
      </c>
      <c r="F48" s="119">
        <v>539.0</v>
      </c>
      <c r="G48" s="292">
        <v>69700.0</v>
      </c>
      <c r="H48" s="294">
        <v>45139.0</v>
      </c>
      <c r="I48" s="135" t="s">
        <v>103</v>
      </c>
      <c r="J48" s="99" t="s">
        <v>132</v>
      </c>
      <c r="K48" s="131"/>
      <c r="L48" s="67"/>
    </row>
    <row r="49">
      <c r="A49" s="67"/>
      <c r="B49" s="99" t="s">
        <v>99</v>
      </c>
      <c r="C49" s="135" t="s">
        <v>133</v>
      </c>
      <c r="D49" s="135" t="s">
        <v>106</v>
      </c>
      <c r="E49" s="119" t="s">
        <v>107</v>
      </c>
      <c r="F49" s="119" t="s">
        <v>134</v>
      </c>
      <c r="G49" s="292">
        <v>10629.3</v>
      </c>
      <c r="H49" s="293">
        <v>45140.0</v>
      </c>
      <c r="I49" s="135" t="s">
        <v>109</v>
      </c>
      <c r="J49" s="99" t="s">
        <v>135</v>
      </c>
      <c r="K49" s="131"/>
      <c r="L49" s="67"/>
    </row>
    <row r="50">
      <c r="A50" s="67"/>
      <c r="B50" s="99" t="s">
        <v>99</v>
      </c>
      <c r="C50" s="135" t="s">
        <v>136</v>
      </c>
      <c r="D50" s="135" t="s">
        <v>137</v>
      </c>
      <c r="E50" s="119" t="s">
        <v>138</v>
      </c>
      <c r="F50" s="119">
        <v>2889.0</v>
      </c>
      <c r="G50" s="292">
        <v>27000.0</v>
      </c>
      <c r="H50" s="293">
        <v>45148.0</v>
      </c>
      <c r="I50" s="135" t="s">
        <v>139</v>
      </c>
      <c r="J50" s="99" t="s">
        <v>140</v>
      </c>
      <c r="K50" s="131"/>
      <c r="L50" s="67"/>
    </row>
    <row r="51">
      <c r="A51" s="67"/>
      <c r="B51" s="99" t="s">
        <v>99</v>
      </c>
      <c r="C51" s="135" t="s">
        <v>133</v>
      </c>
      <c r="D51" s="135" t="s">
        <v>101</v>
      </c>
      <c r="E51" s="119" t="s">
        <v>102</v>
      </c>
      <c r="F51" s="119">
        <v>549.0</v>
      </c>
      <c r="G51" s="292">
        <v>34850.0</v>
      </c>
      <c r="H51" s="293">
        <v>45170.0</v>
      </c>
      <c r="I51" s="135" t="s">
        <v>103</v>
      </c>
      <c r="J51" s="99" t="s">
        <v>104</v>
      </c>
      <c r="K51" s="131"/>
      <c r="L51" s="67"/>
    </row>
    <row r="52">
      <c r="A52" s="67"/>
      <c r="B52" s="99" t="s">
        <v>99</v>
      </c>
      <c r="C52" s="135" t="s">
        <v>141</v>
      </c>
      <c r="D52" s="135" t="s">
        <v>101</v>
      </c>
      <c r="E52" s="119" t="s">
        <v>102</v>
      </c>
      <c r="F52" s="119">
        <v>549.0</v>
      </c>
      <c r="G52" s="292">
        <v>34850.0</v>
      </c>
      <c r="H52" s="293">
        <v>45170.0</v>
      </c>
      <c r="I52" s="135" t="s">
        <v>103</v>
      </c>
      <c r="J52" s="99" t="s">
        <v>104</v>
      </c>
      <c r="K52" s="131"/>
      <c r="L52" s="67"/>
    </row>
    <row r="53">
      <c r="A53" s="67"/>
      <c r="B53" s="99" t="s">
        <v>99</v>
      </c>
      <c r="C53" s="135" t="s">
        <v>133</v>
      </c>
      <c r="D53" s="135" t="s">
        <v>106</v>
      </c>
      <c r="E53" s="119" t="s">
        <v>107</v>
      </c>
      <c r="F53" s="119" t="s">
        <v>142</v>
      </c>
      <c r="G53" s="292">
        <v>5436.5</v>
      </c>
      <c r="H53" s="293">
        <v>45172.0</v>
      </c>
      <c r="I53" s="135" t="s">
        <v>109</v>
      </c>
      <c r="J53" s="99" t="s">
        <v>143</v>
      </c>
      <c r="K53" s="131"/>
      <c r="L53" s="67"/>
    </row>
    <row r="54">
      <c r="A54" s="67"/>
      <c r="B54" s="99" t="s">
        <v>99</v>
      </c>
      <c r="C54" s="135" t="s">
        <v>141</v>
      </c>
      <c r="D54" s="135" t="s">
        <v>106</v>
      </c>
      <c r="E54" s="119" t="s">
        <v>107</v>
      </c>
      <c r="F54" s="119" t="s">
        <v>142</v>
      </c>
      <c r="G54" s="292">
        <v>5436.5</v>
      </c>
      <c r="H54" s="293">
        <v>45172.0</v>
      </c>
      <c r="I54" s="135" t="s">
        <v>109</v>
      </c>
      <c r="J54" s="99" t="s">
        <v>143</v>
      </c>
      <c r="K54" s="131"/>
      <c r="L54" s="67"/>
    </row>
    <row r="55">
      <c r="A55" s="67"/>
      <c r="B55" s="99" t="s">
        <v>99</v>
      </c>
      <c r="C55" s="135" t="s">
        <v>133</v>
      </c>
      <c r="D55" s="135" t="s">
        <v>106</v>
      </c>
      <c r="E55" s="119" t="s">
        <v>107</v>
      </c>
      <c r="F55" s="119" t="s">
        <v>144</v>
      </c>
      <c r="G55" s="292">
        <v>3585.26</v>
      </c>
      <c r="H55" s="293">
        <v>45201.0</v>
      </c>
      <c r="I55" s="135" t="s">
        <v>109</v>
      </c>
      <c r="J55" s="99" t="s">
        <v>145</v>
      </c>
      <c r="K55" s="131"/>
      <c r="L55" s="67"/>
    </row>
    <row r="56">
      <c r="A56" s="67"/>
      <c r="B56" s="99" t="s">
        <v>99</v>
      </c>
      <c r="C56" s="135" t="s">
        <v>141</v>
      </c>
      <c r="D56" s="135" t="s">
        <v>106</v>
      </c>
      <c r="E56" s="119" t="s">
        <v>107</v>
      </c>
      <c r="F56" s="119" t="s">
        <v>144</v>
      </c>
      <c r="G56" s="292">
        <v>3585.26</v>
      </c>
      <c r="H56" s="293">
        <v>45201.0</v>
      </c>
      <c r="I56" s="135" t="s">
        <v>109</v>
      </c>
      <c r="J56" s="99" t="s">
        <v>145</v>
      </c>
      <c r="K56" s="131"/>
      <c r="L56" s="67"/>
    </row>
    <row r="57">
      <c r="A57" s="67"/>
      <c r="B57" s="99" t="s">
        <v>99</v>
      </c>
      <c r="C57" s="135" t="s">
        <v>146</v>
      </c>
      <c r="D57" s="135" t="s">
        <v>106</v>
      </c>
      <c r="E57" s="119" t="s">
        <v>107</v>
      </c>
      <c r="F57" s="119" t="s">
        <v>144</v>
      </c>
      <c r="G57" s="292">
        <v>3585.26</v>
      </c>
      <c r="H57" s="293">
        <v>45201.0</v>
      </c>
      <c r="I57" s="135" t="s">
        <v>109</v>
      </c>
      <c r="J57" s="99" t="s">
        <v>145</v>
      </c>
      <c r="K57" s="131"/>
      <c r="L57" s="67"/>
    </row>
    <row r="58">
      <c r="A58" s="67"/>
      <c r="B58" s="99" t="s">
        <v>99</v>
      </c>
      <c r="C58" s="135" t="s">
        <v>133</v>
      </c>
      <c r="D58" s="135" t="s">
        <v>101</v>
      </c>
      <c r="E58" s="119" t="s">
        <v>102</v>
      </c>
      <c r="F58" s="119">
        <v>570.0</v>
      </c>
      <c r="G58" s="292">
        <v>23233.33</v>
      </c>
      <c r="H58" s="293">
        <v>45202.0</v>
      </c>
      <c r="I58" s="135" t="s">
        <v>103</v>
      </c>
      <c r="J58" s="99" t="s">
        <v>126</v>
      </c>
      <c r="K58" s="131"/>
      <c r="L58" s="67"/>
    </row>
    <row r="59">
      <c r="A59" s="67"/>
      <c r="B59" s="99" t="s">
        <v>99</v>
      </c>
      <c r="C59" s="135" t="s">
        <v>141</v>
      </c>
      <c r="D59" s="135" t="s">
        <v>101</v>
      </c>
      <c r="E59" s="119" t="s">
        <v>102</v>
      </c>
      <c r="F59" s="119">
        <v>570.0</v>
      </c>
      <c r="G59" s="292">
        <v>23233.33</v>
      </c>
      <c r="H59" s="293">
        <v>45202.0</v>
      </c>
      <c r="I59" s="135" t="s">
        <v>103</v>
      </c>
      <c r="J59" s="99" t="s">
        <v>126</v>
      </c>
      <c r="K59" s="131"/>
      <c r="L59" s="67"/>
    </row>
    <row r="60">
      <c r="A60" s="67"/>
      <c r="B60" s="99" t="s">
        <v>99</v>
      </c>
      <c r="C60" s="135" t="s">
        <v>146</v>
      </c>
      <c r="D60" s="135" t="s">
        <v>101</v>
      </c>
      <c r="E60" s="119" t="s">
        <v>102</v>
      </c>
      <c r="F60" s="119">
        <v>570.0</v>
      </c>
      <c r="G60" s="292">
        <v>23233.33</v>
      </c>
      <c r="H60" s="293">
        <v>45202.0</v>
      </c>
      <c r="I60" s="135" t="s">
        <v>103</v>
      </c>
      <c r="J60" s="99" t="s">
        <v>126</v>
      </c>
      <c r="K60" s="131"/>
      <c r="L60" s="67"/>
    </row>
    <row r="61">
      <c r="A61" s="67"/>
      <c r="B61" s="99" t="s">
        <v>99</v>
      </c>
      <c r="C61" s="135" t="s">
        <v>136</v>
      </c>
      <c r="D61" s="135" t="s">
        <v>137</v>
      </c>
      <c r="E61" s="119" t="s">
        <v>138</v>
      </c>
      <c r="F61" s="119">
        <v>1991.0</v>
      </c>
      <c r="G61" s="292">
        <v>13920.0</v>
      </c>
      <c r="H61" s="293">
        <v>45148.0</v>
      </c>
      <c r="I61" s="135" t="s">
        <v>139</v>
      </c>
      <c r="J61" s="99" t="s">
        <v>147</v>
      </c>
      <c r="K61" s="131"/>
      <c r="L61" s="67"/>
    </row>
    <row r="62">
      <c r="A62" s="67"/>
      <c r="B62" s="99" t="s">
        <v>99</v>
      </c>
      <c r="C62" s="135" t="s">
        <v>146</v>
      </c>
      <c r="D62" s="135" t="s">
        <v>106</v>
      </c>
      <c r="E62" s="119" t="s">
        <v>107</v>
      </c>
      <c r="F62" s="119" t="s">
        <v>148</v>
      </c>
      <c r="G62" s="292">
        <v>5684.14</v>
      </c>
      <c r="H62" s="293">
        <v>45232.0</v>
      </c>
      <c r="I62" s="135" t="s">
        <v>109</v>
      </c>
      <c r="J62" s="99" t="s">
        <v>149</v>
      </c>
      <c r="K62" s="131"/>
      <c r="L62" s="67"/>
    </row>
    <row r="63">
      <c r="A63" s="67"/>
      <c r="B63" s="99" t="s">
        <v>99</v>
      </c>
      <c r="C63" s="135" t="s">
        <v>150</v>
      </c>
      <c r="D63" s="135" t="s">
        <v>106</v>
      </c>
      <c r="E63" s="119" t="s">
        <v>107</v>
      </c>
      <c r="F63" s="119" t="s">
        <v>148</v>
      </c>
      <c r="G63" s="292">
        <v>5684.14</v>
      </c>
      <c r="H63" s="293">
        <v>45232.0</v>
      </c>
      <c r="I63" s="135" t="s">
        <v>109</v>
      </c>
      <c r="J63" s="99" t="s">
        <v>149</v>
      </c>
      <c r="K63" s="131"/>
      <c r="L63" s="67"/>
    </row>
    <row r="64">
      <c r="A64" s="67"/>
      <c r="B64" s="99" t="s">
        <v>99</v>
      </c>
      <c r="C64" s="135" t="s">
        <v>146</v>
      </c>
      <c r="D64" s="135" t="s">
        <v>101</v>
      </c>
      <c r="E64" s="119" t="s">
        <v>102</v>
      </c>
      <c r="F64" s="119">
        <v>608.0</v>
      </c>
      <c r="G64" s="292">
        <v>69700.0</v>
      </c>
      <c r="H64" s="293">
        <v>45237.0</v>
      </c>
      <c r="I64" s="135" t="s">
        <v>103</v>
      </c>
      <c r="J64" s="99" t="s">
        <v>132</v>
      </c>
      <c r="K64" s="131"/>
      <c r="L64" s="67"/>
    </row>
    <row r="65">
      <c r="A65" s="67"/>
      <c r="B65" s="99" t="s">
        <v>99</v>
      </c>
      <c r="C65" s="135" t="s">
        <v>136</v>
      </c>
      <c r="D65" s="135" t="s">
        <v>137</v>
      </c>
      <c r="E65" s="119" t="s">
        <v>138</v>
      </c>
      <c r="F65" s="119">
        <v>3054.0</v>
      </c>
      <c r="G65" s="292">
        <v>23400.0</v>
      </c>
      <c r="H65" s="293">
        <v>45244.0</v>
      </c>
      <c r="I65" s="135" t="s">
        <v>139</v>
      </c>
      <c r="J65" s="99" t="s">
        <v>151</v>
      </c>
      <c r="K65" s="131"/>
      <c r="L65" s="67"/>
    </row>
    <row r="66">
      <c r="A66" s="67"/>
      <c r="B66" s="99" t="s">
        <v>99</v>
      </c>
      <c r="C66" s="135" t="s">
        <v>146</v>
      </c>
      <c r="D66" s="135" t="s">
        <v>106</v>
      </c>
      <c r="E66" s="119" t="s">
        <v>107</v>
      </c>
      <c r="F66" s="119" t="s">
        <v>152</v>
      </c>
      <c r="G66" s="292">
        <v>5305.71</v>
      </c>
      <c r="H66" s="293">
        <v>45262.0</v>
      </c>
      <c r="I66" s="135" t="s">
        <v>109</v>
      </c>
      <c r="J66" s="99" t="s">
        <v>153</v>
      </c>
      <c r="K66" s="131"/>
      <c r="L66" s="67"/>
    </row>
    <row r="67">
      <c r="A67" s="67"/>
      <c r="B67" s="99" t="s">
        <v>99</v>
      </c>
      <c r="C67" s="135" t="s">
        <v>150</v>
      </c>
      <c r="D67" s="135" t="s">
        <v>106</v>
      </c>
      <c r="E67" s="119" t="s">
        <v>107</v>
      </c>
      <c r="F67" s="119" t="s">
        <v>152</v>
      </c>
      <c r="G67" s="292">
        <v>5305.71</v>
      </c>
      <c r="H67" s="293">
        <v>45262.0</v>
      </c>
      <c r="I67" s="135" t="s">
        <v>109</v>
      </c>
      <c r="J67" s="99" t="s">
        <v>153</v>
      </c>
      <c r="K67" s="131"/>
      <c r="L67" s="67"/>
    </row>
    <row r="68">
      <c r="A68" s="67"/>
      <c r="B68" s="99" t="s">
        <v>99</v>
      </c>
      <c r="C68" s="135" t="s">
        <v>136</v>
      </c>
      <c r="D68" s="135" t="s">
        <v>137</v>
      </c>
      <c r="E68" s="119" t="s">
        <v>138</v>
      </c>
      <c r="F68" s="119">
        <v>3108.0</v>
      </c>
      <c r="G68" s="292">
        <v>41040.0</v>
      </c>
      <c r="H68" s="293">
        <v>45244.0</v>
      </c>
      <c r="I68" s="135" t="s">
        <v>139</v>
      </c>
      <c r="J68" s="99" t="s">
        <v>154</v>
      </c>
      <c r="K68" s="131"/>
      <c r="L68" s="67"/>
    </row>
    <row r="69">
      <c r="A69" s="67"/>
      <c r="B69" s="99" t="s">
        <v>99</v>
      </c>
      <c r="C69" s="135" t="s">
        <v>146</v>
      </c>
      <c r="D69" s="135" t="s">
        <v>101</v>
      </c>
      <c r="E69" s="119" t="s">
        <v>102</v>
      </c>
      <c r="F69" s="119">
        <v>643.0</v>
      </c>
      <c r="G69" s="292">
        <v>34850.0</v>
      </c>
      <c r="H69" s="293">
        <v>45282.0</v>
      </c>
      <c r="I69" s="135" t="s">
        <v>103</v>
      </c>
      <c r="J69" s="99" t="s">
        <v>104</v>
      </c>
      <c r="K69" s="131"/>
      <c r="L69" s="67"/>
    </row>
    <row r="70">
      <c r="A70" s="67"/>
      <c r="B70" s="99" t="s">
        <v>99</v>
      </c>
      <c r="C70" s="135" t="s">
        <v>150</v>
      </c>
      <c r="D70" s="135" t="s">
        <v>101</v>
      </c>
      <c r="E70" s="119" t="s">
        <v>102</v>
      </c>
      <c r="F70" s="119">
        <v>643.0</v>
      </c>
      <c r="G70" s="292">
        <v>34850.0</v>
      </c>
      <c r="H70" s="293">
        <v>45282.0</v>
      </c>
      <c r="I70" s="135" t="s">
        <v>103</v>
      </c>
      <c r="J70" s="99" t="s">
        <v>104</v>
      </c>
      <c r="K70" s="131"/>
      <c r="L70" s="67"/>
    </row>
    <row r="71">
      <c r="A71" s="67"/>
      <c r="B71" s="99" t="s">
        <v>99</v>
      </c>
      <c r="C71" s="135" t="s">
        <v>146</v>
      </c>
      <c r="D71" s="135" t="s">
        <v>106</v>
      </c>
      <c r="E71" s="119" t="s">
        <v>107</v>
      </c>
      <c r="F71" s="119" t="s">
        <v>155</v>
      </c>
      <c r="G71" s="292">
        <v>5412.76</v>
      </c>
      <c r="H71" s="293">
        <v>44928.0</v>
      </c>
      <c r="I71" s="135" t="s">
        <v>109</v>
      </c>
      <c r="J71" s="99" t="s">
        <v>156</v>
      </c>
      <c r="K71" s="67"/>
      <c r="L71" s="67"/>
    </row>
    <row r="72">
      <c r="A72" s="67"/>
      <c r="B72" s="99" t="s">
        <v>99</v>
      </c>
      <c r="C72" s="135" t="s">
        <v>150</v>
      </c>
      <c r="D72" s="135" t="s">
        <v>106</v>
      </c>
      <c r="E72" s="119" t="s">
        <v>107</v>
      </c>
      <c r="F72" s="119" t="s">
        <v>155</v>
      </c>
      <c r="G72" s="292">
        <v>5412.76</v>
      </c>
      <c r="H72" s="293">
        <v>44928.0</v>
      </c>
      <c r="I72" s="135" t="s">
        <v>109</v>
      </c>
      <c r="J72" s="99" t="s">
        <v>156</v>
      </c>
      <c r="K72" s="67"/>
      <c r="L72" s="67"/>
    </row>
  </sheetData>
  <autoFilter ref="$B$11:$K$72"/>
  <mergeCells count="1">
    <mergeCell ref="B5:D6"/>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0E0E3"/>
    <outlinePr summaryBelow="0" summaryRight="0"/>
  </sheetPr>
  <sheetViews>
    <sheetView showGridLines="0" workbookViewId="0"/>
  </sheetViews>
  <sheetFormatPr customHeight="1" defaultColWidth="12.63" defaultRowHeight="15.75"/>
  <cols>
    <col customWidth="1" min="1" max="1" width="2.0"/>
    <col customWidth="1" min="3" max="3" width="6.38"/>
    <col customWidth="1" min="4" max="4" width="2.0"/>
    <col customWidth="1" min="5" max="5" width="18.88"/>
    <col customWidth="1" min="8" max="9" width="2.0"/>
    <col customWidth="1" min="10" max="10" width="6.38"/>
    <col customWidth="1" min="11" max="11" width="2.0"/>
    <col customWidth="1" min="13" max="13" width="2.63"/>
    <col customWidth="1" min="14" max="14" width="2.75"/>
  </cols>
  <sheetData>
    <row r="1" ht="11.25" customHeight="1">
      <c r="A1" s="96"/>
      <c r="B1" s="71"/>
      <c r="C1" s="71"/>
      <c r="D1" s="71"/>
      <c r="E1" s="71"/>
      <c r="F1" s="71"/>
      <c r="G1" s="71"/>
      <c r="H1" s="71"/>
      <c r="I1" s="71"/>
      <c r="J1" s="71"/>
      <c r="K1" s="71"/>
      <c r="L1" s="71"/>
      <c r="M1" s="71"/>
      <c r="N1" s="71"/>
    </row>
    <row r="2">
      <c r="A2" s="71"/>
      <c r="B2" s="70" t="s">
        <v>174</v>
      </c>
      <c r="C2" s="71"/>
      <c r="D2" s="71"/>
      <c r="E2" s="71"/>
      <c r="F2" s="71"/>
      <c r="G2" s="71"/>
      <c r="H2" s="71"/>
      <c r="I2" s="71"/>
      <c r="J2" s="71"/>
      <c r="K2" s="71"/>
      <c r="L2" s="71"/>
      <c r="M2" s="71"/>
      <c r="N2" s="71"/>
    </row>
    <row r="3">
      <c r="A3" s="71"/>
      <c r="B3" s="79" t="s">
        <v>57</v>
      </c>
      <c r="C3" s="71"/>
      <c r="D3" s="71"/>
      <c r="E3" s="71"/>
      <c r="F3" s="71"/>
      <c r="G3" s="71"/>
      <c r="N3" s="71"/>
    </row>
    <row r="4">
      <c r="A4" s="71"/>
      <c r="B4" s="96" t="s">
        <v>473</v>
      </c>
      <c r="C4" s="71"/>
      <c r="D4" s="71"/>
      <c r="E4" s="71"/>
      <c r="F4" s="71"/>
      <c r="G4" s="71"/>
      <c r="H4" s="71"/>
      <c r="I4" s="206"/>
      <c r="J4" s="159" t="s">
        <v>200</v>
      </c>
      <c r="K4" s="71"/>
      <c r="L4" s="71"/>
      <c r="M4" s="207" t="b">
        <v>1</v>
      </c>
      <c r="N4" s="71"/>
    </row>
    <row r="5">
      <c r="A5" s="71"/>
      <c r="B5" s="76" t="s">
        <v>474</v>
      </c>
      <c r="G5" s="71"/>
      <c r="H5" s="71"/>
      <c r="I5" s="206"/>
      <c r="J5" s="159" t="s">
        <v>201</v>
      </c>
      <c r="K5" s="71"/>
      <c r="L5" s="71"/>
      <c r="M5" s="207" t="b">
        <v>0</v>
      </c>
      <c r="N5" s="71"/>
    </row>
    <row r="6">
      <c r="A6" s="71"/>
      <c r="G6" s="71"/>
      <c r="H6" s="71"/>
      <c r="I6" s="206"/>
      <c r="J6" s="159" t="s">
        <v>202</v>
      </c>
      <c r="K6" s="71"/>
      <c r="L6" s="71"/>
      <c r="M6" s="207" t="b">
        <v>0</v>
      </c>
      <c r="N6" s="71"/>
    </row>
    <row r="7">
      <c r="A7" s="71"/>
      <c r="B7" s="71"/>
      <c r="C7" s="71"/>
      <c r="D7" s="71"/>
      <c r="E7" s="71"/>
      <c r="F7" s="71"/>
      <c r="G7" s="71"/>
      <c r="H7" s="71"/>
      <c r="I7" s="71"/>
      <c r="J7" s="159"/>
      <c r="K7" s="71"/>
      <c r="L7" s="71"/>
      <c r="M7" s="71"/>
      <c r="N7" s="71"/>
    </row>
    <row r="8">
      <c r="A8" s="71"/>
      <c r="B8" s="70" t="s">
        <v>60</v>
      </c>
      <c r="C8" s="71"/>
      <c r="D8" s="71"/>
      <c r="E8" s="71"/>
      <c r="F8" s="71"/>
      <c r="G8" s="71"/>
      <c r="H8" s="71"/>
      <c r="N8" s="71"/>
    </row>
    <row r="9">
      <c r="A9" s="71"/>
      <c r="B9" s="79" t="s">
        <v>379</v>
      </c>
      <c r="C9" s="71"/>
      <c r="D9" s="71"/>
      <c r="E9" s="71"/>
      <c r="F9" s="71"/>
      <c r="G9" s="71"/>
      <c r="H9" s="71"/>
      <c r="I9" s="71"/>
      <c r="J9" s="71"/>
      <c r="K9" s="71"/>
      <c r="L9" s="71"/>
      <c r="M9" s="71"/>
      <c r="N9" s="71"/>
    </row>
    <row r="10">
      <c r="A10" s="71"/>
      <c r="B10" s="71"/>
      <c r="C10" s="71"/>
      <c r="D10" s="71"/>
      <c r="E10" s="297" t="s">
        <v>475</v>
      </c>
      <c r="F10" s="71"/>
      <c r="G10" s="71"/>
      <c r="H10" s="71"/>
      <c r="I10" s="71"/>
      <c r="J10" s="71"/>
      <c r="K10" s="71"/>
      <c r="L10" s="71"/>
      <c r="M10" s="71"/>
      <c r="N10" s="71"/>
    </row>
    <row r="11">
      <c r="A11" s="71"/>
      <c r="B11" s="208" t="s">
        <v>380</v>
      </c>
      <c r="C11" s="71"/>
      <c r="D11" s="206"/>
      <c r="E11" s="209" t="s">
        <v>476</v>
      </c>
      <c r="H11" s="71"/>
      <c r="I11" s="71"/>
      <c r="J11" s="71"/>
      <c r="K11" s="71"/>
      <c r="L11" s="71"/>
      <c r="M11" s="71"/>
      <c r="N11" s="71"/>
    </row>
    <row r="12">
      <c r="A12" s="71"/>
      <c r="B12" s="71"/>
      <c r="C12" s="71"/>
      <c r="D12" s="71"/>
      <c r="E12" s="71"/>
      <c r="F12" s="71"/>
      <c r="G12" s="71"/>
      <c r="H12" s="71"/>
      <c r="I12" s="206"/>
      <c r="J12" s="159" t="s">
        <v>382</v>
      </c>
      <c r="K12" s="69"/>
      <c r="L12" s="69"/>
      <c r="M12" s="210" t="s">
        <v>383</v>
      </c>
      <c r="N12" s="71"/>
    </row>
    <row r="13">
      <c r="A13" s="71"/>
      <c r="B13" s="208" t="s">
        <v>384</v>
      </c>
      <c r="C13" s="71"/>
      <c r="D13" s="206"/>
      <c r="E13" s="211" t="s">
        <v>386</v>
      </c>
      <c r="G13" s="212"/>
      <c r="H13" s="71"/>
      <c r="I13" s="206"/>
      <c r="J13" s="159" t="s">
        <v>385</v>
      </c>
      <c r="K13" s="69"/>
      <c r="L13" s="69"/>
      <c r="M13" s="210" t="s">
        <v>383</v>
      </c>
      <c r="N13" s="71"/>
    </row>
    <row r="14">
      <c r="A14" s="71"/>
      <c r="B14" s="71"/>
      <c r="C14" s="71"/>
      <c r="D14" s="71"/>
      <c r="E14" s="71"/>
      <c r="F14" s="71"/>
      <c r="G14" s="71"/>
      <c r="H14" s="71"/>
      <c r="I14" s="206"/>
      <c r="J14" s="159" t="s">
        <v>386</v>
      </c>
      <c r="K14" s="69"/>
      <c r="L14" s="69"/>
      <c r="M14" s="210" t="s">
        <v>383</v>
      </c>
      <c r="N14" s="71"/>
    </row>
    <row r="15">
      <c r="A15" s="71"/>
      <c r="B15" s="208" t="s">
        <v>387</v>
      </c>
      <c r="C15" s="71"/>
      <c r="D15" s="206"/>
      <c r="E15" s="209" t="s">
        <v>477</v>
      </c>
      <c r="H15" s="214"/>
      <c r="I15" s="214"/>
      <c r="J15" s="215"/>
      <c r="K15" s="215"/>
      <c r="L15" s="215"/>
      <c r="M15" s="215"/>
      <c r="N15" s="71"/>
    </row>
    <row r="16">
      <c r="A16" s="71"/>
      <c r="B16" s="71"/>
      <c r="C16" s="71"/>
      <c r="D16" s="71"/>
      <c r="E16" s="71"/>
      <c r="F16" s="71"/>
      <c r="G16" s="71"/>
      <c r="H16" s="71"/>
      <c r="I16" s="206"/>
      <c r="J16" s="159" t="s">
        <v>389</v>
      </c>
      <c r="K16" s="69"/>
      <c r="L16" s="69"/>
      <c r="M16" s="210" t="s">
        <v>383</v>
      </c>
      <c r="N16" s="71"/>
    </row>
    <row r="17">
      <c r="A17" s="71"/>
      <c r="B17" s="208" t="s">
        <v>390</v>
      </c>
      <c r="C17" s="71"/>
      <c r="D17" s="206"/>
      <c r="E17" s="211" t="s">
        <v>391</v>
      </c>
      <c r="G17" s="212"/>
      <c r="H17" s="71"/>
      <c r="I17" s="206"/>
      <c r="J17" s="159" t="s">
        <v>391</v>
      </c>
      <c r="K17" s="69"/>
      <c r="L17" s="69"/>
      <c r="M17" s="210" t="s">
        <v>383</v>
      </c>
      <c r="N17" s="71"/>
    </row>
    <row r="18">
      <c r="A18" s="71"/>
      <c r="B18" s="216"/>
      <c r="C18" s="217"/>
      <c r="D18" s="217"/>
      <c r="E18" s="217"/>
      <c r="F18" s="71"/>
      <c r="G18" s="71"/>
      <c r="H18" s="71"/>
      <c r="I18" s="206"/>
      <c r="J18" s="218" t="s">
        <v>392</v>
      </c>
      <c r="K18" s="219"/>
      <c r="L18" s="219"/>
      <c r="M18" s="220" t="s">
        <v>383</v>
      </c>
      <c r="N18" s="71"/>
    </row>
    <row r="19">
      <c r="A19" s="71"/>
      <c r="B19" s="208" t="s">
        <v>393</v>
      </c>
      <c r="C19" s="71"/>
      <c r="D19" s="206"/>
      <c r="E19" s="209" t="s">
        <v>478</v>
      </c>
      <c r="H19" s="71"/>
      <c r="I19" s="71"/>
      <c r="J19" s="221" t="s">
        <v>395</v>
      </c>
      <c r="N19" s="71"/>
    </row>
    <row r="20">
      <c r="A20" s="71"/>
      <c r="B20" s="71"/>
      <c r="C20" s="71"/>
      <c r="D20" s="71"/>
      <c r="E20" s="71"/>
      <c r="F20" s="71"/>
      <c r="G20" s="71"/>
      <c r="H20" s="71"/>
      <c r="I20" s="206"/>
      <c r="J20" s="159" t="s">
        <v>396</v>
      </c>
      <c r="K20" s="69"/>
      <c r="L20" s="69"/>
      <c r="M20" s="210" t="s">
        <v>383</v>
      </c>
      <c r="N20" s="71"/>
    </row>
    <row r="21">
      <c r="A21" s="71"/>
      <c r="B21" s="208" t="s">
        <v>397</v>
      </c>
      <c r="C21" s="71"/>
      <c r="D21" s="206"/>
      <c r="E21" s="211" t="s">
        <v>399</v>
      </c>
      <c r="G21" s="212"/>
      <c r="H21" s="71"/>
      <c r="I21" s="206"/>
      <c r="J21" s="159" t="s">
        <v>398</v>
      </c>
      <c r="K21" s="69"/>
      <c r="L21" s="69"/>
      <c r="M21" s="210" t="s">
        <v>383</v>
      </c>
      <c r="N21" s="71"/>
    </row>
    <row r="22">
      <c r="A22" s="71"/>
      <c r="B22" s="71"/>
      <c r="C22" s="71"/>
      <c r="D22" s="71"/>
      <c r="E22" s="71"/>
      <c r="F22" s="71"/>
      <c r="G22" s="71"/>
      <c r="H22" s="71"/>
      <c r="I22" s="206"/>
      <c r="J22" s="159" t="s">
        <v>399</v>
      </c>
      <c r="K22" s="69"/>
      <c r="L22" s="69"/>
      <c r="M22" s="210" t="s">
        <v>383</v>
      </c>
      <c r="N22" s="71"/>
    </row>
    <row r="23">
      <c r="A23" s="71"/>
      <c r="B23" s="208" t="s">
        <v>400</v>
      </c>
      <c r="C23" s="71"/>
      <c r="D23" s="206"/>
      <c r="E23" s="209" t="s">
        <v>479</v>
      </c>
      <c r="H23" s="71"/>
      <c r="I23" s="71"/>
      <c r="J23" s="71"/>
      <c r="K23" s="71"/>
      <c r="L23" s="71"/>
      <c r="M23" s="71"/>
      <c r="N23" s="71"/>
    </row>
    <row r="24">
      <c r="A24" s="71"/>
      <c r="B24" s="71"/>
      <c r="C24" s="71"/>
      <c r="D24" s="71"/>
      <c r="E24" s="71"/>
      <c r="F24" s="71"/>
      <c r="G24" s="71"/>
      <c r="H24" s="71"/>
      <c r="I24" s="71"/>
      <c r="J24" s="71"/>
      <c r="K24" s="71"/>
      <c r="L24" s="71"/>
      <c r="M24" s="71"/>
      <c r="N24" s="71"/>
    </row>
    <row r="25">
      <c r="A25" s="71"/>
      <c r="B25" s="208" t="s">
        <v>402</v>
      </c>
      <c r="C25" s="71"/>
      <c r="D25" s="206"/>
      <c r="E25" s="209" t="s">
        <v>480</v>
      </c>
      <c r="H25" s="71"/>
      <c r="I25" s="71"/>
      <c r="J25" s="71"/>
      <c r="K25" s="71"/>
      <c r="L25" s="71"/>
      <c r="M25" s="71"/>
      <c r="N25" s="71"/>
    </row>
    <row r="26">
      <c r="A26" s="71"/>
      <c r="B26" s="71"/>
      <c r="C26" s="71"/>
      <c r="D26" s="71"/>
      <c r="E26" s="71"/>
      <c r="F26" s="71"/>
      <c r="G26" s="71"/>
      <c r="H26" s="71"/>
      <c r="I26" s="71"/>
      <c r="J26" s="71"/>
      <c r="K26" s="71"/>
      <c r="L26" s="71"/>
      <c r="M26" s="71"/>
      <c r="N26" s="71"/>
    </row>
    <row r="27">
      <c r="A27" s="71"/>
      <c r="B27" s="208" t="s">
        <v>404</v>
      </c>
      <c r="C27" s="71"/>
      <c r="D27" s="206"/>
      <c r="E27" s="222" t="s">
        <v>314</v>
      </c>
      <c r="F27" s="223" t="s">
        <v>405</v>
      </c>
      <c r="G27" s="222" t="s">
        <v>406</v>
      </c>
      <c r="H27" s="224" t="s">
        <v>407</v>
      </c>
      <c r="I27" s="225"/>
      <c r="J27" s="216"/>
      <c r="K27" s="216"/>
      <c r="L27" s="212"/>
      <c r="M27" s="71"/>
      <c r="N27" s="71"/>
    </row>
    <row r="28">
      <c r="A28" s="71"/>
      <c r="B28" s="226" t="s">
        <v>213</v>
      </c>
      <c r="D28" s="206"/>
      <c r="E28" s="211" t="s">
        <v>278</v>
      </c>
      <c r="F28" s="298" t="s">
        <v>481</v>
      </c>
      <c r="G28" s="298" t="s">
        <v>411</v>
      </c>
      <c r="H28" s="99" t="b">
        <v>1</v>
      </c>
      <c r="J28" s="216"/>
      <c r="K28" s="206"/>
      <c r="L28" s="159" t="s">
        <v>39</v>
      </c>
      <c r="M28" s="210" t="s">
        <v>383</v>
      </c>
      <c r="N28" s="71"/>
    </row>
    <row r="29">
      <c r="A29" s="71"/>
      <c r="D29" s="206"/>
      <c r="E29" s="211" t="s">
        <v>281</v>
      </c>
      <c r="F29" s="298" t="s">
        <v>346</v>
      </c>
      <c r="G29" s="298" t="s">
        <v>409</v>
      </c>
      <c r="H29" s="99" t="b">
        <v>1</v>
      </c>
      <c r="J29" s="216"/>
      <c r="K29" s="206"/>
      <c r="L29" s="159" t="s">
        <v>411</v>
      </c>
      <c r="M29" s="71"/>
      <c r="N29" s="71"/>
    </row>
    <row r="30">
      <c r="A30" s="71"/>
      <c r="B30" s="71"/>
      <c r="C30" s="71"/>
      <c r="D30" s="206"/>
      <c r="E30" s="211"/>
      <c r="F30" s="298"/>
      <c r="G30" s="299"/>
      <c r="H30" s="99" t="b">
        <v>0</v>
      </c>
      <c r="J30" s="216"/>
      <c r="K30" s="206"/>
      <c r="L30" s="159" t="s">
        <v>409</v>
      </c>
      <c r="M30" s="71"/>
      <c r="N30" s="71"/>
    </row>
    <row r="31">
      <c r="A31" s="71"/>
      <c r="B31" s="71"/>
      <c r="C31" s="71"/>
      <c r="D31" s="206"/>
      <c r="E31" s="211"/>
      <c r="F31" s="298"/>
      <c r="G31" s="299"/>
      <c r="H31" s="99" t="b">
        <v>0</v>
      </c>
      <c r="J31" s="216"/>
      <c r="K31" s="206"/>
      <c r="L31" s="159" t="s">
        <v>43</v>
      </c>
      <c r="M31" s="71"/>
      <c r="N31" s="71"/>
    </row>
    <row r="32">
      <c r="A32" s="71"/>
      <c r="B32" s="71"/>
      <c r="C32" s="71"/>
      <c r="D32" s="206"/>
      <c r="E32" s="211"/>
      <c r="F32" s="299"/>
      <c r="G32" s="299"/>
      <c r="H32" s="99" t="b">
        <v>0</v>
      </c>
      <c r="J32" s="71"/>
      <c r="K32" s="206"/>
      <c r="L32" s="159" t="s">
        <v>44</v>
      </c>
      <c r="M32" s="71"/>
      <c r="N32" s="71"/>
    </row>
    <row r="33">
      <c r="A33" s="71"/>
      <c r="B33" s="71"/>
      <c r="C33" s="71"/>
      <c r="D33" s="206"/>
      <c r="E33" s="211"/>
      <c r="F33" s="298"/>
      <c r="G33" s="299"/>
      <c r="H33" s="99" t="b">
        <v>0</v>
      </c>
      <c r="J33" s="71"/>
      <c r="K33" s="71"/>
      <c r="L33" s="71"/>
      <c r="M33" s="71"/>
      <c r="N33" s="71"/>
    </row>
    <row r="34">
      <c r="A34" s="71"/>
      <c r="B34" s="71"/>
      <c r="C34" s="71"/>
      <c r="D34" s="206"/>
      <c r="E34" s="211"/>
      <c r="F34" s="298"/>
      <c r="G34" s="298"/>
      <c r="H34" s="99" t="b">
        <v>0</v>
      </c>
      <c r="J34" s="71"/>
      <c r="K34" s="71"/>
      <c r="L34" s="71"/>
      <c r="M34" s="71"/>
      <c r="N34" s="71"/>
    </row>
    <row r="35">
      <c r="A35" s="71"/>
      <c r="B35" s="208"/>
      <c r="C35" s="71"/>
      <c r="D35" s="71"/>
      <c r="E35" s="71"/>
      <c r="F35" s="71"/>
      <c r="G35" s="71"/>
      <c r="H35" s="71"/>
      <c r="I35" s="71"/>
      <c r="J35" s="71"/>
      <c r="K35" s="71"/>
      <c r="L35" s="71"/>
      <c r="M35" s="71"/>
      <c r="N35" s="71"/>
    </row>
    <row r="36">
      <c r="A36" s="71"/>
      <c r="B36" s="208" t="s">
        <v>414</v>
      </c>
      <c r="C36" s="71"/>
      <c r="D36" s="71"/>
      <c r="E36" s="71"/>
      <c r="F36" s="71"/>
      <c r="G36" s="71"/>
      <c r="H36" s="71"/>
      <c r="I36" s="71"/>
      <c r="J36" s="71"/>
      <c r="K36" s="71"/>
      <c r="L36" s="71"/>
      <c r="M36" s="71"/>
      <c r="N36" s="71"/>
    </row>
    <row r="37">
      <c r="A37" s="71"/>
      <c r="B37" s="159" t="s">
        <v>482</v>
      </c>
      <c r="C37" s="71"/>
      <c r="D37" s="71"/>
      <c r="E37" s="71"/>
      <c r="F37" s="71"/>
      <c r="G37" s="71"/>
      <c r="H37" s="71"/>
      <c r="I37" s="71"/>
      <c r="J37" s="71"/>
      <c r="K37" s="71"/>
      <c r="L37" s="71"/>
      <c r="M37" s="71"/>
      <c r="N37" s="71"/>
    </row>
    <row r="38">
      <c r="A38" s="71"/>
      <c r="B38" s="208"/>
      <c r="C38" s="71"/>
      <c r="D38" s="71"/>
      <c r="E38" s="71"/>
      <c r="F38" s="71"/>
      <c r="G38" s="71"/>
      <c r="H38" s="71"/>
      <c r="I38" s="71"/>
      <c r="J38" s="71"/>
      <c r="K38" s="71"/>
      <c r="L38" s="71"/>
      <c r="M38" s="71"/>
      <c r="N38" s="71"/>
    </row>
    <row r="39">
      <c r="A39" s="71"/>
      <c r="B39" s="208"/>
      <c r="C39" s="71"/>
      <c r="D39" s="71"/>
      <c r="E39" s="71"/>
      <c r="F39" s="71"/>
      <c r="G39" s="71"/>
      <c r="H39" s="71"/>
      <c r="I39" s="71"/>
      <c r="J39" s="71"/>
      <c r="K39" s="71"/>
      <c r="L39" s="71"/>
      <c r="M39" s="71"/>
      <c r="N39" s="71"/>
    </row>
    <row r="40">
      <c r="A40" s="71"/>
      <c r="B40" s="208"/>
      <c r="C40" s="71"/>
      <c r="D40" s="71"/>
      <c r="E40" s="71"/>
      <c r="F40" s="71"/>
      <c r="G40" s="71"/>
      <c r="H40" s="71"/>
      <c r="I40" s="71"/>
      <c r="J40" s="71"/>
      <c r="K40" s="71"/>
      <c r="L40" s="71"/>
      <c r="M40" s="71"/>
      <c r="N40" s="71"/>
    </row>
    <row r="41">
      <c r="A41" s="71"/>
      <c r="B41" s="208"/>
      <c r="C41" s="71"/>
      <c r="D41" s="71"/>
      <c r="E41" s="71"/>
      <c r="F41" s="71"/>
      <c r="G41" s="71"/>
      <c r="H41" s="71"/>
      <c r="I41" s="71"/>
      <c r="J41" s="71"/>
      <c r="K41" s="71"/>
      <c r="L41" s="71"/>
      <c r="M41" s="71"/>
      <c r="N41" s="71"/>
    </row>
    <row r="42">
      <c r="A42" s="71"/>
      <c r="B42" s="208"/>
      <c r="C42" s="71"/>
      <c r="D42" s="71"/>
      <c r="E42" s="71"/>
      <c r="F42" s="71"/>
      <c r="G42" s="71"/>
      <c r="H42" s="71"/>
      <c r="I42" s="71"/>
      <c r="J42" s="71"/>
      <c r="K42" s="71"/>
      <c r="L42" s="71"/>
      <c r="M42" s="71"/>
      <c r="N42" s="71"/>
    </row>
    <row r="43">
      <c r="A43" s="71"/>
      <c r="B43" s="71"/>
      <c r="C43" s="71"/>
      <c r="D43" s="71"/>
      <c r="E43" s="71"/>
      <c r="F43" s="71"/>
      <c r="G43" s="71"/>
      <c r="H43" s="71"/>
      <c r="I43" s="71"/>
      <c r="J43" s="71"/>
      <c r="K43" s="71"/>
      <c r="L43" s="71"/>
      <c r="M43" s="71"/>
      <c r="N43" s="71"/>
    </row>
    <row r="44">
      <c r="A44" s="71"/>
      <c r="B44" s="71"/>
      <c r="C44" s="71"/>
      <c r="D44" s="71"/>
      <c r="E44" s="71"/>
      <c r="F44" s="71"/>
      <c r="G44" s="71"/>
      <c r="H44" s="71"/>
      <c r="I44" s="71"/>
      <c r="J44" s="71"/>
      <c r="K44" s="71"/>
      <c r="L44" s="71"/>
      <c r="M44" s="71"/>
      <c r="N44" s="71"/>
    </row>
    <row r="45">
      <c r="A45" s="71"/>
      <c r="B45" s="71"/>
      <c r="C45" s="71"/>
      <c r="D45" s="71"/>
      <c r="E45" s="71"/>
      <c r="F45" s="71"/>
      <c r="G45" s="71"/>
      <c r="H45" s="71"/>
      <c r="I45" s="71"/>
      <c r="J45" s="71"/>
      <c r="K45" s="71"/>
      <c r="L45" s="71"/>
      <c r="M45" s="71"/>
      <c r="N45" s="71"/>
    </row>
    <row r="46">
      <c r="A46" s="71"/>
      <c r="B46" s="71"/>
      <c r="C46" s="71"/>
      <c r="D46" s="71"/>
      <c r="E46" s="71"/>
      <c r="F46" s="71"/>
      <c r="G46" s="71"/>
      <c r="H46" s="71"/>
      <c r="I46" s="71"/>
      <c r="J46" s="71"/>
      <c r="K46" s="71"/>
      <c r="L46" s="71"/>
      <c r="M46" s="71"/>
      <c r="N46" s="71"/>
    </row>
    <row r="47">
      <c r="A47" s="71"/>
      <c r="B47" s="71"/>
      <c r="C47" s="71"/>
      <c r="D47" s="71"/>
      <c r="E47" s="71"/>
      <c r="F47" s="71"/>
      <c r="G47" s="71"/>
      <c r="H47" s="71"/>
      <c r="I47" s="71"/>
      <c r="J47" s="71"/>
      <c r="K47" s="71"/>
      <c r="L47" s="71"/>
      <c r="M47" s="71"/>
      <c r="N47" s="71"/>
    </row>
    <row r="48">
      <c r="A48" s="71"/>
      <c r="B48" s="71"/>
      <c r="C48" s="71"/>
      <c r="D48" s="71"/>
      <c r="E48" s="71"/>
      <c r="F48" s="71"/>
      <c r="G48" s="71"/>
      <c r="H48" s="71"/>
      <c r="I48" s="71"/>
      <c r="J48" s="71"/>
      <c r="K48" s="71"/>
      <c r="L48" s="71"/>
      <c r="M48" s="71"/>
      <c r="N48" s="71"/>
    </row>
    <row r="49">
      <c r="A49" s="71"/>
      <c r="B49" s="71"/>
      <c r="C49" s="71"/>
      <c r="D49" s="71"/>
      <c r="E49" s="71"/>
      <c r="F49" s="71"/>
      <c r="G49" s="71"/>
      <c r="H49" s="71"/>
      <c r="I49" s="71"/>
      <c r="J49" s="71"/>
      <c r="K49" s="71"/>
      <c r="L49" s="71"/>
      <c r="M49" s="71"/>
      <c r="N49" s="71"/>
    </row>
    <row r="50">
      <c r="A50" s="71"/>
      <c r="B50" s="71"/>
      <c r="C50" s="71"/>
      <c r="D50" s="71"/>
      <c r="E50" s="71"/>
      <c r="F50" s="71"/>
      <c r="G50" s="71"/>
      <c r="H50" s="71"/>
      <c r="I50" s="71"/>
      <c r="J50" s="71"/>
      <c r="K50" s="71"/>
      <c r="L50" s="71"/>
      <c r="M50" s="71"/>
      <c r="N50" s="71"/>
    </row>
    <row r="51">
      <c r="A51" s="71"/>
      <c r="B51" s="71"/>
      <c r="C51" s="71"/>
      <c r="D51" s="71"/>
      <c r="E51" s="71"/>
      <c r="F51" s="71"/>
      <c r="G51" s="71"/>
      <c r="H51" s="71"/>
      <c r="I51" s="71"/>
      <c r="J51" s="71"/>
      <c r="K51" s="71"/>
      <c r="L51" s="71"/>
      <c r="M51" s="71"/>
      <c r="N51" s="71"/>
    </row>
  </sheetData>
  <mergeCells count="19">
    <mergeCell ref="B5:F6"/>
    <mergeCell ref="E11:G11"/>
    <mergeCell ref="E13:F13"/>
    <mergeCell ref="E15:G15"/>
    <mergeCell ref="E17:F17"/>
    <mergeCell ref="E19:G19"/>
    <mergeCell ref="J19:M19"/>
    <mergeCell ref="H30:I30"/>
    <mergeCell ref="H31:I31"/>
    <mergeCell ref="H32:I32"/>
    <mergeCell ref="H33:I33"/>
    <mergeCell ref="H34:I34"/>
    <mergeCell ref="E21:F21"/>
    <mergeCell ref="E23:G23"/>
    <mergeCell ref="E25:G25"/>
    <mergeCell ref="H27:I27"/>
    <mergeCell ref="B28:C29"/>
    <mergeCell ref="H28:I28"/>
    <mergeCell ref="H29:I29"/>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 type="list" allowBlank="1" showInputMessage="1" prompt="Clique e insira um valor de intervalo" sqref="G28:G34">
      <formula1>$L$28:$L$32</formula1>
    </dataValidation>
  </dataValidations>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0E0E3"/>
    <outlinePr summaryBelow="0" summaryRight="0"/>
  </sheetPr>
  <sheetViews>
    <sheetView showGridLines="0" workbookViewId="0"/>
  </sheetViews>
  <sheetFormatPr customHeight="1" defaultColWidth="12.63" defaultRowHeight="15.75"/>
  <cols>
    <col customWidth="1" min="1" max="1" width="2.63"/>
    <col customWidth="1" min="2" max="3" width="18.88"/>
    <col customWidth="1" min="4" max="4" width="31.38"/>
    <col customWidth="1" min="5" max="5" width="18.88"/>
    <col customWidth="1" min="6" max="7" width="12.63"/>
    <col customWidth="1" min="8" max="8" width="31.38"/>
    <col customWidth="1" min="9" max="10" width="5.13"/>
  </cols>
  <sheetData>
    <row r="1" ht="11.25" customHeight="1">
      <c r="A1" s="67"/>
      <c r="B1" s="67"/>
      <c r="C1" s="67"/>
      <c r="D1" s="67"/>
      <c r="E1" s="67"/>
      <c r="F1" s="68"/>
      <c r="G1" s="67"/>
      <c r="H1" s="67"/>
      <c r="I1" s="67"/>
      <c r="J1" s="67"/>
    </row>
    <row r="2">
      <c r="A2" s="67"/>
      <c r="B2" s="70" t="s">
        <v>56</v>
      </c>
      <c r="C2" s="70"/>
      <c r="D2" s="71"/>
      <c r="E2" s="71"/>
      <c r="F2" s="72"/>
      <c r="G2" s="67"/>
      <c r="H2" s="67"/>
      <c r="I2" s="67"/>
      <c r="J2" s="67"/>
    </row>
    <row r="3">
      <c r="A3" s="67"/>
      <c r="B3" s="79" t="s">
        <v>57</v>
      </c>
      <c r="C3" s="79"/>
      <c r="D3" s="71"/>
      <c r="E3" s="71"/>
      <c r="F3" s="72"/>
      <c r="G3" s="67"/>
      <c r="H3" s="67"/>
      <c r="I3" s="67"/>
      <c r="J3" s="67"/>
    </row>
    <row r="4">
      <c r="A4" s="67"/>
      <c r="B4" s="96" t="s">
        <v>483</v>
      </c>
      <c r="C4" s="96"/>
      <c r="D4" s="71"/>
      <c r="E4" s="71"/>
      <c r="F4" s="72"/>
      <c r="G4" s="67"/>
      <c r="H4" s="67"/>
      <c r="I4" s="67"/>
      <c r="J4" s="67"/>
    </row>
    <row r="5">
      <c r="A5" s="67"/>
      <c r="B5" s="76" t="s">
        <v>59</v>
      </c>
      <c r="E5" s="76"/>
      <c r="F5" s="76"/>
      <c r="G5" s="78"/>
      <c r="H5" s="67"/>
      <c r="I5" s="67"/>
      <c r="J5" s="67"/>
    </row>
    <row r="6">
      <c r="A6" s="67"/>
      <c r="E6" s="76"/>
      <c r="F6" s="76"/>
      <c r="G6" s="78"/>
      <c r="H6" s="67"/>
      <c r="I6" s="67"/>
      <c r="J6" s="67"/>
    </row>
    <row r="7">
      <c r="A7" s="67"/>
      <c r="B7" s="71"/>
      <c r="C7" s="71"/>
      <c r="D7" s="71"/>
      <c r="E7" s="71"/>
      <c r="F7" s="72"/>
      <c r="G7" s="78"/>
      <c r="H7" s="67"/>
      <c r="I7" s="67"/>
      <c r="J7" s="67"/>
    </row>
    <row r="8">
      <c r="A8" s="67"/>
      <c r="B8" s="70" t="s">
        <v>60</v>
      </c>
      <c r="C8" s="70"/>
      <c r="D8" s="71"/>
      <c r="E8" s="253" t="s">
        <v>418</v>
      </c>
      <c r="F8" s="72"/>
      <c r="G8" s="253" t="s">
        <v>419</v>
      </c>
      <c r="H8" s="67"/>
      <c r="I8" s="67"/>
      <c r="J8" s="67"/>
    </row>
    <row r="9">
      <c r="A9" s="67"/>
      <c r="B9" s="79" t="s">
        <v>420</v>
      </c>
      <c r="C9" s="79"/>
      <c r="D9" s="71"/>
      <c r="E9" s="254"/>
      <c r="F9" s="72"/>
      <c r="G9" s="254"/>
      <c r="H9" s="67"/>
      <c r="I9" s="67"/>
      <c r="J9" s="67"/>
    </row>
    <row r="10">
      <c r="A10" s="67"/>
      <c r="B10" s="67"/>
      <c r="C10" s="67"/>
      <c r="D10" s="67"/>
      <c r="E10" s="255"/>
      <c r="F10" s="68"/>
      <c r="G10" s="255"/>
      <c r="H10" s="67"/>
      <c r="I10" s="67"/>
      <c r="J10" s="67"/>
    </row>
    <row r="11">
      <c r="A11" s="67"/>
      <c r="B11" s="80" t="s">
        <v>62</v>
      </c>
      <c r="C11" s="80" t="s">
        <v>63</v>
      </c>
      <c r="D11" s="80" t="s">
        <v>421</v>
      </c>
      <c r="E11" s="80" t="s">
        <v>422</v>
      </c>
      <c r="F11" s="81" t="s">
        <v>423</v>
      </c>
      <c r="G11" s="81" t="s">
        <v>424</v>
      </c>
      <c r="H11" s="80" t="s">
        <v>425</v>
      </c>
      <c r="I11" s="98"/>
      <c r="J11" s="67"/>
    </row>
    <row r="12">
      <c r="A12" s="67"/>
      <c r="B12" s="99" t="s">
        <v>52</v>
      </c>
      <c r="C12" s="135" t="s">
        <v>277</v>
      </c>
      <c r="D12" s="135" t="s">
        <v>279</v>
      </c>
      <c r="E12" s="135" t="s">
        <v>484</v>
      </c>
      <c r="F12" s="287">
        <v>45021.0</v>
      </c>
      <c r="G12" s="287">
        <v>45072.0</v>
      </c>
      <c r="H12" s="107"/>
      <c r="I12" s="67"/>
      <c r="J12" s="67"/>
    </row>
    <row r="13">
      <c r="A13" s="67"/>
      <c r="B13" s="99" t="s">
        <v>52</v>
      </c>
      <c r="C13" s="135" t="s">
        <v>280</v>
      </c>
      <c r="D13" s="135" t="s">
        <v>282</v>
      </c>
      <c r="E13" s="135" t="s">
        <v>485</v>
      </c>
      <c r="F13" s="288">
        <v>45021.0</v>
      </c>
      <c r="G13" s="287">
        <v>45072.0</v>
      </c>
      <c r="H13" s="107"/>
      <c r="I13" s="67"/>
      <c r="J13" s="67"/>
    </row>
    <row r="14">
      <c r="A14" s="67"/>
      <c r="B14" s="99" t="s">
        <v>52</v>
      </c>
      <c r="C14" s="99" t="s">
        <v>283</v>
      </c>
      <c r="D14" s="135" t="s">
        <v>486</v>
      </c>
      <c r="E14" s="135" t="s">
        <v>487</v>
      </c>
      <c r="F14" s="287">
        <v>45041.0</v>
      </c>
      <c r="G14" s="287">
        <v>45195.0</v>
      </c>
      <c r="H14" s="107"/>
      <c r="I14" s="67"/>
      <c r="J14" s="67"/>
    </row>
    <row r="15">
      <c r="A15" s="67"/>
      <c r="B15" s="99" t="s">
        <v>52</v>
      </c>
      <c r="C15" s="135" t="s">
        <v>285</v>
      </c>
      <c r="D15" s="135" t="s">
        <v>286</v>
      </c>
      <c r="E15" s="135" t="s">
        <v>488</v>
      </c>
      <c r="F15" s="287">
        <v>45195.0</v>
      </c>
      <c r="G15" s="287">
        <v>45225.0</v>
      </c>
      <c r="H15" s="107"/>
      <c r="I15" s="67"/>
      <c r="J15" s="67"/>
    </row>
    <row r="16">
      <c r="A16" s="67"/>
      <c r="B16" s="99"/>
      <c r="C16" s="135" t="s">
        <v>489</v>
      </c>
      <c r="D16" s="135" t="s">
        <v>490</v>
      </c>
      <c r="E16" s="135" t="s">
        <v>491</v>
      </c>
      <c r="F16" s="287">
        <v>45323.0</v>
      </c>
      <c r="G16" s="287">
        <v>45474.0</v>
      </c>
      <c r="H16" s="107"/>
      <c r="I16" s="67"/>
      <c r="J16" s="67"/>
    </row>
  </sheetData>
  <mergeCells count="3">
    <mergeCell ref="B5:D6"/>
    <mergeCell ref="E8:E9"/>
    <mergeCell ref="G8:G9"/>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0E0E3"/>
    <outlinePr summaryBelow="0" summaryRight="0"/>
  </sheetPr>
  <sheetViews>
    <sheetView showGridLines="0" workbookViewId="0"/>
  </sheetViews>
  <sheetFormatPr customHeight="1" defaultColWidth="12.63" defaultRowHeight="15.75"/>
  <cols>
    <col customWidth="1" min="1" max="1" width="2.63"/>
    <col customWidth="1" min="2" max="2" width="6.38"/>
    <col customWidth="1" min="3" max="6" width="18.88"/>
    <col customWidth="1" min="8" max="8" width="10.13"/>
    <col customWidth="1" min="10" max="10" width="30.38"/>
    <col customWidth="1" min="11" max="12" width="5.13"/>
  </cols>
  <sheetData>
    <row r="1" ht="11.25" customHeight="1">
      <c r="A1" s="67"/>
      <c r="B1" s="67"/>
      <c r="C1" s="67"/>
      <c r="D1" s="67"/>
      <c r="E1" s="67"/>
      <c r="F1" s="67"/>
      <c r="G1" s="68"/>
      <c r="H1" s="78"/>
      <c r="I1" s="67"/>
      <c r="J1" s="67"/>
      <c r="K1" s="67"/>
      <c r="L1" s="67"/>
    </row>
    <row r="2">
      <c r="A2" s="67"/>
      <c r="B2" s="70" t="s">
        <v>56</v>
      </c>
      <c r="C2" s="71"/>
      <c r="D2" s="71"/>
      <c r="E2" s="71"/>
      <c r="F2" s="71"/>
      <c r="G2" s="72"/>
      <c r="H2" s="78"/>
      <c r="I2" s="67"/>
      <c r="J2" s="67"/>
      <c r="K2" s="67"/>
      <c r="L2" s="67"/>
    </row>
    <row r="3">
      <c r="A3" s="67"/>
      <c r="B3" s="79" t="s">
        <v>57</v>
      </c>
      <c r="C3" s="71"/>
      <c r="D3" s="71"/>
      <c r="E3" s="71"/>
      <c r="F3" s="71"/>
      <c r="G3" s="72"/>
      <c r="H3" s="78"/>
      <c r="I3" s="67"/>
      <c r="J3" s="67"/>
      <c r="K3" s="67"/>
      <c r="L3" s="67"/>
    </row>
    <row r="4">
      <c r="A4" s="67"/>
      <c r="B4" s="96" t="s">
        <v>492</v>
      </c>
      <c r="C4" s="71"/>
      <c r="D4" s="71"/>
      <c r="E4" s="71"/>
      <c r="F4" s="71"/>
      <c r="G4" s="72"/>
      <c r="H4" s="78"/>
      <c r="I4" s="67"/>
      <c r="J4" s="67"/>
      <c r="K4" s="67"/>
      <c r="L4" s="67"/>
    </row>
    <row r="5">
      <c r="A5" s="67"/>
      <c r="B5" s="76" t="s">
        <v>59</v>
      </c>
      <c r="E5" s="76"/>
      <c r="F5" s="76"/>
      <c r="G5" s="76"/>
      <c r="H5" s="78"/>
      <c r="I5" s="67"/>
      <c r="J5" s="67"/>
      <c r="K5" s="67"/>
      <c r="L5" s="67"/>
    </row>
    <row r="6">
      <c r="A6" s="67"/>
      <c r="E6" s="76"/>
      <c r="F6" s="76"/>
      <c r="G6" s="76"/>
      <c r="H6" s="78"/>
      <c r="I6" s="102" t="s">
        <v>204</v>
      </c>
      <c r="J6" s="67"/>
      <c r="K6" s="67"/>
      <c r="L6" s="67"/>
    </row>
    <row r="7">
      <c r="A7" s="67"/>
      <c r="B7" s="71"/>
      <c r="C7" s="71"/>
      <c r="D7" s="71"/>
      <c r="E7" s="71"/>
      <c r="F7" s="71"/>
      <c r="G7" s="72"/>
      <c r="H7" s="78"/>
      <c r="I7" s="102" t="s">
        <v>205</v>
      </c>
      <c r="J7" s="67"/>
      <c r="K7" s="67"/>
      <c r="L7" s="67"/>
    </row>
    <row r="8">
      <c r="A8" s="67"/>
      <c r="B8" s="70" t="s">
        <v>60</v>
      </c>
      <c r="C8" s="71"/>
      <c r="D8" s="71"/>
      <c r="E8" s="71"/>
      <c r="F8" s="71"/>
      <c r="G8" s="72"/>
      <c r="H8" s="78"/>
      <c r="I8" s="102" t="s">
        <v>206</v>
      </c>
      <c r="J8" s="67"/>
      <c r="K8" s="67"/>
      <c r="L8" s="67"/>
    </row>
    <row r="9">
      <c r="A9" s="67"/>
      <c r="B9" s="79" t="s">
        <v>207</v>
      </c>
      <c r="C9" s="71"/>
      <c r="D9" s="71"/>
      <c r="E9" s="71"/>
      <c r="F9" s="71"/>
      <c r="G9" s="72"/>
      <c r="H9" s="78"/>
      <c r="I9" s="102" t="s">
        <v>208</v>
      </c>
      <c r="J9" s="67"/>
      <c r="K9" s="67"/>
      <c r="L9" s="67"/>
    </row>
    <row r="10">
      <c r="A10" s="67"/>
      <c r="B10" s="67"/>
      <c r="C10" s="67"/>
      <c r="D10" s="67"/>
      <c r="E10" s="67"/>
      <c r="F10" s="67"/>
      <c r="G10" s="68"/>
      <c r="H10" s="78">
        <f>SUM(H12:H15)</f>
        <v>488</v>
      </c>
      <c r="I10" s="103"/>
      <c r="J10" s="67"/>
      <c r="K10" s="67"/>
      <c r="L10" s="67"/>
    </row>
    <row r="11">
      <c r="A11" s="67"/>
      <c r="B11" s="80" t="s">
        <v>209</v>
      </c>
      <c r="C11" s="80" t="s">
        <v>62</v>
      </c>
      <c r="D11" s="80" t="s">
        <v>63</v>
      </c>
      <c r="E11" s="80" t="s">
        <v>210</v>
      </c>
      <c r="F11" s="80" t="s">
        <v>211</v>
      </c>
      <c r="G11" s="82" t="s">
        <v>68</v>
      </c>
      <c r="H11" s="239" t="s">
        <v>212</v>
      </c>
      <c r="I11" s="80" t="s">
        <v>214</v>
      </c>
      <c r="J11" s="80" t="s">
        <v>215</v>
      </c>
      <c r="K11" s="98"/>
      <c r="L11" s="67"/>
    </row>
    <row r="12">
      <c r="A12" s="67"/>
      <c r="B12" s="99"/>
      <c r="C12" s="99" t="s">
        <v>52</v>
      </c>
      <c r="D12" s="135" t="s">
        <v>277</v>
      </c>
      <c r="E12" s="99" t="s">
        <v>278</v>
      </c>
      <c r="F12" s="99"/>
      <c r="G12" s="287">
        <v>45021.0</v>
      </c>
      <c r="H12" s="105">
        <v>96.0</v>
      </c>
      <c r="I12" s="99" t="s">
        <v>205</v>
      </c>
      <c r="J12" s="135" t="s">
        <v>279</v>
      </c>
      <c r="K12" s="67"/>
      <c r="L12" s="67"/>
    </row>
    <row r="13">
      <c r="A13" s="67"/>
      <c r="B13" s="99"/>
      <c r="C13" s="99" t="s">
        <v>52</v>
      </c>
      <c r="D13" s="135" t="s">
        <v>280</v>
      </c>
      <c r="E13" s="99" t="s">
        <v>493</v>
      </c>
      <c r="F13" s="99"/>
      <c r="G13" s="287">
        <v>45021.0</v>
      </c>
      <c r="H13" s="105">
        <v>88.0</v>
      </c>
      <c r="I13" s="99" t="s">
        <v>208</v>
      </c>
      <c r="J13" s="135" t="s">
        <v>282</v>
      </c>
      <c r="K13" s="67"/>
      <c r="L13" s="67"/>
    </row>
    <row r="14">
      <c r="A14" s="67"/>
      <c r="B14" s="99"/>
      <c r="C14" s="99" t="s">
        <v>52</v>
      </c>
      <c r="D14" s="135" t="s">
        <v>283</v>
      </c>
      <c r="E14" s="99" t="s">
        <v>493</v>
      </c>
      <c r="F14" s="99"/>
      <c r="G14" s="287">
        <v>45021.0</v>
      </c>
      <c r="H14" s="105">
        <v>216.0</v>
      </c>
      <c r="I14" s="99" t="s">
        <v>205</v>
      </c>
      <c r="J14" s="135" t="s">
        <v>284</v>
      </c>
      <c r="K14" s="67"/>
      <c r="L14" s="67"/>
    </row>
    <row r="15">
      <c r="A15" s="67"/>
      <c r="B15" s="99"/>
      <c r="C15" s="99" t="s">
        <v>52</v>
      </c>
      <c r="D15" s="135" t="s">
        <v>285</v>
      </c>
      <c r="E15" s="99" t="s">
        <v>493</v>
      </c>
      <c r="F15" s="99"/>
      <c r="G15" s="287">
        <v>45195.0</v>
      </c>
      <c r="H15" s="105">
        <v>88.0</v>
      </c>
      <c r="I15" s="99" t="s">
        <v>206</v>
      </c>
      <c r="J15" s="135" t="s">
        <v>286</v>
      </c>
      <c r="K15" s="67"/>
      <c r="L15" s="67"/>
    </row>
  </sheetData>
  <mergeCells count="1">
    <mergeCell ref="B5:D6"/>
  </mergeCells>
  <dataValidations>
    <dataValidation type="list" allowBlank="1" sqref="I12:I15">
      <formula1>$I$6:$I$9</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0E0E3"/>
    <outlinePr summaryBelow="0" summaryRight="0"/>
  </sheetPr>
  <sheetViews>
    <sheetView showGridLines="0" workbookViewId="0"/>
  </sheetViews>
  <sheetFormatPr customHeight="1" defaultColWidth="12.63" defaultRowHeight="15.75"/>
  <cols>
    <col customWidth="1" min="1" max="1" width="2.63"/>
    <col customWidth="1" min="2" max="5" width="18.88"/>
    <col customWidth="1" min="6" max="8" width="12.63"/>
    <col customWidth="1" min="9" max="10" width="31.38"/>
    <col customWidth="1" min="11" max="12" width="5.13"/>
  </cols>
  <sheetData>
    <row r="1" ht="11.25" customHeight="1">
      <c r="A1" s="67"/>
      <c r="B1" s="67"/>
      <c r="C1" s="67"/>
      <c r="D1" s="67"/>
      <c r="E1" s="67"/>
      <c r="F1" s="67"/>
      <c r="G1" s="259"/>
      <c r="H1" s="68"/>
      <c r="I1" s="67"/>
      <c r="J1" s="67"/>
      <c r="K1" s="67"/>
      <c r="L1" s="67"/>
    </row>
    <row r="2">
      <c r="A2" s="67"/>
      <c r="B2" s="70" t="s">
        <v>56</v>
      </c>
      <c r="C2" s="71"/>
      <c r="D2" s="71"/>
      <c r="E2" s="71"/>
      <c r="F2" s="71"/>
      <c r="G2" s="260"/>
      <c r="H2" s="72"/>
      <c r="I2" s="67"/>
      <c r="J2" s="67"/>
      <c r="K2" s="67"/>
      <c r="L2" s="67"/>
    </row>
    <row r="3">
      <c r="A3" s="67"/>
      <c r="B3" s="79" t="s">
        <v>57</v>
      </c>
      <c r="C3" s="71"/>
      <c r="D3" s="71"/>
      <c r="E3" s="71"/>
      <c r="F3" s="71"/>
      <c r="G3" s="260"/>
      <c r="H3" s="72"/>
      <c r="I3" s="67"/>
      <c r="J3" s="67"/>
      <c r="K3" s="67"/>
      <c r="L3" s="67"/>
    </row>
    <row r="4">
      <c r="A4" s="67"/>
      <c r="B4" s="96" t="s">
        <v>483</v>
      </c>
      <c r="C4" s="71"/>
      <c r="D4" s="71"/>
      <c r="E4" s="71"/>
      <c r="F4" s="71"/>
      <c r="G4" s="260"/>
      <c r="H4" s="72"/>
      <c r="I4" s="67"/>
      <c r="J4" s="67"/>
      <c r="K4" s="67"/>
      <c r="L4" s="67"/>
    </row>
    <row r="5">
      <c r="A5" s="67"/>
      <c r="B5" s="76" t="s">
        <v>59</v>
      </c>
      <c r="E5" s="76"/>
      <c r="F5" s="76"/>
      <c r="G5" s="261"/>
      <c r="H5" s="76"/>
      <c r="I5" s="67"/>
      <c r="J5" s="67"/>
      <c r="K5" s="67"/>
      <c r="L5" s="67"/>
    </row>
    <row r="6">
      <c r="A6" s="67"/>
      <c r="E6" s="76"/>
      <c r="F6" s="76"/>
      <c r="G6" s="261"/>
      <c r="H6" s="76"/>
      <c r="I6" s="67"/>
      <c r="J6" s="67"/>
      <c r="K6" s="67"/>
      <c r="L6" s="67"/>
    </row>
    <row r="7">
      <c r="A7" s="67"/>
      <c r="B7" s="71"/>
      <c r="C7" s="78"/>
      <c r="D7" s="78"/>
      <c r="E7" s="78"/>
      <c r="F7" s="78"/>
      <c r="G7" s="78"/>
      <c r="H7" s="78"/>
      <c r="I7" s="67"/>
      <c r="J7" s="67"/>
      <c r="K7" s="67"/>
      <c r="L7" s="67"/>
    </row>
    <row r="8">
      <c r="A8" s="67"/>
      <c r="B8" s="70" t="s">
        <v>60</v>
      </c>
      <c r="C8" s="78"/>
      <c r="D8" s="78"/>
      <c r="E8" s="78"/>
      <c r="F8" s="78"/>
      <c r="G8" s="78"/>
      <c r="H8" s="78"/>
      <c r="I8" s="67"/>
      <c r="J8" s="67"/>
      <c r="K8" s="67"/>
      <c r="L8" s="67"/>
    </row>
    <row r="9">
      <c r="A9" s="67"/>
      <c r="B9" s="79" t="s">
        <v>61</v>
      </c>
      <c r="C9" s="78"/>
      <c r="D9" s="78"/>
      <c r="E9" s="78"/>
      <c r="F9" s="78"/>
      <c r="G9" s="78"/>
      <c r="H9" s="78"/>
      <c r="I9" s="67"/>
      <c r="J9" s="67"/>
      <c r="K9" s="67"/>
      <c r="L9" s="67"/>
    </row>
    <row r="10">
      <c r="A10" s="67"/>
      <c r="B10" s="67"/>
      <c r="C10" s="78"/>
      <c r="D10" s="78"/>
      <c r="E10" s="78"/>
      <c r="F10" s="78"/>
      <c r="G10" s="78"/>
      <c r="H10" s="78"/>
      <c r="I10" s="67"/>
      <c r="J10" s="67"/>
      <c r="K10" s="67"/>
      <c r="L10" s="67"/>
    </row>
    <row r="11">
      <c r="A11" s="67"/>
      <c r="B11" s="80" t="s">
        <v>62</v>
      </c>
      <c r="C11" s="80" t="s">
        <v>63</v>
      </c>
      <c r="D11" s="80" t="s">
        <v>64</v>
      </c>
      <c r="E11" s="80" t="s">
        <v>65</v>
      </c>
      <c r="F11" s="81" t="s">
        <v>66</v>
      </c>
      <c r="G11" s="239" t="s">
        <v>67</v>
      </c>
      <c r="H11" s="81" t="s">
        <v>68</v>
      </c>
      <c r="I11" s="80" t="s">
        <v>69</v>
      </c>
      <c r="J11" s="80" t="s">
        <v>70</v>
      </c>
      <c r="K11" s="98"/>
      <c r="L11" s="67"/>
    </row>
    <row r="12">
      <c r="A12" s="67"/>
      <c r="B12" s="99" t="s">
        <v>52</v>
      </c>
      <c r="C12" s="135"/>
      <c r="D12" s="135"/>
      <c r="E12" s="135"/>
      <c r="F12" s="119"/>
      <c r="G12" s="292"/>
      <c r="H12" s="300"/>
      <c r="I12" s="135"/>
      <c r="J12" s="99"/>
      <c r="K12" s="131"/>
      <c r="L12" s="67"/>
    </row>
  </sheetData>
  <mergeCells count="1">
    <mergeCell ref="B5:D6"/>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EAD3"/>
    <outlinePr summaryBelow="0" summaryRight="0"/>
  </sheetPr>
  <sheetViews>
    <sheetView showGridLines="0" workbookViewId="0"/>
  </sheetViews>
  <sheetFormatPr customHeight="1" defaultColWidth="12.63" defaultRowHeight="15.75"/>
  <cols>
    <col customWidth="1" min="1" max="1" width="2.0"/>
    <col customWidth="1" min="3" max="3" width="6.38"/>
    <col customWidth="1" min="4" max="4" width="2.0"/>
    <col customWidth="1" min="5" max="5" width="18.88"/>
    <col customWidth="1" min="8" max="9" width="2.0"/>
    <col customWidth="1" min="10" max="10" width="6.38"/>
    <col customWidth="1" min="11" max="11" width="2.0"/>
    <col customWidth="1" min="13" max="13" width="2.63"/>
    <col customWidth="1" min="14" max="14" width="2.75"/>
  </cols>
  <sheetData>
    <row r="1" ht="11.25" customHeight="1">
      <c r="A1" s="96" t="b">
        <v>0</v>
      </c>
      <c r="B1" s="71"/>
      <c r="C1" s="71"/>
      <c r="D1" s="71"/>
      <c r="E1" s="71"/>
      <c r="F1" s="71"/>
      <c r="G1" s="71"/>
      <c r="H1" s="71"/>
      <c r="I1" s="71"/>
      <c r="J1" s="71"/>
      <c r="K1" s="71"/>
      <c r="L1" s="71"/>
      <c r="M1" s="71"/>
      <c r="N1" s="71"/>
    </row>
    <row r="2">
      <c r="A2" s="71"/>
      <c r="B2" s="70" t="s">
        <v>174</v>
      </c>
      <c r="C2" s="71"/>
      <c r="D2" s="71"/>
      <c r="E2" s="71"/>
      <c r="F2" s="71"/>
      <c r="G2" s="71"/>
      <c r="H2" s="71"/>
      <c r="I2" s="71"/>
      <c r="J2" s="71"/>
      <c r="K2" s="71"/>
      <c r="L2" s="71"/>
      <c r="M2" s="71"/>
      <c r="N2" s="71"/>
    </row>
    <row r="3">
      <c r="A3" s="71"/>
      <c r="B3" s="79" t="s">
        <v>57</v>
      </c>
      <c r="C3" s="71"/>
      <c r="D3" s="71"/>
      <c r="E3" s="71"/>
      <c r="F3" s="71"/>
      <c r="G3" s="71"/>
      <c r="N3" s="71"/>
    </row>
    <row r="4">
      <c r="A4" s="71"/>
      <c r="B4" s="96" t="s">
        <v>494</v>
      </c>
      <c r="C4" s="71"/>
      <c r="D4" s="71"/>
      <c r="E4" s="71"/>
      <c r="F4" s="71"/>
      <c r="G4" s="71"/>
      <c r="H4" s="71"/>
      <c r="I4" s="206"/>
      <c r="J4" s="159" t="s">
        <v>200</v>
      </c>
      <c r="K4" s="71"/>
      <c r="L4" s="71"/>
      <c r="M4" s="207" t="b">
        <v>1</v>
      </c>
      <c r="N4" s="71"/>
    </row>
    <row r="5">
      <c r="A5" s="71"/>
      <c r="B5" s="76" t="s">
        <v>495</v>
      </c>
      <c r="G5" s="71"/>
      <c r="H5" s="71"/>
      <c r="I5" s="206"/>
      <c r="J5" s="159" t="s">
        <v>201</v>
      </c>
      <c r="K5" s="71"/>
      <c r="L5" s="71"/>
      <c r="M5" s="207" t="b">
        <v>0</v>
      </c>
      <c r="N5" s="71"/>
    </row>
    <row r="6">
      <c r="A6" s="71"/>
      <c r="G6" s="71"/>
      <c r="H6" s="71"/>
      <c r="I6" s="206"/>
      <c r="J6" s="159" t="s">
        <v>202</v>
      </c>
      <c r="K6" s="71"/>
      <c r="L6" s="71"/>
      <c r="M6" s="207" t="b">
        <v>0</v>
      </c>
      <c r="N6" s="71"/>
    </row>
    <row r="7">
      <c r="A7" s="71"/>
      <c r="B7" s="71"/>
      <c r="C7" s="71"/>
      <c r="D7" s="71"/>
      <c r="E7" s="71"/>
      <c r="F7" s="71"/>
      <c r="G7" s="71"/>
      <c r="H7" s="71"/>
      <c r="I7" s="71"/>
      <c r="J7" s="159"/>
      <c r="K7" s="71"/>
      <c r="L7" s="71"/>
      <c r="M7" s="71"/>
      <c r="N7" s="71"/>
    </row>
    <row r="8">
      <c r="A8" s="71"/>
      <c r="B8" s="70" t="s">
        <v>60</v>
      </c>
      <c r="C8" s="71"/>
      <c r="D8" s="71"/>
      <c r="E8" s="71"/>
      <c r="F8" s="71"/>
      <c r="G8" s="71"/>
      <c r="H8" s="71"/>
      <c r="N8" s="71"/>
    </row>
    <row r="9">
      <c r="A9" s="71"/>
      <c r="B9" s="79" t="s">
        <v>379</v>
      </c>
      <c r="C9" s="71"/>
      <c r="D9" s="71"/>
      <c r="E9" s="71"/>
      <c r="F9" s="71"/>
      <c r="G9" s="71"/>
      <c r="H9" s="71"/>
      <c r="I9" s="71"/>
      <c r="J9" s="71"/>
      <c r="K9" s="71"/>
      <c r="L9" s="71"/>
      <c r="M9" s="71"/>
      <c r="N9" s="71"/>
    </row>
    <row r="10">
      <c r="A10" s="71"/>
      <c r="B10" s="71"/>
      <c r="C10" s="71"/>
      <c r="D10" s="71"/>
      <c r="E10" s="297" t="s">
        <v>496</v>
      </c>
      <c r="F10" s="71"/>
      <c r="G10" s="71"/>
      <c r="H10" s="71"/>
      <c r="I10" s="71"/>
      <c r="J10" s="71"/>
      <c r="K10" s="71"/>
      <c r="L10" s="71"/>
      <c r="M10" s="71"/>
      <c r="N10" s="71"/>
    </row>
    <row r="11">
      <c r="A11" s="71"/>
      <c r="B11" s="208" t="s">
        <v>380</v>
      </c>
      <c r="C11" s="71"/>
      <c r="D11" s="206"/>
      <c r="E11" s="209" t="s">
        <v>497</v>
      </c>
      <c r="H11" s="71"/>
      <c r="I11" s="71"/>
      <c r="J11" s="71"/>
      <c r="K11" s="71"/>
      <c r="L11" s="71"/>
      <c r="M11" s="71"/>
      <c r="N11" s="71"/>
    </row>
    <row r="12">
      <c r="A12" s="71"/>
      <c r="B12" s="71"/>
      <c r="C12" s="71"/>
      <c r="D12" s="71"/>
      <c r="E12" s="71"/>
      <c r="F12" s="71"/>
      <c r="G12" s="71"/>
      <c r="H12" s="71"/>
      <c r="I12" s="206"/>
      <c r="J12" s="159" t="s">
        <v>382</v>
      </c>
      <c r="K12" s="69"/>
      <c r="L12" s="69"/>
      <c r="M12" s="210" t="s">
        <v>383</v>
      </c>
      <c r="N12" s="71"/>
    </row>
    <row r="13">
      <c r="A13" s="71"/>
      <c r="B13" s="208" t="s">
        <v>384</v>
      </c>
      <c r="C13" s="71"/>
      <c r="D13" s="206"/>
      <c r="E13" s="211" t="s">
        <v>386</v>
      </c>
      <c r="G13" s="212"/>
      <c r="H13" s="71"/>
      <c r="I13" s="206"/>
      <c r="J13" s="159" t="s">
        <v>385</v>
      </c>
      <c r="K13" s="69"/>
      <c r="L13" s="69"/>
      <c r="M13" s="210" t="s">
        <v>383</v>
      </c>
      <c r="N13" s="71"/>
    </row>
    <row r="14">
      <c r="A14" s="71"/>
      <c r="B14" s="71"/>
      <c r="C14" s="71"/>
      <c r="D14" s="71"/>
      <c r="E14" s="71"/>
      <c r="F14" s="71"/>
      <c r="G14" s="71"/>
      <c r="H14" s="71"/>
      <c r="I14" s="206"/>
      <c r="J14" s="159" t="s">
        <v>386</v>
      </c>
      <c r="K14" s="69"/>
      <c r="L14" s="69"/>
      <c r="M14" s="210" t="s">
        <v>383</v>
      </c>
      <c r="N14" s="71"/>
    </row>
    <row r="15">
      <c r="A15" s="71"/>
      <c r="B15" s="208" t="s">
        <v>387</v>
      </c>
      <c r="C15" s="71"/>
      <c r="D15" s="206"/>
      <c r="E15" s="209" t="s">
        <v>498</v>
      </c>
      <c r="H15" s="214"/>
      <c r="I15" s="214"/>
      <c r="J15" s="215"/>
      <c r="K15" s="215"/>
      <c r="L15" s="215"/>
      <c r="M15" s="215"/>
      <c r="N15" s="71"/>
    </row>
    <row r="16">
      <c r="A16" s="71"/>
      <c r="B16" s="71"/>
      <c r="C16" s="71"/>
      <c r="D16" s="71"/>
      <c r="E16" s="71"/>
      <c r="F16" s="71"/>
      <c r="G16" s="71"/>
      <c r="H16" s="71"/>
      <c r="I16" s="206"/>
      <c r="J16" s="159" t="s">
        <v>389</v>
      </c>
      <c r="K16" s="69"/>
      <c r="L16" s="69"/>
      <c r="M16" s="210" t="s">
        <v>383</v>
      </c>
      <c r="N16" s="71"/>
    </row>
    <row r="17">
      <c r="A17" s="71"/>
      <c r="B17" s="208" t="s">
        <v>390</v>
      </c>
      <c r="C17" s="71"/>
      <c r="D17" s="206"/>
      <c r="E17" s="211" t="s">
        <v>389</v>
      </c>
      <c r="G17" s="212"/>
      <c r="H17" s="71"/>
      <c r="I17" s="206"/>
      <c r="J17" s="159" t="s">
        <v>391</v>
      </c>
      <c r="K17" s="69"/>
      <c r="L17" s="69"/>
      <c r="M17" s="210" t="s">
        <v>383</v>
      </c>
      <c r="N17" s="71"/>
    </row>
    <row r="18">
      <c r="A18" s="71"/>
      <c r="B18" s="216"/>
      <c r="C18" s="217"/>
      <c r="D18" s="217"/>
      <c r="E18" s="217"/>
      <c r="F18" s="71"/>
      <c r="G18" s="71"/>
      <c r="H18" s="71"/>
      <c r="I18" s="206"/>
      <c r="J18" s="218" t="s">
        <v>392</v>
      </c>
      <c r="K18" s="219"/>
      <c r="L18" s="219"/>
      <c r="M18" s="220" t="s">
        <v>383</v>
      </c>
      <c r="N18" s="71"/>
    </row>
    <row r="19">
      <c r="A19" s="71"/>
      <c r="B19" s="208" t="s">
        <v>393</v>
      </c>
      <c r="C19" s="71"/>
      <c r="D19" s="206"/>
      <c r="E19" s="209" t="s">
        <v>499</v>
      </c>
      <c r="H19" s="71"/>
      <c r="I19" s="71"/>
      <c r="J19" s="221" t="s">
        <v>395</v>
      </c>
      <c r="N19" s="71"/>
    </row>
    <row r="20">
      <c r="A20" s="71"/>
      <c r="B20" s="71"/>
      <c r="C20" s="71"/>
      <c r="D20" s="71"/>
      <c r="E20" s="71"/>
      <c r="F20" s="71"/>
      <c r="G20" s="71"/>
      <c r="H20" s="71"/>
      <c r="I20" s="206"/>
      <c r="J20" s="159" t="s">
        <v>396</v>
      </c>
      <c r="K20" s="69"/>
      <c r="L20" s="69"/>
      <c r="M20" s="210" t="s">
        <v>383</v>
      </c>
      <c r="N20" s="71"/>
    </row>
    <row r="21">
      <c r="A21" s="71"/>
      <c r="B21" s="208" t="s">
        <v>397</v>
      </c>
      <c r="C21" s="71"/>
      <c r="D21" s="206"/>
      <c r="E21" s="211" t="s">
        <v>399</v>
      </c>
      <c r="G21" s="212"/>
      <c r="H21" s="71"/>
      <c r="I21" s="206"/>
      <c r="J21" s="159" t="s">
        <v>398</v>
      </c>
      <c r="K21" s="69"/>
      <c r="L21" s="69"/>
      <c r="M21" s="210" t="s">
        <v>383</v>
      </c>
      <c r="N21" s="71"/>
    </row>
    <row r="22">
      <c r="A22" s="71"/>
      <c r="B22" s="71"/>
      <c r="C22" s="71"/>
      <c r="D22" s="71"/>
      <c r="E22" s="71"/>
      <c r="F22" s="71"/>
      <c r="G22" s="71"/>
      <c r="H22" s="71"/>
      <c r="I22" s="206"/>
      <c r="J22" s="159" t="s">
        <v>399</v>
      </c>
      <c r="K22" s="69"/>
      <c r="L22" s="69"/>
      <c r="M22" s="210" t="s">
        <v>383</v>
      </c>
      <c r="N22" s="71"/>
    </row>
    <row r="23">
      <c r="A23" s="71"/>
      <c r="B23" s="208" t="s">
        <v>400</v>
      </c>
      <c r="C23" s="71"/>
      <c r="D23" s="206"/>
      <c r="E23" s="209" t="s">
        <v>500</v>
      </c>
      <c r="H23" s="71"/>
      <c r="I23" s="71"/>
      <c r="J23" s="71"/>
      <c r="K23" s="71"/>
      <c r="L23" s="71"/>
      <c r="M23" s="71"/>
      <c r="N23" s="71"/>
    </row>
    <row r="24">
      <c r="A24" s="71"/>
      <c r="B24" s="71"/>
      <c r="C24" s="71"/>
      <c r="D24" s="71"/>
      <c r="E24" s="71"/>
      <c r="F24" s="71"/>
      <c r="G24" s="71"/>
      <c r="H24" s="71"/>
      <c r="I24" s="71"/>
      <c r="J24" s="71"/>
      <c r="K24" s="71"/>
      <c r="L24" s="71"/>
      <c r="M24" s="71"/>
      <c r="N24" s="71"/>
    </row>
    <row r="25">
      <c r="A25" s="71"/>
      <c r="B25" s="208" t="s">
        <v>402</v>
      </c>
      <c r="C25" s="71"/>
      <c r="D25" s="206"/>
      <c r="E25" s="209" t="s">
        <v>501</v>
      </c>
      <c r="H25" s="71"/>
      <c r="I25" s="71"/>
      <c r="J25" s="71"/>
      <c r="K25" s="71"/>
      <c r="L25" s="71"/>
      <c r="M25" s="71"/>
      <c r="N25" s="71"/>
    </row>
    <row r="26">
      <c r="A26" s="71"/>
      <c r="B26" s="71"/>
      <c r="C26" s="71"/>
      <c r="D26" s="71"/>
      <c r="E26" s="71"/>
      <c r="F26" s="71"/>
      <c r="G26" s="71"/>
      <c r="H26" s="71"/>
      <c r="I26" s="71"/>
      <c r="J26" s="71"/>
      <c r="K26" s="71"/>
      <c r="L26" s="71"/>
      <c r="M26" s="71"/>
      <c r="N26" s="71"/>
    </row>
    <row r="27">
      <c r="A27" s="71"/>
      <c r="B27" s="208" t="s">
        <v>404</v>
      </c>
      <c r="C27" s="71"/>
      <c r="D27" s="206"/>
      <c r="E27" s="222" t="s">
        <v>314</v>
      </c>
      <c r="F27" s="223" t="s">
        <v>405</v>
      </c>
      <c r="G27" s="222" t="s">
        <v>406</v>
      </c>
      <c r="H27" s="224" t="s">
        <v>407</v>
      </c>
      <c r="I27" s="225"/>
      <c r="J27" s="216"/>
      <c r="K27" s="216"/>
      <c r="L27" s="212"/>
      <c r="M27" s="71"/>
      <c r="N27" s="71"/>
    </row>
    <row r="28">
      <c r="A28" s="71"/>
      <c r="B28" s="226" t="s">
        <v>213</v>
      </c>
      <c r="D28" s="206"/>
      <c r="E28" s="211" t="s">
        <v>278</v>
      </c>
      <c r="F28" s="298" t="s">
        <v>481</v>
      </c>
      <c r="G28" s="298" t="s">
        <v>411</v>
      </c>
      <c r="H28" s="99" t="b">
        <v>1</v>
      </c>
      <c r="J28" s="216"/>
      <c r="K28" s="206"/>
      <c r="L28" s="159" t="s">
        <v>39</v>
      </c>
      <c r="M28" s="210" t="s">
        <v>383</v>
      </c>
      <c r="N28" s="71"/>
    </row>
    <row r="29">
      <c r="A29" s="71"/>
      <c r="D29" s="206"/>
      <c r="E29" s="211" t="s">
        <v>281</v>
      </c>
      <c r="F29" s="298" t="s">
        <v>346</v>
      </c>
      <c r="G29" s="298" t="s">
        <v>409</v>
      </c>
      <c r="H29" s="99" t="b">
        <v>1</v>
      </c>
      <c r="J29" s="216"/>
      <c r="K29" s="206"/>
      <c r="L29" s="159" t="s">
        <v>411</v>
      </c>
      <c r="M29" s="71"/>
      <c r="N29" s="71"/>
    </row>
    <row r="30">
      <c r="A30" s="71"/>
      <c r="B30" s="71"/>
      <c r="C30" s="71"/>
      <c r="D30" s="206"/>
      <c r="E30" s="211"/>
      <c r="F30" s="298"/>
      <c r="G30" s="299"/>
      <c r="H30" s="99" t="b">
        <v>0</v>
      </c>
      <c r="J30" s="216"/>
      <c r="K30" s="206"/>
      <c r="L30" s="159" t="s">
        <v>409</v>
      </c>
      <c r="M30" s="71"/>
      <c r="N30" s="71"/>
    </row>
    <row r="31">
      <c r="A31" s="71"/>
      <c r="B31" s="71"/>
      <c r="C31" s="71"/>
      <c r="D31" s="206"/>
      <c r="E31" s="211"/>
      <c r="F31" s="298"/>
      <c r="G31" s="299"/>
      <c r="H31" s="99" t="b">
        <v>0</v>
      </c>
      <c r="J31" s="216"/>
      <c r="K31" s="206"/>
      <c r="L31" s="159" t="s">
        <v>43</v>
      </c>
      <c r="M31" s="71"/>
      <c r="N31" s="71"/>
    </row>
    <row r="32">
      <c r="A32" s="71"/>
      <c r="B32" s="71"/>
      <c r="C32" s="71"/>
      <c r="D32" s="206"/>
      <c r="E32" s="211"/>
      <c r="F32" s="299"/>
      <c r="G32" s="299"/>
      <c r="H32" s="99" t="b">
        <v>0</v>
      </c>
      <c r="J32" s="71"/>
      <c r="K32" s="206"/>
      <c r="L32" s="159" t="s">
        <v>44</v>
      </c>
      <c r="M32" s="71"/>
      <c r="N32" s="71"/>
    </row>
    <row r="33">
      <c r="A33" s="71"/>
      <c r="B33" s="71"/>
      <c r="C33" s="71"/>
      <c r="D33" s="206"/>
      <c r="E33" s="211"/>
      <c r="F33" s="298"/>
      <c r="G33" s="299"/>
      <c r="H33" s="99" t="b">
        <v>0</v>
      </c>
      <c r="J33" s="71"/>
      <c r="K33" s="71"/>
      <c r="L33" s="71"/>
      <c r="M33" s="71"/>
      <c r="N33" s="71"/>
    </row>
    <row r="34">
      <c r="A34" s="71"/>
      <c r="B34" s="71"/>
      <c r="C34" s="71"/>
      <c r="D34" s="206"/>
      <c r="E34" s="211"/>
      <c r="F34" s="298"/>
      <c r="G34" s="298"/>
      <c r="H34" s="99" t="b">
        <v>0</v>
      </c>
      <c r="J34" s="71"/>
      <c r="K34" s="71"/>
      <c r="L34" s="71"/>
      <c r="M34" s="71"/>
      <c r="N34" s="71"/>
    </row>
    <row r="35">
      <c r="A35" s="71"/>
      <c r="B35" s="208"/>
      <c r="C35" s="71"/>
      <c r="D35" s="71"/>
      <c r="E35" s="71"/>
      <c r="F35" s="71"/>
      <c r="G35" s="71"/>
      <c r="H35" s="71"/>
      <c r="I35" s="71"/>
      <c r="J35" s="71"/>
      <c r="K35" s="71"/>
      <c r="L35" s="71"/>
      <c r="M35" s="71"/>
      <c r="N35" s="71"/>
    </row>
    <row r="36">
      <c r="A36" s="71"/>
      <c r="B36" s="208"/>
      <c r="C36" s="71"/>
      <c r="D36" s="71"/>
      <c r="E36" s="71"/>
      <c r="F36" s="71"/>
      <c r="G36" s="71"/>
      <c r="H36" s="71"/>
      <c r="I36" s="71"/>
      <c r="J36" s="71"/>
      <c r="K36" s="71"/>
      <c r="L36" s="71"/>
      <c r="M36" s="71"/>
      <c r="N36" s="71"/>
    </row>
    <row r="37">
      <c r="A37" s="71"/>
      <c r="B37" s="208"/>
      <c r="C37" s="71"/>
      <c r="D37" s="71"/>
      <c r="E37" s="71"/>
      <c r="F37" s="71"/>
      <c r="G37" s="71"/>
      <c r="H37" s="71"/>
      <c r="I37" s="71"/>
      <c r="J37" s="71"/>
      <c r="K37" s="71"/>
      <c r="L37" s="71"/>
      <c r="M37" s="71"/>
      <c r="N37" s="71"/>
    </row>
    <row r="38">
      <c r="A38" s="71"/>
      <c r="B38" s="208"/>
      <c r="C38" s="71"/>
      <c r="D38" s="71"/>
      <c r="E38" s="71"/>
      <c r="F38" s="71"/>
      <c r="G38" s="71"/>
      <c r="H38" s="71"/>
      <c r="I38" s="71"/>
      <c r="J38" s="71"/>
      <c r="K38" s="71"/>
      <c r="L38" s="71"/>
      <c r="M38" s="71"/>
      <c r="N38" s="71"/>
    </row>
    <row r="39">
      <c r="A39" s="71"/>
      <c r="B39" s="208"/>
      <c r="C39" s="71"/>
      <c r="D39" s="71"/>
      <c r="E39" s="71"/>
      <c r="F39" s="71"/>
      <c r="G39" s="71"/>
      <c r="H39" s="71"/>
      <c r="I39" s="71"/>
      <c r="J39" s="71"/>
      <c r="K39" s="71"/>
      <c r="L39" s="71"/>
      <c r="M39" s="71"/>
      <c r="N39" s="71"/>
    </row>
    <row r="40">
      <c r="A40" s="71"/>
      <c r="B40" s="208"/>
      <c r="C40" s="71"/>
      <c r="D40" s="71"/>
      <c r="E40" s="71"/>
      <c r="F40" s="71"/>
      <c r="G40" s="71"/>
      <c r="H40" s="71"/>
      <c r="I40" s="71"/>
      <c r="J40" s="71"/>
      <c r="K40" s="71"/>
      <c r="L40" s="71"/>
      <c r="M40" s="71"/>
      <c r="N40" s="71"/>
    </row>
    <row r="41">
      <c r="A41" s="71"/>
      <c r="B41" s="208" t="s">
        <v>414</v>
      </c>
      <c r="C41" s="71"/>
      <c r="D41" s="71"/>
      <c r="E41" s="71"/>
      <c r="F41" s="71"/>
      <c r="G41" s="71"/>
      <c r="H41" s="71"/>
      <c r="I41" s="71"/>
      <c r="J41" s="71"/>
      <c r="K41" s="71"/>
      <c r="L41" s="71"/>
      <c r="M41" s="71"/>
      <c r="N41" s="71"/>
    </row>
    <row r="42">
      <c r="A42" s="71"/>
      <c r="B42" s="159" t="s">
        <v>482</v>
      </c>
      <c r="C42" s="71"/>
      <c r="D42" s="71"/>
      <c r="E42" s="71"/>
      <c r="F42" s="71"/>
      <c r="G42" s="71"/>
      <c r="H42" s="71"/>
      <c r="I42" s="71"/>
      <c r="J42" s="71"/>
      <c r="K42" s="71"/>
      <c r="L42" s="71"/>
      <c r="M42" s="71"/>
      <c r="N42" s="71"/>
    </row>
    <row r="43">
      <c r="A43" s="71"/>
      <c r="B43" s="71"/>
      <c r="C43" s="71"/>
      <c r="D43" s="71"/>
      <c r="E43" s="71"/>
      <c r="F43" s="71"/>
      <c r="G43" s="71"/>
      <c r="H43" s="71"/>
      <c r="I43" s="71"/>
      <c r="J43" s="71"/>
      <c r="K43" s="71"/>
      <c r="L43" s="71"/>
      <c r="M43" s="71"/>
      <c r="N43" s="71"/>
    </row>
    <row r="44">
      <c r="A44" s="71"/>
      <c r="B44" s="71"/>
      <c r="C44" s="71"/>
      <c r="D44" s="71"/>
      <c r="E44" s="71"/>
      <c r="F44" s="71"/>
      <c r="G44" s="71"/>
      <c r="H44" s="71"/>
      <c r="I44" s="71"/>
      <c r="J44" s="71"/>
      <c r="K44" s="71"/>
      <c r="L44" s="71"/>
      <c r="M44" s="71"/>
      <c r="N44" s="71"/>
    </row>
    <row r="45">
      <c r="A45" s="71"/>
      <c r="B45" s="71"/>
      <c r="C45" s="71"/>
      <c r="D45" s="71"/>
      <c r="E45" s="71"/>
      <c r="F45" s="71"/>
      <c r="G45" s="71"/>
      <c r="H45" s="71"/>
      <c r="I45" s="71"/>
      <c r="J45" s="71"/>
      <c r="K45" s="71"/>
      <c r="L45" s="71"/>
      <c r="M45" s="71"/>
      <c r="N45" s="71"/>
    </row>
    <row r="46">
      <c r="A46" s="71"/>
      <c r="B46" s="71"/>
      <c r="C46" s="71"/>
      <c r="D46" s="71"/>
      <c r="E46" s="71"/>
      <c r="F46" s="71"/>
      <c r="G46" s="71"/>
      <c r="H46" s="71"/>
      <c r="I46" s="71"/>
      <c r="J46" s="71"/>
      <c r="K46" s="71"/>
      <c r="L46" s="71"/>
      <c r="M46" s="71"/>
      <c r="N46" s="71"/>
    </row>
    <row r="47">
      <c r="A47" s="71"/>
      <c r="B47" s="71"/>
      <c r="C47" s="71"/>
      <c r="D47" s="71"/>
      <c r="E47" s="71"/>
      <c r="F47" s="71"/>
      <c r="G47" s="71"/>
      <c r="H47" s="71"/>
      <c r="I47" s="71"/>
      <c r="J47" s="71"/>
      <c r="K47" s="71"/>
      <c r="L47" s="71"/>
      <c r="M47" s="71"/>
      <c r="N47" s="71"/>
    </row>
    <row r="48">
      <c r="A48" s="71"/>
      <c r="B48" s="71"/>
      <c r="C48" s="71"/>
      <c r="D48" s="71"/>
      <c r="E48" s="71"/>
      <c r="F48" s="71"/>
      <c r="G48" s="71"/>
      <c r="H48" s="71"/>
      <c r="I48" s="71"/>
      <c r="J48" s="71"/>
      <c r="K48" s="71"/>
      <c r="L48" s="71"/>
      <c r="M48" s="71"/>
      <c r="N48" s="71"/>
    </row>
    <row r="49">
      <c r="A49" s="71"/>
      <c r="B49" s="71"/>
      <c r="C49" s="71"/>
      <c r="D49" s="71"/>
      <c r="E49" s="71"/>
      <c r="F49" s="71"/>
      <c r="G49" s="71"/>
      <c r="H49" s="71"/>
      <c r="I49" s="71"/>
      <c r="J49" s="71"/>
      <c r="K49" s="71"/>
      <c r="L49" s="71"/>
      <c r="M49" s="71"/>
      <c r="N49" s="71"/>
    </row>
    <row r="50">
      <c r="A50" s="71"/>
      <c r="B50" s="71"/>
      <c r="C50" s="71"/>
      <c r="D50" s="71"/>
      <c r="E50" s="71"/>
      <c r="F50" s="71"/>
      <c r="G50" s="71"/>
      <c r="H50" s="71"/>
      <c r="I50" s="71"/>
      <c r="J50" s="71"/>
      <c r="K50" s="71"/>
      <c r="L50" s="71"/>
      <c r="M50" s="71"/>
      <c r="N50" s="71"/>
    </row>
    <row r="51">
      <c r="A51" s="71"/>
      <c r="B51" s="71"/>
      <c r="C51" s="71"/>
      <c r="D51" s="71"/>
      <c r="E51" s="71"/>
      <c r="F51" s="71"/>
      <c r="G51" s="71"/>
      <c r="H51" s="71"/>
      <c r="I51" s="71"/>
      <c r="J51" s="71"/>
      <c r="K51" s="71"/>
      <c r="L51" s="71"/>
      <c r="M51" s="71"/>
      <c r="N51" s="71"/>
    </row>
  </sheetData>
  <mergeCells count="19">
    <mergeCell ref="B5:F6"/>
    <mergeCell ref="E11:G11"/>
    <mergeCell ref="E13:F13"/>
    <mergeCell ref="E15:G15"/>
    <mergeCell ref="E17:F17"/>
    <mergeCell ref="E19:G19"/>
    <mergeCell ref="J19:M19"/>
    <mergeCell ref="H30:I30"/>
    <mergeCell ref="H31:I31"/>
    <mergeCell ref="H32:I32"/>
    <mergeCell ref="H33:I33"/>
    <mergeCell ref="H34:I34"/>
    <mergeCell ref="E21:F21"/>
    <mergeCell ref="E23:G23"/>
    <mergeCell ref="E25:G25"/>
    <mergeCell ref="H27:I27"/>
    <mergeCell ref="B28:C29"/>
    <mergeCell ref="H28:I28"/>
    <mergeCell ref="H29:I29"/>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 type="list" allowBlank="1" showInputMessage="1" prompt="Clique e insira um valor de intervalo" sqref="G28:G34">
      <formula1>$L$28:$L$32</formula1>
    </dataValidation>
  </dataValidations>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EAD3"/>
    <outlinePr summaryBelow="0" summaryRight="0"/>
  </sheetPr>
  <sheetViews>
    <sheetView showGridLines="0" workbookViewId="0"/>
  </sheetViews>
  <sheetFormatPr customHeight="1" defaultColWidth="12.63" defaultRowHeight="15.75"/>
  <cols>
    <col customWidth="1" min="1" max="1" width="2.63"/>
    <col customWidth="1" min="2" max="3" width="18.88"/>
    <col customWidth="1" min="4" max="4" width="31.38"/>
    <col customWidth="1" min="5" max="5" width="18.88"/>
    <col customWidth="1" min="6" max="7" width="12.63"/>
    <col customWidth="1" min="8" max="8" width="31.38"/>
    <col customWidth="1" min="9" max="10" width="5.13"/>
  </cols>
  <sheetData>
    <row r="1" ht="11.25" customHeight="1">
      <c r="A1" s="67"/>
      <c r="B1" s="67"/>
      <c r="C1" s="67"/>
      <c r="D1" s="67"/>
      <c r="E1" s="67"/>
      <c r="F1" s="68"/>
      <c r="G1" s="67"/>
      <c r="H1" s="67"/>
      <c r="I1" s="67"/>
      <c r="J1" s="67"/>
    </row>
    <row r="2">
      <c r="A2" s="67"/>
      <c r="B2" s="70" t="s">
        <v>56</v>
      </c>
      <c r="C2" s="70"/>
      <c r="D2" s="71"/>
      <c r="E2" s="71"/>
      <c r="F2" s="72"/>
      <c r="G2" s="67"/>
      <c r="H2" s="67"/>
      <c r="I2" s="67"/>
      <c r="J2" s="67"/>
    </row>
    <row r="3">
      <c r="A3" s="67"/>
      <c r="B3" s="79" t="s">
        <v>57</v>
      </c>
      <c r="C3" s="79"/>
      <c r="D3" s="71"/>
      <c r="E3" s="71"/>
      <c r="F3" s="72"/>
      <c r="G3" s="67"/>
      <c r="H3" s="67"/>
      <c r="I3" s="67"/>
      <c r="J3" s="67"/>
    </row>
    <row r="4">
      <c r="A4" s="67"/>
      <c r="B4" s="96" t="s">
        <v>483</v>
      </c>
      <c r="C4" s="96"/>
      <c r="D4" s="71"/>
      <c r="E4" s="71"/>
      <c r="F4" s="72"/>
      <c r="G4" s="67"/>
      <c r="H4" s="67"/>
      <c r="I4" s="67"/>
      <c r="J4" s="67"/>
    </row>
    <row r="5">
      <c r="A5" s="67"/>
      <c r="B5" s="76" t="s">
        <v>59</v>
      </c>
      <c r="E5" s="76"/>
      <c r="F5" s="76"/>
      <c r="G5" s="78"/>
      <c r="H5" s="67"/>
      <c r="I5" s="67"/>
      <c r="J5" s="67"/>
    </row>
    <row r="6">
      <c r="A6" s="67"/>
      <c r="E6" s="76"/>
      <c r="F6" s="76"/>
      <c r="G6" s="78"/>
      <c r="H6" s="67"/>
      <c r="I6" s="67"/>
      <c r="J6" s="67"/>
    </row>
    <row r="7">
      <c r="A7" s="67"/>
      <c r="B7" s="71"/>
      <c r="C7" s="71"/>
      <c r="D7" s="71"/>
      <c r="E7" s="71"/>
      <c r="F7" s="72"/>
      <c r="G7" s="78"/>
      <c r="H7" s="67"/>
      <c r="I7" s="67"/>
      <c r="J7" s="67"/>
    </row>
    <row r="8">
      <c r="A8" s="67"/>
      <c r="B8" s="70" t="s">
        <v>60</v>
      </c>
      <c r="C8" s="70"/>
      <c r="D8" s="71"/>
      <c r="E8" s="253" t="s">
        <v>418</v>
      </c>
      <c r="F8" s="72"/>
      <c r="G8" s="253" t="s">
        <v>419</v>
      </c>
      <c r="H8" s="67"/>
      <c r="I8" s="67"/>
      <c r="J8" s="67"/>
    </row>
    <row r="9">
      <c r="A9" s="67"/>
      <c r="B9" s="79" t="s">
        <v>420</v>
      </c>
      <c r="C9" s="79"/>
      <c r="D9" s="71"/>
      <c r="E9" s="254"/>
      <c r="F9" s="72"/>
      <c r="G9" s="254"/>
      <c r="H9" s="67"/>
      <c r="I9" s="67"/>
      <c r="J9" s="67"/>
    </row>
    <row r="10">
      <c r="A10" s="67"/>
      <c r="B10" s="67"/>
      <c r="C10" s="67"/>
      <c r="D10" s="67"/>
      <c r="E10" s="255"/>
      <c r="F10" s="68"/>
      <c r="G10" s="255"/>
      <c r="H10" s="67"/>
      <c r="I10" s="67"/>
      <c r="J10" s="67"/>
    </row>
    <row r="11">
      <c r="A11" s="67"/>
      <c r="B11" s="80" t="s">
        <v>62</v>
      </c>
      <c r="C11" s="80" t="s">
        <v>63</v>
      </c>
      <c r="D11" s="80" t="s">
        <v>421</v>
      </c>
      <c r="E11" s="80" t="s">
        <v>422</v>
      </c>
      <c r="F11" s="81" t="s">
        <v>423</v>
      </c>
      <c r="G11" s="81" t="s">
        <v>424</v>
      </c>
      <c r="H11" s="80" t="s">
        <v>425</v>
      </c>
      <c r="I11" s="98"/>
      <c r="J11" s="67"/>
    </row>
    <row r="12">
      <c r="A12" s="67"/>
      <c r="B12" s="99" t="s">
        <v>53</v>
      </c>
      <c r="C12" s="135" t="s">
        <v>162</v>
      </c>
      <c r="D12" s="135" t="s">
        <v>502</v>
      </c>
      <c r="E12" s="135" t="s">
        <v>503</v>
      </c>
      <c r="F12" s="287">
        <v>45203.0</v>
      </c>
      <c r="G12" s="287">
        <v>45566.0</v>
      </c>
      <c r="H12" s="107"/>
      <c r="I12" s="67"/>
      <c r="J12" s="67"/>
    </row>
    <row r="13">
      <c r="A13" s="67"/>
      <c r="B13" s="99" t="s">
        <v>53</v>
      </c>
      <c r="C13" s="99" t="s">
        <v>167</v>
      </c>
      <c r="D13" s="135" t="s">
        <v>504</v>
      </c>
      <c r="E13" s="135" t="s">
        <v>505</v>
      </c>
      <c r="F13" s="288">
        <v>45139.0</v>
      </c>
      <c r="G13" s="287">
        <v>45505.0</v>
      </c>
      <c r="H13" s="107"/>
      <c r="I13" s="67"/>
      <c r="J13" s="67"/>
    </row>
    <row r="14">
      <c r="A14" s="67"/>
      <c r="B14" s="99" t="s">
        <v>53</v>
      </c>
      <c r="C14" s="99" t="s">
        <v>506</v>
      </c>
      <c r="D14" s="135" t="s">
        <v>507</v>
      </c>
      <c r="E14" s="135" t="s">
        <v>508</v>
      </c>
      <c r="F14" s="287">
        <v>45198.0</v>
      </c>
      <c r="G14" s="287">
        <v>45564.0</v>
      </c>
      <c r="H14" s="107"/>
      <c r="I14" s="67"/>
      <c r="J14" s="67"/>
    </row>
    <row r="15">
      <c r="A15" s="67"/>
      <c r="B15" s="99" t="s">
        <v>53</v>
      </c>
      <c r="C15" s="99" t="s">
        <v>509</v>
      </c>
      <c r="D15" s="135" t="s">
        <v>510</v>
      </c>
      <c r="E15" s="135" t="s">
        <v>511</v>
      </c>
      <c r="F15" s="287">
        <v>45444.0</v>
      </c>
      <c r="G15" s="287">
        <v>45627.0</v>
      </c>
      <c r="H15" s="107"/>
      <c r="I15" s="67"/>
      <c r="J15" s="67"/>
    </row>
    <row r="16">
      <c r="A16" s="67"/>
      <c r="B16" s="99" t="s">
        <v>53</v>
      </c>
      <c r="C16" s="99" t="s">
        <v>512</v>
      </c>
      <c r="D16" s="135" t="s">
        <v>513</v>
      </c>
      <c r="E16" s="99" t="s">
        <v>514</v>
      </c>
      <c r="F16" s="287">
        <v>45444.0</v>
      </c>
      <c r="G16" s="287">
        <v>45627.0</v>
      </c>
      <c r="H16" s="107"/>
      <c r="I16" s="67"/>
      <c r="J16" s="67"/>
    </row>
    <row r="17">
      <c r="A17" s="67"/>
      <c r="B17" s="99" t="s">
        <v>53</v>
      </c>
      <c r="C17" s="135" t="s">
        <v>515</v>
      </c>
      <c r="D17" s="135" t="s">
        <v>516</v>
      </c>
      <c r="E17" s="135" t="s">
        <v>517</v>
      </c>
      <c r="F17" s="288">
        <v>45444.0</v>
      </c>
      <c r="G17" s="287">
        <v>45627.0</v>
      </c>
      <c r="H17" s="107"/>
      <c r="I17" s="67"/>
      <c r="J17" s="67"/>
    </row>
    <row r="18">
      <c r="A18" s="67"/>
      <c r="B18" s="99" t="s">
        <v>53</v>
      </c>
      <c r="C18" s="135" t="s">
        <v>293</v>
      </c>
      <c r="D18" s="135" t="s">
        <v>518</v>
      </c>
      <c r="E18" s="135" t="s">
        <v>519</v>
      </c>
      <c r="F18" s="287">
        <v>45198.0</v>
      </c>
      <c r="G18" s="287">
        <v>45564.0</v>
      </c>
      <c r="H18" s="107"/>
      <c r="I18" s="67"/>
      <c r="J18" s="67"/>
    </row>
    <row r="19">
      <c r="A19" s="67"/>
      <c r="B19" s="99" t="s">
        <v>53</v>
      </c>
      <c r="C19" s="135" t="s">
        <v>296</v>
      </c>
      <c r="D19" s="135" t="s">
        <v>520</v>
      </c>
      <c r="E19" s="135" t="s">
        <v>521</v>
      </c>
      <c r="F19" s="287">
        <v>45167.0</v>
      </c>
      <c r="G19" s="287">
        <v>45533.0</v>
      </c>
      <c r="H19" s="107"/>
      <c r="I19" s="67"/>
      <c r="J19" s="67"/>
    </row>
  </sheetData>
  <mergeCells count="3">
    <mergeCell ref="B5:D6"/>
    <mergeCell ref="E8:E9"/>
    <mergeCell ref="G8:G9"/>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EAD3"/>
    <outlinePr summaryBelow="0" summaryRight="0"/>
  </sheetPr>
  <sheetViews>
    <sheetView showGridLines="0" workbookViewId="0"/>
  </sheetViews>
  <sheetFormatPr customHeight="1" defaultColWidth="12.63" defaultRowHeight="15.75"/>
  <cols>
    <col customWidth="1" min="1" max="1" width="2.63"/>
    <col customWidth="1" min="2" max="2" width="6.38"/>
    <col customWidth="1" min="3" max="6" width="18.88"/>
    <col customWidth="1" min="8" max="8" width="10.13"/>
    <col customWidth="1" min="10" max="10" width="30.38"/>
    <col customWidth="1" min="11" max="12" width="5.13"/>
  </cols>
  <sheetData>
    <row r="1" ht="11.25" customHeight="1">
      <c r="A1" s="67"/>
      <c r="B1" s="67"/>
      <c r="C1" s="67"/>
      <c r="D1" s="67"/>
      <c r="E1" s="67"/>
      <c r="F1" s="67"/>
      <c r="G1" s="68"/>
      <c r="H1" s="78"/>
      <c r="I1" s="67"/>
      <c r="J1" s="67"/>
      <c r="K1" s="67"/>
      <c r="L1" s="67"/>
    </row>
    <row r="2">
      <c r="A2" s="67"/>
      <c r="B2" s="70" t="s">
        <v>56</v>
      </c>
      <c r="C2" s="71"/>
      <c r="D2" s="71"/>
      <c r="E2" s="71"/>
      <c r="F2" s="71"/>
      <c r="G2" s="72"/>
      <c r="H2" s="78"/>
      <c r="I2" s="67"/>
      <c r="J2" s="67"/>
      <c r="K2" s="67"/>
      <c r="L2" s="67"/>
    </row>
    <row r="3">
      <c r="A3" s="67"/>
      <c r="B3" s="79" t="s">
        <v>57</v>
      </c>
      <c r="C3" s="71"/>
      <c r="D3" s="71"/>
      <c r="E3" s="71"/>
      <c r="F3" s="71"/>
      <c r="G3" s="72"/>
      <c r="H3" s="78"/>
      <c r="I3" s="67"/>
      <c r="J3" s="67"/>
      <c r="K3" s="67"/>
      <c r="L3" s="67"/>
    </row>
    <row r="4">
      <c r="A4" s="67"/>
      <c r="B4" s="96" t="s">
        <v>522</v>
      </c>
      <c r="C4" s="71"/>
      <c r="D4" s="71"/>
      <c r="E4" s="71"/>
      <c r="F4" s="71"/>
      <c r="G4" s="72"/>
      <c r="H4" s="78"/>
      <c r="I4" s="67"/>
      <c r="J4" s="67"/>
      <c r="K4" s="67"/>
      <c r="L4" s="67"/>
    </row>
    <row r="5">
      <c r="A5" s="67"/>
      <c r="B5" s="76" t="s">
        <v>59</v>
      </c>
      <c r="E5" s="76"/>
      <c r="F5" s="76"/>
      <c r="G5" s="76"/>
      <c r="H5" s="78"/>
      <c r="I5" s="67"/>
      <c r="J5" s="67"/>
      <c r="K5" s="67"/>
      <c r="L5" s="67"/>
    </row>
    <row r="6">
      <c r="A6" s="67"/>
      <c r="E6" s="76"/>
      <c r="F6" s="76"/>
      <c r="G6" s="76"/>
      <c r="H6" s="78"/>
      <c r="I6" s="102" t="s">
        <v>204</v>
      </c>
      <c r="J6" s="67"/>
      <c r="K6" s="67"/>
      <c r="L6" s="67"/>
    </row>
    <row r="7">
      <c r="A7" s="67"/>
      <c r="B7" s="71"/>
      <c r="C7" s="71"/>
      <c r="D7" s="71"/>
      <c r="E7" s="71"/>
      <c r="F7" s="71"/>
      <c r="G7" s="72"/>
      <c r="H7" s="78"/>
      <c r="I7" s="102" t="s">
        <v>205</v>
      </c>
      <c r="J7" s="67"/>
      <c r="K7" s="67"/>
      <c r="L7" s="67"/>
    </row>
    <row r="8">
      <c r="A8" s="67"/>
      <c r="B8" s="70" t="s">
        <v>60</v>
      </c>
      <c r="C8" s="71"/>
      <c r="D8" s="71"/>
      <c r="E8" s="71"/>
      <c r="F8" s="71"/>
      <c r="G8" s="72"/>
      <c r="H8" s="78"/>
      <c r="I8" s="102" t="s">
        <v>206</v>
      </c>
      <c r="J8" s="67"/>
      <c r="K8" s="67"/>
      <c r="L8" s="67"/>
    </row>
    <row r="9">
      <c r="A9" s="67"/>
      <c r="B9" s="79" t="s">
        <v>207</v>
      </c>
      <c r="C9" s="71"/>
      <c r="D9" s="71"/>
      <c r="E9" s="71"/>
      <c r="F9" s="71"/>
      <c r="G9" s="72"/>
      <c r="H9" s="78"/>
      <c r="I9" s="102" t="s">
        <v>208</v>
      </c>
      <c r="J9" s="67"/>
      <c r="K9" s="67"/>
      <c r="L9" s="67"/>
    </row>
    <row r="10">
      <c r="A10" s="67"/>
      <c r="B10" s="67"/>
      <c r="C10" s="67"/>
      <c r="D10" s="67"/>
      <c r="E10" s="67"/>
      <c r="F10" s="67"/>
      <c r="G10" s="68"/>
      <c r="H10" s="78">
        <f>SUM(H12:H19)</f>
        <v>828</v>
      </c>
      <c r="I10" s="103"/>
      <c r="J10" s="67"/>
      <c r="K10" s="67"/>
      <c r="L10" s="67"/>
    </row>
    <row r="11">
      <c r="A11" s="67"/>
      <c r="B11" s="80" t="s">
        <v>209</v>
      </c>
      <c r="C11" s="80" t="s">
        <v>62</v>
      </c>
      <c r="D11" s="80" t="s">
        <v>63</v>
      </c>
      <c r="E11" s="80" t="s">
        <v>210</v>
      </c>
      <c r="F11" s="80" t="s">
        <v>211</v>
      </c>
      <c r="G11" s="82" t="s">
        <v>68</v>
      </c>
      <c r="H11" s="239" t="s">
        <v>212</v>
      </c>
      <c r="I11" s="80" t="s">
        <v>214</v>
      </c>
      <c r="J11" s="80" t="s">
        <v>215</v>
      </c>
      <c r="K11" s="98"/>
      <c r="L11" s="67"/>
    </row>
    <row r="12">
      <c r="A12" s="67"/>
      <c r="B12" s="99"/>
      <c r="C12" s="99" t="s">
        <v>53</v>
      </c>
      <c r="D12" s="135" t="s">
        <v>162</v>
      </c>
      <c r="E12" s="99" t="s">
        <v>281</v>
      </c>
      <c r="F12" s="99"/>
      <c r="G12" s="287">
        <v>45203.0</v>
      </c>
      <c r="H12" s="105">
        <v>88.0</v>
      </c>
      <c r="I12" s="99" t="s">
        <v>206</v>
      </c>
      <c r="J12" s="135" t="s">
        <v>287</v>
      </c>
      <c r="K12" s="67"/>
      <c r="L12" s="67"/>
    </row>
    <row r="13">
      <c r="A13" s="67"/>
      <c r="B13" s="99"/>
      <c r="C13" s="99" t="s">
        <v>53</v>
      </c>
      <c r="D13" s="135" t="s">
        <v>162</v>
      </c>
      <c r="E13" s="99" t="s">
        <v>281</v>
      </c>
      <c r="F13" s="99"/>
      <c r="G13" s="287">
        <v>45260.0</v>
      </c>
      <c r="H13" s="105">
        <v>16.0</v>
      </c>
      <c r="I13" s="99" t="s">
        <v>205</v>
      </c>
      <c r="J13" s="135" t="s">
        <v>288</v>
      </c>
      <c r="K13" s="67"/>
      <c r="L13" s="67"/>
    </row>
    <row r="14">
      <c r="A14" s="67"/>
      <c r="B14" s="99"/>
      <c r="C14" s="99" t="s">
        <v>53</v>
      </c>
      <c r="D14" s="135" t="s">
        <v>162</v>
      </c>
      <c r="E14" s="99" t="s">
        <v>281</v>
      </c>
      <c r="F14" s="99"/>
      <c r="G14" s="287">
        <v>44951.0</v>
      </c>
      <c r="H14" s="105">
        <v>88.0</v>
      </c>
      <c r="I14" s="99" t="s">
        <v>206</v>
      </c>
      <c r="J14" s="135" t="s">
        <v>289</v>
      </c>
      <c r="K14" s="67"/>
      <c r="L14" s="67"/>
    </row>
    <row r="15">
      <c r="A15" s="67"/>
      <c r="B15" s="99"/>
      <c r="C15" s="99" t="s">
        <v>53</v>
      </c>
      <c r="D15" s="135" t="s">
        <v>162</v>
      </c>
      <c r="E15" s="99" t="s">
        <v>281</v>
      </c>
      <c r="F15" s="99"/>
      <c r="G15" s="287">
        <v>45125.0</v>
      </c>
      <c r="H15" s="105">
        <v>88.0</v>
      </c>
      <c r="I15" s="99" t="s">
        <v>205</v>
      </c>
      <c r="J15" s="135" t="s">
        <v>290</v>
      </c>
      <c r="K15" s="67"/>
      <c r="L15" s="67"/>
    </row>
    <row r="16">
      <c r="A16" s="67"/>
      <c r="B16" s="99"/>
      <c r="C16" s="99" t="s">
        <v>53</v>
      </c>
      <c r="D16" s="99" t="s">
        <v>291</v>
      </c>
      <c r="E16" s="99" t="s">
        <v>281</v>
      </c>
      <c r="F16" s="99"/>
      <c r="G16" s="287">
        <v>45111.0</v>
      </c>
      <c r="H16" s="105">
        <v>108.0</v>
      </c>
      <c r="I16" s="99" t="s">
        <v>206</v>
      </c>
      <c r="J16" s="135" t="s">
        <v>292</v>
      </c>
      <c r="K16" s="67"/>
      <c r="L16" s="67"/>
    </row>
    <row r="17">
      <c r="A17" s="67"/>
      <c r="B17" s="99"/>
      <c r="C17" s="99" t="s">
        <v>53</v>
      </c>
      <c r="D17" s="135" t="s">
        <v>293</v>
      </c>
      <c r="E17" s="99" t="s">
        <v>281</v>
      </c>
      <c r="F17" s="99"/>
      <c r="G17" s="287">
        <v>45198.0</v>
      </c>
      <c r="H17" s="105">
        <v>176.0</v>
      </c>
      <c r="I17" s="99" t="s">
        <v>205</v>
      </c>
      <c r="J17" s="135" t="s">
        <v>294</v>
      </c>
      <c r="K17" s="67"/>
      <c r="L17" s="67"/>
    </row>
    <row r="18">
      <c r="A18" s="67"/>
      <c r="B18" s="99"/>
      <c r="C18" s="99" t="s">
        <v>53</v>
      </c>
      <c r="D18" s="99" t="s">
        <v>167</v>
      </c>
      <c r="E18" s="99" t="s">
        <v>281</v>
      </c>
      <c r="F18" s="99"/>
      <c r="G18" s="287">
        <v>45217.0</v>
      </c>
      <c r="H18" s="105">
        <v>176.0</v>
      </c>
      <c r="I18" s="99" t="s">
        <v>206</v>
      </c>
      <c r="J18" s="135" t="s">
        <v>295</v>
      </c>
      <c r="K18" s="67"/>
      <c r="L18" s="67"/>
    </row>
    <row r="19">
      <c r="A19" s="67"/>
      <c r="B19" s="99"/>
      <c r="C19" s="99" t="s">
        <v>53</v>
      </c>
      <c r="D19" s="135" t="s">
        <v>296</v>
      </c>
      <c r="E19" s="99" t="s">
        <v>281</v>
      </c>
      <c r="F19" s="99"/>
      <c r="G19" s="287">
        <v>45167.0</v>
      </c>
      <c r="H19" s="105">
        <v>88.0</v>
      </c>
      <c r="I19" s="99" t="s">
        <v>206</v>
      </c>
      <c r="J19" s="135" t="s">
        <v>297</v>
      </c>
      <c r="K19" s="67"/>
      <c r="L19" s="67"/>
    </row>
  </sheetData>
  <mergeCells count="1">
    <mergeCell ref="B5:D6"/>
  </mergeCells>
  <dataValidations>
    <dataValidation type="list" allowBlank="1" sqref="I12:I19">
      <formula1>$I$6:$I$9</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EAD3"/>
    <outlinePr summaryBelow="0" summaryRight="0"/>
  </sheetPr>
  <sheetViews>
    <sheetView showGridLines="0" workbookViewId="0"/>
  </sheetViews>
  <sheetFormatPr customHeight="1" defaultColWidth="12.63" defaultRowHeight="15.75"/>
  <cols>
    <col customWidth="1" min="1" max="1" width="2.63"/>
    <col customWidth="1" min="2" max="5" width="18.88"/>
    <col customWidth="1" min="6" max="8" width="12.63"/>
    <col customWidth="1" min="9" max="10" width="31.38"/>
    <col customWidth="1" min="11" max="12" width="5.13"/>
  </cols>
  <sheetData>
    <row r="1" ht="11.25" customHeight="1">
      <c r="A1" s="67"/>
      <c r="B1" s="67"/>
      <c r="C1" s="67"/>
      <c r="D1" s="67"/>
      <c r="E1" s="67"/>
      <c r="F1" s="67"/>
      <c r="G1" s="259"/>
      <c r="H1" s="68"/>
      <c r="I1" s="67"/>
      <c r="J1" s="67"/>
      <c r="K1" s="67"/>
      <c r="L1" s="67"/>
    </row>
    <row r="2">
      <c r="A2" s="67"/>
      <c r="B2" s="70" t="s">
        <v>56</v>
      </c>
      <c r="C2" s="71"/>
      <c r="D2" s="71"/>
      <c r="E2" s="71"/>
      <c r="F2" s="71"/>
      <c r="G2" s="260"/>
      <c r="H2" s="72"/>
      <c r="I2" s="67"/>
      <c r="J2" s="67"/>
      <c r="K2" s="67"/>
      <c r="L2" s="67"/>
    </row>
    <row r="3">
      <c r="A3" s="67"/>
      <c r="B3" s="79" t="s">
        <v>57</v>
      </c>
      <c r="C3" s="71"/>
      <c r="D3" s="71"/>
      <c r="E3" s="71"/>
      <c r="F3" s="71"/>
      <c r="G3" s="260"/>
      <c r="H3" s="72"/>
      <c r="I3" s="67"/>
      <c r="J3" s="67"/>
      <c r="K3" s="67"/>
      <c r="L3" s="67"/>
    </row>
    <row r="4">
      <c r="A4" s="67"/>
      <c r="B4" s="96" t="s">
        <v>483</v>
      </c>
      <c r="C4" s="71"/>
      <c r="D4" s="71"/>
      <c r="E4" s="71"/>
      <c r="F4" s="71"/>
      <c r="G4" s="260"/>
      <c r="H4" s="72"/>
      <c r="I4" s="67"/>
      <c r="J4" s="67"/>
      <c r="K4" s="67"/>
      <c r="L4" s="67"/>
    </row>
    <row r="5">
      <c r="A5" s="67"/>
      <c r="B5" s="76" t="s">
        <v>59</v>
      </c>
      <c r="E5" s="76"/>
      <c r="F5" s="76"/>
      <c r="G5" s="261"/>
      <c r="H5" s="76"/>
      <c r="I5" s="67"/>
      <c r="J5" s="67"/>
      <c r="K5" s="67"/>
      <c r="L5" s="67"/>
    </row>
    <row r="6">
      <c r="A6" s="67"/>
      <c r="E6" s="76"/>
      <c r="F6" s="76"/>
      <c r="G6" s="261"/>
      <c r="H6" s="76"/>
      <c r="I6" s="67"/>
      <c r="J6" s="67"/>
      <c r="K6" s="67"/>
      <c r="L6" s="67"/>
    </row>
    <row r="7">
      <c r="A7" s="67"/>
      <c r="B7" s="71"/>
      <c r="C7" s="78"/>
      <c r="D7" s="78"/>
      <c r="E7" s="78"/>
      <c r="F7" s="78"/>
      <c r="G7" s="78"/>
      <c r="H7" s="78"/>
      <c r="I7" s="67"/>
      <c r="J7" s="67"/>
      <c r="K7" s="67"/>
      <c r="L7" s="67"/>
    </row>
    <row r="8">
      <c r="A8" s="67"/>
      <c r="B8" s="70" t="s">
        <v>60</v>
      </c>
      <c r="C8" s="78"/>
      <c r="D8" s="78"/>
      <c r="E8" s="78"/>
      <c r="F8" s="78"/>
      <c r="G8" s="301" t="s">
        <v>523</v>
      </c>
      <c r="H8" s="78"/>
      <c r="I8" s="67"/>
      <c r="J8" s="67"/>
      <c r="K8" s="67"/>
      <c r="L8" s="67"/>
    </row>
    <row r="9">
      <c r="A9" s="67"/>
      <c r="B9" s="79" t="s">
        <v>61</v>
      </c>
      <c r="C9" s="78"/>
      <c r="D9" s="78"/>
      <c r="E9" s="78"/>
      <c r="F9" s="78"/>
      <c r="G9" s="302"/>
      <c r="H9" s="78"/>
      <c r="I9" s="67"/>
      <c r="J9" s="67"/>
      <c r="K9" s="67"/>
      <c r="L9" s="67"/>
    </row>
    <row r="10">
      <c r="A10" s="67"/>
      <c r="B10" s="67"/>
      <c r="C10" s="78"/>
      <c r="D10" s="78"/>
      <c r="E10" s="78"/>
      <c r="F10" s="78"/>
      <c r="G10" s="303">
        <f>SUM(G12:G15)</f>
        <v>30957.95</v>
      </c>
      <c r="H10" s="78"/>
      <c r="I10" s="67"/>
      <c r="J10" s="67"/>
      <c r="K10" s="67"/>
      <c r="L10" s="67"/>
    </row>
    <row r="11">
      <c r="A11" s="67"/>
      <c r="B11" s="80" t="s">
        <v>62</v>
      </c>
      <c r="C11" s="80" t="s">
        <v>63</v>
      </c>
      <c r="D11" s="80" t="s">
        <v>64</v>
      </c>
      <c r="E11" s="80" t="s">
        <v>65</v>
      </c>
      <c r="F11" s="81" t="s">
        <v>66</v>
      </c>
      <c r="G11" s="239" t="s">
        <v>67</v>
      </c>
      <c r="H11" s="81" t="s">
        <v>68</v>
      </c>
      <c r="I11" s="80" t="s">
        <v>69</v>
      </c>
      <c r="J11" s="80" t="s">
        <v>70</v>
      </c>
      <c r="K11" s="98"/>
      <c r="L11" s="67"/>
    </row>
    <row r="12">
      <c r="A12" s="67"/>
      <c r="B12" s="99" t="s">
        <v>53</v>
      </c>
      <c r="C12" s="135" t="s">
        <v>157</v>
      </c>
      <c r="D12" s="135" t="s">
        <v>158</v>
      </c>
      <c r="E12" s="135">
        <v>1.2715548000105E13</v>
      </c>
      <c r="F12" s="119" t="s">
        <v>159</v>
      </c>
      <c r="G12" s="292">
        <v>18197.26</v>
      </c>
      <c r="H12" s="300">
        <v>45117.0</v>
      </c>
      <c r="I12" s="135" t="s">
        <v>160</v>
      </c>
      <c r="J12" s="99" t="s">
        <v>161</v>
      </c>
      <c r="K12" s="131"/>
      <c r="L12" s="67"/>
    </row>
    <row r="13">
      <c r="A13" s="67"/>
      <c r="B13" s="99" t="s">
        <v>53</v>
      </c>
      <c r="C13" s="135" t="s">
        <v>162</v>
      </c>
      <c r="D13" s="135" t="s">
        <v>163</v>
      </c>
      <c r="E13" s="304" t="s">
        <v>164</v>
      </c>
      <c r="F13" s="119" t="s">
        <v>165</v>
      </c>
      <c r="G13" s="292">
        <v>4267.99</v>
      </c>
      <c r="H13" s="293">
        <v>44964.0</v>
      </c>
      <c r="I13" s="135" t="s">
        <v>166</v>
      </c>
      <c r="J13" s="99" t="s">
        <v>161</v>
      </c>
      <c r="K13" s="131"/>
      <c r="L13" s="67"/>
    </row>
    <row r="14">
      <c r="A14" s="67"/>
      <c r="B14" s="99" t="s">
        <v>53</v>
      </c>
      <c r="C14" s="99" t="s">
        <v>167</v>
      </c>
      <c r="D14" s="135" t="s">
        <v>158</v>
      </c>
      <c r="E14" s="135">
        <v>1.2715548000105E13</v>
      </c>
      <c r="F14" s="119" t="s">
        <v>168</v>
      </c>
      <c r="G14" s="292">
        <v>5998.03</v>
      </c>
      <c r="H14" s="293">
        <v>45206.0</v>
      </c>
      <c r="I14" s="99" t="s">
        <v>169</v>
      </c>
      <c r="J14" s="99" t="s">
        <v>161</v>
      </c>
      <c r="K14" s="131"/>
      <c r="L14" s="67"/>
    </row>
    <row r="15">
      <c r="A15" s="67"/>
      <c r="B15" s="99" t="s">
        <v>53</v>
      </c>
      <c r="C15" s="99" t="s">
        <v>167</v>
      </c>
      <c r="D15" s="135" t="s">
        <v>170</v>
      </c>
      <c r="E15" s="135">
        <v>7.17572500105E12</v>
      </c>
      <c r="F15" s="119" t="s">
        <v>171</v>
      </c>
      <c r="G15" s="292">
        <v>2494.67</v>
      </c>
      <c r="H15" s="293">
        <v>45203.0</v>
      </c>
      <c r="I15" s="99" t="s">
        <v>172</v>
      </c>
      <c r="J15" s="99" t="s">
        <v>161</v>
      </c>
      <c r="K15" s="131"/>
      <c r="L15" s="67"/>
    </row>
  </sheetData>
  <mergeCells count="2">
    <mergeCell ref="B5:D6"/>
    <mergeCell ref="G8:G9"/>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sheetPr>
  <sheetViews>
    <sheetView showGridLines="0" workbookViewId="0"/>
  </sheetViews>
  <sheetFormatPr customHeight="1" defaultColWidth="12.63" defaultRowHeight="15.75"/>
  <cols>
    <col customWidth="1" min="1" max="1" width="2.0"/>
    <col customWidth="1" min="3" max="3" width="6.38"/>
    <col customWidth="1" min="4" max="4" width="2.0"/>
    <col customWidth="1" min="5" max="5" width="18.88"/>
    <col customWidth="1" min="8" max="9" width="2.0"/>
    <col customWidth="1" min="10" max="10" width="6.38"/>
    <col customWidth="1" min="11" max="11" width="2.0"/>
    <col customWidth="1" min="13" max="13" width="2.63"/>
    <col customWidth="1" min="14" max="14" width="2.75"/>
  </cols>
  <sheetData>
    <row r="1" ht="11.25" customHeight="1">
      <c r="A1" s="96"/>
      <c r="B1" s="71"/>
      <c r="C1" s="71"/>
      <c r="D1" s="71"/>
      <c r="E1" s="71"/>
      <c r="F1" s="71"/>
      <c r="G1" s="71"/>
      <c r="H1" s="71"/>
      <c r="I1" s="71"/>
      <c r="J1" s="71"/>
      <c r="K1" s="71"/>
      <c r="L1" s="71"/>
      <c r="M1" s="71"/>
      <c r="N1" s="71"/>
    </row>
    <row r="2">
      <c r="A2" s="71"/>
      <c r="B2" s="70" t="s">
        <v>174</v>
      </c>
      <c r="C2" s="71"/>
      <c r="D2" s="71"/>
      <c r="E2" s="71"/>
      <c r="F2" s="71"/>
      <c r="G2" s="71"/>
      <c r="H2" s="71"/>
      <c r="I2" s="71"/>
      <c r="J2" s="71"/>
      <c r="K2" s="71"/>
      <c r="L2" s="71"/>
      <c r="M2" s="71"/>
      <c r="N2" s="71"/>
    </row>
    <row r="3">
      <c r="A3" s="71"/>
      <c r="B3" s="79" t="s">
        <v>57</v>
      </c>
      <c r="C3" s="71"/>
      <c r="D3" s="71"/>
      <c r="E3" s="71"/>
      <c r="F3" s="71"/>
      <c r="G3" s="71"/>
      <c r="N3" s="71"/>
    </row>
    <row r="4">
      <c r="A4" s="71"/>
      <c r="B4" s="96" t="s">
        <v>524</v>
      </c>
      <c r="C4" s="71"/>
      <c r="D4" s="71"/>
      <c r="E4" s="71"/>
      <c r="F4" s="71"/>
      <c r="G4" s="71"/>
      <c r="H4" s="71"/>
      <c r="I4" s="206"/>
      <c r="J4" s="159" t="s">
        <v>200</v>
      </c>
      <c r="K4" s="71"/>
      <c r="L4" s="71"/>
      <c r="M4" s="207" t="b">
        <v>1</v>
      </c>
      <c r="N4" s="71"/>
    </row>
    <row r="5">
      <c r="A5" s="71"/>
      <c r="B5" s="76" t="s">
        <v>525</v>
      </c>
      <c r="G5" s="71"/>
      <c r="H5" s="71"/>
      <c r="I5" s="206"/>
      <c r="J5" s="159" t="s">
        <v>201</v>
      </c>
      <c r="K5" s="71"/>
      <c r="L5" s="71"/>
      <c r="M5" s="207" t="b">
        <v>0</v>
      </c>
      <c r="N5" s="71"/>
    </row>
    <row r="6">
      <c r="A6" s="71"/>
      <c r="G6" s="71"/>
      <c r="H6" s="71"/>
      <c r="I6" s="206"/>
      <c r="J6" s="159" t="s">
        <v>202</v>
      </c>
      <c r="K6" s="71"/>
      <c r="L6" s="71"/>
      <c r="M6" s="207" t="b">
        <v>0</v>
      </c>
      <c r="N6" s="71"/>
    </row>
    <row r="7">
      <c r="A7" s="71"/>
      <c r="B7" s="71"/>
      <c r="C7" s="71"/>
      <c r="D7" s="71"/>
      <c r="E7" s="71"/>
      <c r="F7" s="71"/>
      <c r="G7" s="71"/>
      <c r="H7" s="71"/>
      <c r="I7" s="71"/>
      <c r="J7" s="159"/>
      <c r="K7" s="71"/>
      <c r="L7" s="71"/>
      <c r="M7" s="71"/>
      <c r="N7" s="71"/>
    </row>
    <row r="8">
      <c r="A8" s="71"/>
      <c r="B8" s="70" t="s">
        <v>60</v>
      </c>
      <c r="C8" s="71"/>
      <c r="D8" s="71"/>
      <c r="E8" s="71"/>
      <c r="F8" s="71"/>
      <c r="G8" s="71"/>
      <c r="H8" s="71"/>
      <c r="N8" s="71"/>
    </row>
    <row r="9">
      <c r="A9" s="71"/>
      <c r="B9" s="79" t="s">
        <v>379</v>
      </c>
      <c r="C9" s="71"/>
      <c r="D9" s="71"/>
      <c r="E9" s="71"/>
      <c r="F9" s="71"/>
      <c r="G9" s="71"/>
      <c r="H9" s="71"/>
      <c r="I9" s="71"/>
      <c r="J9" s="71"/>
      <c r="K9" s="71"/>
      <c r="L9" s="71"/>
      <c r="M9" s="71"/>
      <c r="N9" s="71"/>
    </row>
    <row r="10">
      <c r="A10" s="71"/>
      <c r="B10" s="71"/>
      <c r="C10" s="71"/>
      <c r="D10" s="71"/>
      <c r="E10" s="305" t="s">
        <v>526</v>
      </c>
      <c r="F10" s="71"/>
      <c r="G10" s="71"/>
      <c r="H10" s="71"/>
      <c r="I10" s="71"/>
      <c r="J10" s="71"/>
      <c r="K10" s="71"/>
      <c r="L10" s="71"/>
      <c r="M10" s="71"/>
      <c r="N10" s="71"/>
    </row>
    <row r="11">
      <c r="A11" s="71"/>
      <c r="B11" s="208" t="s">
        <v>380</v>
      </c>
      <c r="C11" s="71"/>
      <c r="D11" s="206"/>
      <c r="E11" s="209" t="s">
        <v>527</v>
      </c>
      <c r="H11" s="71"/>
      <c r="I11" s="71"/>
      <c r="J11" s="71"/>
      <c r="K11" s="71"/>
      <c r="L11" s="71"/>
      <c r="M11" s="71"/>
      <c r="N11" s="71"/>
    </row>
    <row r="12">
      <c r="A12" s="71"/>
      <c r="B12" s="71"/>
      <c r="C12" s="71"/>
      <c r="D12" s="71"/>
      <c r="E12" s="71"/>
      <c r="F12" s="71"/>
      <c r="G12" s="71"/>
      <c r="H12" s="71"/>
      <c r="I12" s="206"/>
      <c r="J12" s="159" t="s">
        <v>382</v>
      </c>
      <c r="K12" s="69"/>
      <c r="L12" s="69"/>
      <c r="M12" s="210" t="s">
        <v>383</v>
      </c>
      <c r="N12" s="71"/>
    </row>
    <row r="13">
      <c r="A13" s="71"/>
      <c r="B13" s="208" t="s">
        <v>384</v>
      </c>
      <c r="C13" s="71"/>
      <c r="D13" s="206"/>
      <c r="E13" s="211" t="s">
        <v>386</v>
      </c>
      <c r="G13" s="212"/>
      <c r="H13" s="71"/>
      <c r="I13" s="206"/>
      <c r="J13" s="159" t="s">
        <v>385</v>
      </c>
      <c r="K13" s="69"/>
      <c r="L13" s="69"/>
      <c r="M13" s="210" t="s">
        <v>383</v>
      </c>
      <c r="N13" s="71"/>
    </row>
    <row r="14">
      <c r="A14" s="71"/>
      <c r="B14" s="71"/>
      <c r="C14" s="71"/>
      <c r="D14" s="71"/>
      <c r="E14" s="71"/>
      <c r="F14" s="71"/>
      <c r="G14" s="71"/>
      <c r="H14" s="71"/>
      <c r="I14" s="206"/>
      <c r="J14" s="159" t="s">
        <v>386</v>
      </c>
      <c r="K14" s="69"/>
      <c r="L14" s="69"/>
      <c r="M14" s="210" t="s">
        <v>383</v>
      </c>
      <c r="N14" s="71"/>
    </row>
    <row r="15">
      <c r="A15" s="71"/>
      <c r="B15" s="208" t="s">
        <v>387</v>
      </c>
      <c r="C15" s="71"/>
      <c r="D15" s="206"/>
      <c r="E15" s="209" t="s">
        <v>528</v>
      </c>
      <c r="H15" s="214"/>
      <c r="I15" s="214"/>
      <c r="J15" s="215"/>
      <c r="K15" s="215"/>
      <c r="L15" s="215"/>
      <c r="M15" s="215"/>
      <c r="N15" s="71"/>
    </row>
    <row r="16">
      <c r="A16" s="71"/>
      <c r="B16" s="71"/>
      <c r="C16" s="71"/>
      <c r="D16" s="71"/>
      <c r="E16" s="71"/>
      <c r="F16" s="71"/>
      <c r="G16" s="71"/>
      <c r="H16" s="71"/>
      <c r="I16" s="206"/>
      <c r="J16" s="159" t="s">
        <v>389</v>
      </c>
      <c r="K16" s="69"/>
      <c r="L16" s="69"/>
      <c r="M16" s="210" t="s">
        <v>383</v>
      </c>
      <c r="N16" s="71"/>
    </row>
    <row r="17">
      <c r="A17" s="71"/>
      <c r="B17" s="208" t="s">
        <v>390</v>
      </c>
      <c r="C17" s="71"/>
      <c r="D17" s="206"/>
      <c r="E17" s="211" t="s">
        <v>391</v>
      </c>
      <c r="G17" s="212"/>
      <c r="H17" s="71"/>
      <c r="I17" s="206"/>
      <c r="J17" s="159" t="s">
        <v>391</v>
      </c>
      <c r="K17" s="69"/>
      <c r="L17" s="69"/>
      <c r="M17" s="210" t="s">
        <v>383</v>
      </c>
      <c r="N17" s="71"/>
    </row>
    <row r="18">
      <c r="A18" s="71"/>
      <c r="B18" s="216"/>
      <c r="C18" s="217"/>
      <c r="D18" s="217"/>
      <c r="E18" s="217"/>
      <c r="F18" s="71"/>
      <c r="G18" s="71"/>
      <c r="H18" s="71"/>
      <c r="I18" s="206"/>
      <c r="J18" s="218" t="s">
        <v>392</v>
      </c>
      <c r="K18" s="219"/>
      <c r="L18" s="219"/>
      <c r="M18" s="220" t="s">
        <v>383</v>
      </c>
      <c r="N18" s="71"/>
    </row>
    <row r="19">
      <c r="A19" s="71"/>
      <c r="B19" s="208" t="s">
        <v>393</v>
      </c>
      <c r="C19" s="71"/>
      <c r="D19" s="206"/>
      <c r="E19" s="209" t="s">
        <v>529</v>
      </c>
      <c r="H19" s="71"/>
      <c r="I19" s="71"/>
      <c r="J19" s="221" t="s">
        <v>395</v>
      </c>
      <c r="N19" s="71"/>
    </row>
    <row r="20">
      <c r="A20" s="71"/>
      <c r="B20" s="71"/>
      <c r="C20" s="71"/>
      <c r="D20" s="71"/>
      <c r="E20" s="71"/>
      <c r="F20" s="71"/>
      <c r="G20" s="71"/>
      <c r="H20" s="71"/>
      <c r="I20" s="206"/>
      <c r="J20" s="159" t="s">
        <v>396</v>
      </c>
      <c r="K20" s="69"/>
      <c r="L20" s="69"/>
      <c r="M20" s="210" t="s">
        <v>383</v>
      </c>
      <c r="N20" s="71"/>
    </row>
    <row r="21">
      <c r="A21" s="71"/>
      <c r="B21" s="208" t="s">
        <v>397</v>
      </c>
      <c r="C21" s="71"/>
      <c r="D21" s="206"/>
      <c r="E21" s="211" t="s">
        <v>399</v>
      </c>
      <c r="G21" s="212"/>
      <c r="H21" s="71"/>
      <c r="I21" s="206"/>
      <c r="J21" s="159" t="s">
        <v>398</v>
      </c>
      <c r="K21" s="69"/>
      <c r="L21" s="69"/>
      <c r="M21" s="210" t="s">
        <v>383</v>
      </c>
      <c r="N21" s="71"/>
    </row>
    <row r="22">
      <c r="A22" s="71"/>
      <c r="B22" s="71"/>
      <c r="C22" s="71"/>
      <c r="D22" s="71"/>
      <c r="E22" s="71"/>
      <c r="F22" s="71"/>
      <c r="G22" s="71"/>
      <c r="H22" s="71"/>
      <c r="I22" s="206"/>
      <c r="J22" s="159" t="s">
        <v>399</v>
      </c>
      <c r="K22" s="69"/>
      <c r="L22" s="69"/>
      <c r="M22" s="210" t="s">
        <v>383</v>
      </c>
      <c r="N22" s="71"/>
    </row>
    <row r="23">
      <c r="A23" s="71"/>
      <c r="B23" s="208" t="s">
        <v>400</v>
      </c>
      <c r="C23" s="71"/>
      <c r="D23" s="206"/>
      <c r="E23" s="209" t="s">
        <v>530</v>
      </c>
      <c r="H23" s="71"/>
      <c r="I23" s="71"/>
      <c r="J23" s="71"/>
      <c r="K23" s="71"/>
      <c r="L23" s="71"/>
      <c r="M23" s="71"/>
      <c r="N23" s="71"/>
    </row>
    <row r="24">
      <c r="A24" s="71"/>
      <c r="B24" s="71"/>
      <c r="C24" s="71"/>
      <c r="D24" s="71"/>
      <c r="E24" s="71"/>
      <c r="F24" s="71"/>
      <c r="G24" s="71"/>
      <c r="H24" s="71"/>
      <c r="I24" s="71"/>
      <c r="J24" s="71"/>
      <c r="K24" s="71"/>
      <c r="L24" s="71"/>
      <c r="M24" s="71"/>
      <c r="N24" s="71"/>
    </row>
    <row r="25">
      <c r="A25" s="71"/>
      <c r="B25" s="208" t="s">
        <v>402</v>
      </c>
      <c r="C25" s="71"/>
      <c r="D25" s="206"/>
      <c r="E25" s="209" t="s">
        <v>531</v>
      </c>
      <c r="H25" s="71"/>
      <c r="I25" s="71"/>
      <c r="J25" s="71"/>
      <c r="K25" s="71"/>
      <c r="L25" s="71"/>
      <c r="M25" s="71"/>
      <c r="N25" s="71"/>
    </row>
    <row r="26">
      <c r="A26" s="71"/>
      <c r="B26" s="71"/>
      <c r="C26" s="71"/>
      <c r="D26" s="71"/>
      <c r="E26" s="71"/>
      <c r="F26" s="71"/>
      <c r="G26" s="71"/>
      <c r="H26" s="71"/>
      <c r="I26" s="71"/>
      <c r="J26" s="71"/>
      <c r="K26" s="71"/>
      <c r="L26" s="71"/>
      <c r="M26" s="71"/>
      <c r="N26" s="71"/>
    </row>
    <row r="27">
      <c r="A27" s="71"/>
      <c r="B27" s="208" t="s">
        <v>404</v>
      </c>
      <c r="C27" s="71"/>
      <c r="D27" s="206"/>
      <c r="E27" s="222" t="s">
        <v>314</v>
      </c>
      <c r="F27" s="223" t="s">
        <v>405</v>
      </c>
      <c r="G27" s="222" t="s">
        <v>406</v>
      </c>
      <c r="H27" s="224" t="s">
        <v>407</v>
      </c>
      <c r="I27" s="225"/>
      <c r="J27" s="216"/>
      <c r="K27" s="216"/>
      <c r="L27" s="212"/>
      <c r="M27" s="71"/>
      <c r="N27" s="71"/>
    </row>
    <row r="28">
      <c r="A28" s="71"/>
      <c r="B28" s="226" t="s">
        <v>213</v>
      </c>
      <c r="D28" s="206"/>
      <c r="E28" s="211" t="s">
        <v>278</v>
      </c>
      <c r="F28" s="298" t="s">
        <v>481</v>
      </c>
      <c r="G28" s="298" t="s">
        <v>411</v>
      </c>
      <c r="H28" s="99" t="b">
        <v>1</v>
      </c>
      <c r="J28" s="216"/>
      <c r="K28" s="206"/>
      <c r="L28" s="159" t="s">
        <v>39</v>
      </c>
      <c r="M28" s="210" t="s">
        <v>383</v>
      </c>
      <c r="N28" s="71"/>
    </row>
    <row r="29">
      <c r="A29" s="71"/>
      <c r="D29" s="206"/>
      <c r="E29" s="211" t="s">
        <v>281</v>
      </c>
      <c r="F29" s="298" t="s">
        <v>346</v>
      </c>
      <c r="G29" s="298" t="s">
        <v>409</v>
      </c>
      <c r="H29" s="99" t="b">
        <v>1</v>
      </c>
      <c r="J29" s="216"/>
      <c r="K29" s="206"/>
      <c r="L29" s="159" t="s">
        <v>411</v>
      </c>
      <c r="M29" s="71"/>
      <c r="N29" s="71"/>
    </row>
    <row r="30">
      <c r="A30" s="71"/>
      <c r="B30" s="71"/>
      <c r="C30" s="71"/>
      <c r="D30" s="206"/>
      <c r="E30" s="211" t="s">
        <v>303</v>
      </c>
      <c r="F30" s="298" t="s">
        <v>339</v>
      </c>
      <c r="G30" s="298" t="s">
        <v>44</v>
      </c>
      <c r="H30" s="99" t="b">
        <v>1</v>
      </c>
      <c r="J30" s="216"/>
      <c r="K30" s="206"/>
      <c r="L30" s="159" t="s">
        <v>409</v>
      </c>
      <c r="M30" s="71"/>
      <c r="N30" s="71"/>
    </row>
    <row r="31">
      <c r="A31" s="71"/>
      <c r="B31" s="71"/>
      <c r="C31" s="71"/>
      <c r="D31" s="206"/>
      <c r="E31" s="211"/>
      <c r="F31" s="298"/>
      <c r="G31" s="299"/>
      <c r="H31" s="99" t="b">
        <v>0</v>
      </c>
      <c r="J31" s="216"/>
      <c r="K31" s="206"/>
      <c r="L31" s="159" t="s">
        <v>43</v>
      </c>
      <c r="M31" s="71"/>
      <c r="N31" s="71"/>
    </row>
    <row r="32">
      <c r="A32" s="71"/>
      <c r="B32" s="71"/>
      <c r="C32" s="71"/>
      <c r="D32" s="206"/>
      <c r="E32" s="211"/>
      <c r="F32" s="299"/>
      <c r="G32" s="299"/>
      <c r="H32" s="99" t="b">
        <v>0</v>
      </c>
      <c r="J32" s="71"/>
      <c r="K32" s="206"/>
      <c r="L32" s="159" t="s">
        <v>44</v>
      </c>
      <c r="M32" s="71"/>
      <c r="N32" s="71"/>
    </row>
    <row r="33">
      <c r="A33" s="71"/>
      <c r="B33" s="71"/>
      <c r="C33" s="71"/>
      <c r="D33" s="206"/>
      <c r="E33" s="211"/>
      <c r="F33" s="298"/>
      <c r="G33" s="299"/>
      <c r="H33" s="99" t="b">
        <v>0</v>
      </c>
      <c r="J33" s="71"/>
      <c r="K33" s="71"/>
      <c r="L33" s="71"/>
      <c r="M33" s="71"/>
      <c r="N33" s="71"/>
    </row>
    <row r="34">
      <c r="A34" s="71"/>
      <c r="B34" s="71"/>
      <c r="C34" s="71"/>
      <c r="D34" s="206"/>
      <c r="E34" s="211"/>
      <c r="F34" s="298"/>
      <c r="G34" s="298"/>
      <c r="H34" s="99" t="b">
        <v>0</v>
      </c>
      <c r="J34" s="71"/>
      <c r="K34" s="71"/>
      <c r="L34" s="71"/>
      <c r="M34" s="71"/>
      <c r="N34" s="71"/>
    </row>
    <row r="35">
      <c r="A35" s="71"/>
      <c r="B35" s="208"/>
      <c r="C35" s="71"/>
      <c r="D35" s="71"/>
      <c r="E35" s="71"/>
      <c r="F35" s="71"/>
      <c r="G35" s="71"/>
      <c r="H35" s="71"/>
      <c r="I35" s="71"/>
      <c r="J35" s="71"/>
      <c r="K35" s="71"/>
      <c r="L35" s="71"/>
      <c r="M35" s="71"/>
      <c r="N35" s="71"/>
    </row>
    <row r="36">
      <c r="A36" s="71"/>
      <c r="B36" s="208"/>
      <c r="C36" s="71"/>
      <c r="D36" s="71"/>
      <c r="E36" s="71"/>
      <c r="F36" s="71"/>
      <c r="G36" s="71"/>
      <c r="H36" s="71"/>
      <c r="I36" s="71"/>
      <c r="J36" s="71"/>
      <c r="K36" s="71"/>
      <c r="L36" s="71"/>
      <c r="M36" s="71"/>
      <c r="N36" s="71"/>
    </row>
    <row r="37">
      <c r="A37" s="71"/>
      <c r="B37" s="208" t="s">
        <v>414</v>
      </c>
      <c r="C37" s="71"/>
      <c r="D37" s="71"/>
      <c r="E37" s="71"/>
      <c r="F37" s="71"/>
      <c r="G37" s="71"/>
      <c r="H37" s="71"/>
      <c r="I37" s="71"/>
      <c r="J37" s="71"/>
      <c r="K37" s="71"/>
      <c r="L37" s="71"/>
      <c r="M37" s="71"/>
      <c r="N37" s="71"/>
    </row>
    <row r="38">
      <c r="A38" s="71"/>
      <c r="B38" s="159" t="s">
        <v>482</v>
      </c>
      <c r="C38" s="71"/>
      <c r="D38" s="71"/>
      <c r="E38" s="71"/>
      <c r="F38" s="71"/>
      <c r="G38" s="71"/>
      <c r="H38" s="71"/>
      <c r="I38" s="71"/>
      <c r="J38" s="71"/>
      <c r="K38" s="71"/>
      <c r="L38" s="71"/>
      <c r="M38" s="71"/>
      <c r="N38" s="71"/>
    </row>
    <row r="39">
      <c r="A39" s="71"/>
      <c r="B39" s="208"/>
      <c r="C39" s="71"/>
      <c r="D39" s="71"/>
      <c r="E39" s="71"/>
      <c r="F39" s="71"/>
      <c r="G39" s="71"/>
      <c r="H39" s="71"/>
      <c r="I39" s="71"/>
      <c r="J39" s="71"/>
      <c r="K39" s="71"/>
      <c r="L39" s="71"/>
      <c r="M39" s="71"/>
      <c r="N39" s="71"/>
    </row>
    <row r="40">
      <c r="A40" s="71"/>
      <c r="B40" s="208"/>
      <c r="C40" s="71"/>
      <c r="D40" s="71"/>
      <c r="E40" s="71"/>
      <c r="F40" s="71"/>
      <c r="G40" s="71"/>
      <c r="H40" s="71"/>
      <c r="I40" s="71"/>
      <c r="J40" s="71"/>
      <c r="K40" s="71"/>
      <c r="L40" s="71"/>
      <c r="M40" s="71"/>
      <c r="N40" s="71"/>
    </row>
    <row r="41">
      <c r="A41" s="71"/>
      <c r="C41" s="71"/>
      <c r="D41" s="71"/>
      <c r="E41" s="71"/>
      <c r="F41" s="71"/>
      <c r="G41" s="71"/>
      <c r="H41" s="71"/>
      <c r="I41" s="71"/>
      <c r="J41" s="71"/>
      <c r="K41" s="71"/>
      <c r="L41" s="71"/>
      <c r="M41" s="71"/>
      <c r="N41" s="71"/>
    </row>
    <row r="42">
      <c r="A42" s="71"/>
      <c r="C42" s="71"/>
      <c r="D42" s="71"/>
      <c r="E42" s="71"/>
      <c r="F42" s="71"/>
      <c r="G42" s="71"/>
      <c r="H42" s="71"/>
      <c r="I42" s="71"/>
      <c r="J42" s="71"/>
      <c r="K42" s="71"/>
      <c r="L42" s="71"/>
      <c r="M42" s="71"/>
      <c r="N42" s="71"/>
    </row>
    <row r="43">
      <c r="A43" s="71"/>
      <c r="B43" s="71"/>
      <c r="C43" s="71"/>
      <c r="D43" s="71"/>
      <c r="E43" s="71"/>
      <c r="F43" s="71"/>
      <c r="G43" s="71"/>
      <c r="H43" s="71"/>
      <c r="I43" s="71"/>
      <c r="J43" s="71"/>
      <c r="K43" s="71"/>
      <c r="L43" s="71"/>
      <c r="M43" s="71"/>
      <c r="N43" s="71"/>
    </row>
    <row r="44">
      <c r="A44" s="71"/>
      <c r="B44" s="71"/>
      <c r="C44" s="71"/>
      <c r="D44" s="71"/>
      <c r="E44" s="71"/>
      <c r="F44" s="71"/>
      <c r="G44" s="71"/>
      <c r="H44" s="71"/>
      <c r="I44" s="71"/>
      <c r="J44" s="71"/>
      <c r="K44" s="71"/>
      <c r="L44" s="71"/>
      <c r="M44" s="71"/>
      <c r="N44" s="71"/>
    </row>
    <row r="45">
      <c r="A45" s="71"/>
      <c r="B45" s="71"/>
      <c r="C45" s="71"/>
      <c r="D45" s="71"/>
      <c r="E45" s="71"/>
      <c r="F45" s="71"/>
      <c r="G45" s="71"/>
      <c r="H45" s="71"/>
      <c r="I45" s="71"/>
      <c r="J45" s="71"/>
      <c r="K45" s="71"/>
      <c r="L45" s="71"/>
      <c r="M45" s="71"/>
      <c r="N45" s="71"/>
    </row>
    <row r="46">
      <c r="A46" s="71"/>
      <c r="B46" s="71"/>
      <c r="C46" s="71"/>
      <c r="D46" s="71"/>
      <c r="E46" s="71"/>
      <c r="F46" s="71"/>
      <c r="G46" s="71"/>
      <c r="H46" s="71"/>
      <c r="I46" s="71"/>
      <c r="J46" s="71"/>
      <c r="K46" s="71"/>
      <c r="L46" s="71"/>
      <c r="M46" s="71"/>
      <c r="N46" s="71"/>
    </row>
    <row r="47">
      <c r="A47" s="71"/>
      <c r="B47" s="71"/>
      <c r="C47" s="71"/>
      <c r="D47" s="71"/>
      <c r="E47" s="71"/>
      <c r="F47" s="71"/>
      <c r="G47" s="71"/>
      <c r="H47" s="71"/>
      <c r="I47" s="71"/>
      <c r="J47" s="71"/>
      <c r="K47" s="71"/>
      <c r="L47" s="71"/>
      <c r="M47" s="71"/>
      <c r="N47" s="71"/>
    </row>
    <row r="48">
      <c r="A48" s="71"/>
      <c r="B48" s="71"/>
      <c r="C48" s="71"/>
      <c r="D48" s="71"/>
      <c r="E48" s="71"/>
      <c r="F48" s="71"/>
      <c r="G48" s="71"/>
      <c r="H48" s="71"/>
      <c r="I48" s="71"/>
      <c r="J48" s="71"/>
      <c r="K48" s="71"/>
      <c r="L48" s="71"/>
      <c r="M48" s="71"/>
      <c r="N48" s="71"/>
    </row>
    <row r="49">
      <c r="A49" s="71"/>
      <c r="B49" s="71"/>
      <c r="C49" s="71"/>
      <c r="D49" s="71"/>
      <c r="E49" s="71"/>
      <c r="F49" s="71"/>
      <c r="G49" s="71"/>
      <c r="H49" s="71"/>
      <c r="I49" s="71"/>
      <c r="J49" s="71"/>
      <c r="K49" s="71"/>
      <c r="L49" s="71"/>
      <c r="M49" s="71"/>
      <c r="N49" s="71"/>
    </row>
    <row r="50">
      <c r="A50" s="71"/>
      <c r="B50" s="71"/>
      <c r="C50" s="71"/>
      <c r="D50" s="71"/>
      <c r="E50" s="71"/>
      <c r="F50" s="71"/>
      <c r="G50" s="71"/>
      <c r="H50" s="71"/>
      <c r="I50" s="71"/>
      <c r="J50" s="71"/>
      <c r="K50" s="71"/>
      <c r="L50" s="71"/>
      <c r="M50" s="71"/>
      <c r="N50" s="71"/>
    </row>
    <row r="51">
      <c r="A51" s="71"/>
      <c r="B51" s="71"/>
      <c r="C51" s="71"/>
      <c r="D51" s="71"/>
      <c r="E51" s="71"/>
      <c r="F51" s="71"/>
      <c r="G51" s="71"/>
      <c r="H51" s="71"/>
      <c r="I51" s="71"/>
      <c r="J51" s="71"/>
      <c r="K51" s="71"/>
      <c r="L51" s="71"/>
      <c r="M51" s="71"/>
      <c r="N51" s="71"/>
    </row>
  </sheetData>
  <mergeCells count="19">
    <mergeCell ref="B5:F6"/>
    <mergeCell ref="E11:G11"/>
    <mergeCell ref="E13:F13"/>
    <mergeCell ref="E15:G15"/>
    <mergeCell ref="E17:F17"/>
    <mergeCell ref="E19:G19"/>
    <mergeCell ref="J19:M19"/>
    <mergeCell ref="H30:I30"/>
    <mergeCell ref="H31:I31"/>
    <mergeCell ref="H32:I32"/>
    <mergeCell ref="H33:I33"/>
    <mergeCell ref="H34:I34"/>
    <mergeCell ref="E21:F21"/>
    <mergeCell ref="E23:G23"/>
    <mergeCell ref="E25:G25"/>
    <mergeCell ref="H27:I27"/>
    <mergeCell ref="B28:C29"/>
    <mergeCell ref="H28:I28"/>
    <mergeCell ref="H29:I29"/>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 type="list" allowBlank="1" showInputMessage="1" prompt="Clique e insira um valor de intervalo" sqref="G28:G34">
      <formula1>$L$28:$L$32</formula1>
    </dataValidation>
  </dataValidations>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sheetPr>
  <sheetViews>
    <sheetView showGridLines="0" workbookViewId="0"/>
  </sheetViews>
  <sheetFormatPr customHeight="1" defaultColWidth="12.63" defaultRowHeight="15.75"/>
  <cols>
    <col customWidth="1" min="1" max="1" width="2.63"/>
    <col customWidth="1" min="2" max="3" width="18.88"/>
    <col customWidth="1" min="4" max="4" width="31.38"/>
    <col customWidth="1" min="5" max="5" width="18.88"/>
    <col customWidth="1" min="6" max="7" width="12.63"/>
    <col customWidth="1" min="8" max="8" width="31.38"/>
    <col customWidth="1" min="9" max="10" width="5.13"/>
  </cols>
  <sheetData>
    <row r="1" ht="11.25" customHeight="1">
      <c r="A1" s="67"/>
      <c r="B1" s="67"/>
      <c r="C1" s="67"/>
      <c r="D1" s="67"/>
      <c r="E1" s="67"/>
      <c r="F1" s="68"/>
      <c r="G1" s="67"/>
      <c r="H1" s="67"/>
      <c r="I1" s="67"/>
      <c r="J1" s="67"/>
    </row>
    <row r="2">
      <c r="A2" s="67"/>
      <c r="B2" s="70" t="s">
        <v>56</v>
      </c>
      <c r="C2" s="70"/>
      <c r="D2" s="71"/>
      <c r="E2" s="71"/>
      <c r="F2" s="72"/>
      <c r="G2" s="67"/>
      <c r="H2" s="67"/>
      <c r="I2" s="67"/>
      <c r="J2" s="67"/>
    </row>
    <row r="3">
      <c r="A3" s="67"/>
      <c r="B3" s="79" t="s">
        <v>57</v>
      </c>
      <c r="C3" s="79"/>
      <c r="D3" s="71"/>
      <c r="E3" s="71"/>
      <c r="F3" s="72"/>
      <c r="G3" s="67"/>
      <c r="H3" s="67"/>
      <c r="I3" s="67"/>
      <c r="J3" s="67"/>
    </row>
    <row r="4">
      <c r="A4" s="67"/>
      <c r="B4" s="96" t="s">
        <v>483</v>
      </c>
      <c r="C4" s="96"/>
      <c r="D4" s="71"/>
      <c r="E4" s="71"/>
      <c r="F4" s="72"/>
      <c r="G4" s="67"/>
      <c r="H4" s="67"/>
      <c r="I4" s="67"/>
      <c r="J4" s="67"/>
    </row>
    <row r="5">
      <c r="A5" s="67"/>
      <c r="B5" s="76" t="s">
        <v>59</v>
      </c>
      <c r="E5" s="76"/>
      <c r="F5" s="76"/>
      <c r="G5" s="78"/>
      <c r="H5" s="67"/>
      <c r="I5" s="67"/>
      <c r="J5" s="67"/>
    </row>
    <row r="6">
      <c r="A6" s="67"/>
      <c r="E6" s="76"/>
      <c r="F6" s="76"/>
      <c r="G6" s="78"/>
      <c r="H6" s="67"/>
      <c r="I6" s="67"/>
      <c r="J6" s="67"/>
    </row>
    <row r="7">
      <c r="A7" s="67"/>
      <c r="B7" s="71"/>
      <c r="C7" s="71"/>
      <c r="D7" s="71"/>
      <c r="E7" s="71"/>
      <c r="F7" s="72"/>
      <c r="G7" s="78"/>
      <c r="H7" s="67"/>
      <c r="I7" s="67"/>
      <c r="J7" s="67"/>
    </row>
    <row r="8">
      <c r="A8" s="67"/>
      <c r="B8" s="70" t="s">
        <v>60</v>
      </c>
      <c r="C8" s="70"/>
      <c r="D8" s="71"/>
      <c r="E8" s="253" t="s">
        <v>418</v>
      </c>
      <c r="F8" s="72"/>
      <c r="G8" s="253" t="s">
        <v>419</v>
      </c>
      <c r="H8" s="67"/>
      <c r="I8" s="67"/>
      <c r="J8" s="67"/>
    </row>
    <row r="9">
      <c r="A9" s="67"/>
      <c r="B9" s="79" t="s">
        <v>420</v>
      </c>
      <c r="C9" s="79"/>
      <c r="D9" s="71"/>
      <c r="E9" s="254"/>
      <c r="F9" s="72"/>
      <c r="G9" s="254"/>
      <c r="H9" s="67"/>
      <c r="I9" s="67"/>
      <c r="J9" s="67"/>
    </row>
    <row r="10">
      <c r="A10" s="67"/>
      <c r="B10" s="67"/>
      <c r="C10" s="67"/>
      <c r="D10" s="67"/>
      <c r="E10" s="255"/>
      <c r="F10" s="68"/>
      <c r="G10" s="255"/>
      <c r="H10" s="67"/>
      <c r="I10" s="67"/>
      <c r="J10" s="67"/>
    </row>
    <row r="11">
      <c r="A11" s="67"/>
      <c r="B11" s="80" t="s">
        <v>62</v>
      </c>
      <c r="C11" s="80" t="s">
        <v>63</v>
      </c>
      <c r="D11" s="80" t="s">
        <v>421</v>
      </c>
      <c r="E11" s="80" t="s">
        <v>422</v>
      </c>
      <c r="F11" s="81" t="s">
        <v>423</v>
      </c>
      <c r="G11" s="81" t="s">
        <v>424</v>
      </c>
      <c r="H11" s="80" t="s">
        <v>425</v>
      </c>
      <c r="I11" s="98"/>
      <c r="J11" s="67"/>
    </row>
    <row r="12">
      <c r="A12" s="67"/>
      <c r="B12" s="99" t="s">
        <v>54</v>
      </c>
      <c r="C12" s="99" t="s">
        <v>173</v>
      </c>
      <c r="D12" s="135" t="s">
        <v>532</v>
      </c>
      <c r="E12" s="99" t="s">
        <v>533</v>
      </c>
      <c r="F12" s="287">
        <v>45024.0</v>
      </c>
      <c r="G12" s="287">
        <v>45351.0</v>
      </c>
      <c r="H12" s="107"/>
      <c r="I12" s="67"/>
      <c r="J12" s="67"/>
    </row>
    <row r="13">
      <c r="A13" s="67"/>
      <c r="B13" s="99" t="s">
        <v>54</v>
      </c>
      <c r="C13" s="99" t="s">
        <v>184</v>
      </c>
      <c r="D13" s="135" t="s">
        <v>534</v>
      </c>
      <c r="E13" s="99" t="s">
        <v>535</v>
      </c>
      <c r="F13" s="287">
        <v>45148.0</v>
      </c>
      <c r="G13" s="287">
        <v>45383.0</v>
      </c>
      <c r="H13" s="107"/>
      <c r="I13" s="67"/>
      <c r="J13" s="67"/>
    </row>
    <row r="14">
      <c r="A14" s="67"/>
      <c r="B14" s="99" t="s">
        <v>54</v>
      </c>
      <c r="C14" s="135" t="s">
        <v>536</v>
      </c>
      <c r="D14" s="135" t="s">
        <v>537</v>
      </c>
      <c r="E14" s="99" t="s">
        <v>538</v>
      </c>
      <c r="F14" s="287">
        <v>45383.0</v>
      </c>
      <c r="G14" s="287">
        <v>45444.0</v>
      </c>
      <c r="H14" s="107"/>
      <c r="I14" s="67"/>
      <c r="J14" s="67"/>
    </row>
    <row r="15">
      <c r="A15" s="67"/>
      <c r="B15" s="99" t="s">
        <v>54</v>
      </c>
      <c r="C15" s="135" t="s">
        <v>539</v>
      </c>
      <c r="D15" s="135" t="s">
        <v>540</v>
      </c>
      <c r="E15" s="99" t="s">
        <v>541</v>
      </c>
      <c r="F15" s="287">
        <v>45383.0</v>
      </c>
      <c r="G15" s="287">
        <v>45444.0</v>
      </c>
      <c r="H15" s="107"/>
      <c r="I15" s="67"/>
      <c r="J15" s="67"/>
    </row>
    <row r="16">
      <c r="A16" s="67"/>
      <c r="B16" s="99" t="s">
        <v>54</v>
      </c>
      <c r="C16" s="99" t="s">
        <v>542</v>
      </c>
      <c r="D16" s="135" t="s">
        <v>543</v>
      </c>
      <c r="E16" s="135" t="s">
        <v>544</v>
      </c>
      <c r="F16" s="287">
        <v>45383.0</v>
      </c>
      <c r="G16" s="287">
        <v>45444.0</v>
      </c>
      <c r="H16" s="107"/>
      <c r="I16" s="67"/>
      <c r="J16" s="67"/>
    </row>
    <row r="17">
      <c r="A17" s="67"/>
      <c r="B17" s="99" t="s">
        <v>54</v>
      </c>
      <c r="C17" s="135" t="s">
        <v>545</v>
      </c>
      <c r="D17" s="135" t="s">
        <v>546</v>
      </c>
      <c r="E17" s="99" t="s">
        <v>547</v>
      </c>
      <c r="F17" s="288">
        <v>45170.0</v>
      </c>
      <c r="G17" s="287">
        <v>45536.0</v>
      </c>
      <c r="H17" s="107"/>
      <c r="I17" s="67"/>
      <c r="J17" s="67"/>
    </row>
    <row r="18">
      <c r="A18" s="67"/>
      <c r="B18" s="99" t="s">
        <v>54</v>
      </c>
      <c r="C18" s="135" t="s">
        <v>305</v>
      </c>
      <c r="D18" s="135" t="s">
        <v>306</v>
      </c>
      <c r="E18" s="135" t="s">
        <v>548</v>
      </c>
      <c r="F18" s="287">
        <v>45268.0</v>
      </c>
      <c r="G18" s="287">
        <v>45536.0</v>
      </c>
      <c r="H18" s="107"/>
      <c r="I18" s="67"/>
      <c r="J18" s="67"/>
    </row>
  </sheetData>
  <mergeCells count="3">
    <mergeCell ref="B5:D6"/>
    <mergeCell ref="E8:E9"/>
    <mergeCell ref="G8:G9"/>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sheetPr>
  <sheetViews>
    <sheetView showGridLines="0" workbookViewId="0"/>
  </sheetViews>
  <sheetFormatPr customHeight="1" defaultColWidth="12.63" defaultRowHeight="15.75"/>
  <cols>
    <col customWidth="1" min="1" max="1" width="2.63"/>
    <col customWidth="1" min="2" max="2" width="6.38"/>
    <col customWidth="1" min="3" max="6" width="18.88"/>
    <col customWidth="1" min="8" max="8" width="10.13"/>
    <col customWidth="1" min="10" max="10" width="30.38"/>
    <col customWidth="1" min="11" max="12" width="5.13"/>
  </cols>
  <sheetData>
    <row r="1" ht="11.25" customHeight="1">
      <c r="A1" s="67"/>
      <c r="B1" s="67"/>
      <c r="C1" s="67"/>
      <c r="D1" s="67"/>
      <c r="E1" s="67"/>
      <c r="F1" s="67"/>
      <c r="G1" s="68"/>
      <c r="H1" s="78"/>
      <c r="I1" s="67"/>
      <c r="J1" s="67"/>
      <c r="K1" s="67"/>
      <c r="L1" s="67"/>
    </row>
    <row r="2">
      <c r="A2" s="67"/>
      <c r="B2" s="70" t="s">
        <v>56</v>
      </c>
      <c r="C2" s="71"/>
      <c r="D2" s="71"/>
      <c r="E2" s="71"/>
      <c r="F2" s="71"/>
      <c r="G2" s="72"/>
      <c r="H2" s="78"/>
      <c r="I2" s="67"/>
      <c r="J2" s="67"/>
      <c r="K2" s="67"/>
      <c r="L2" s="67"/>
    </row>
    <row r="3">
      <c r="A3" s="67"/>
      <c r="B3" s="79" t="s">
        <v>57</v>
      </c>
      <c r="C3" s="71"/>
      <c r="D3" s="71"/>
      <c r="E3" s="71"/>
      <c r="F3" s="71"/>
      <c r="G3" s="72"/>
      <c r="H3" s="78"/>
      <c r="I3" s="67"/>
      <c r="J3" s="67"/>
      <c r="K3" s="67"/>
      <c r="L3" s="67"/>
    </row>
    <row r="4">
      <c r="A4" s="67"/>
      <c r="B4" s="96" t="s">
        <v>549</v>
      </c>
      <c r="C4" s="71"/>
      <c r="D4" s="71"/>
      <c r="E4" s="71"/>
      <c r="F4" s="71"/>
      <c r="G4" s="72"/>
      <c r="H4" s="78"/>
      <c r="I4" s="67"/>
      <c r="J4" s="67"/>
      <c r="K4" s="67"/>
      <c r="L4" s="67"/>
    </row>
    <row r="5">
      <c r="A5" s="67"/>
      <c r="B5" s="76" t="s">
        <v>59</v>
      </c>
      <c r="E5" s="76"/>
      <c r="F5" s="76"/>
      <c r="G5" s="76"/>
      <c r="H5" s="78"/>
      <c r="I5" s="67"/>
      <c r="J5" s="67"/>
      <c r="K5" s="67"/>
      <c r="L5" s="67"/>
    </row>
    <row r="6">
      <c r="A6" s="67"/>
      <c r="E6" s="76"/>
      <c r="F6" s="76"/>
      <c r="G6" s="76"/>
      <c r="H6" s="78"/>
      <c r="I6" s="102" t="s">
        <v>204</v>
      </c>
      <c r="J6" s="67"/>
      <c r="K6" s="67"/>
      <c r="L6" s="67"/>
    </row>
    <row r="7">
      <c r="A7" s="67"/>
      <c r="B7" s="71"/>
      <c r="C7" s="71"/>
      <c r="D7" s="71"/>
      <c r="E7" s="71"/>
      <c r="F7" s="71"/>
      <c r="G7" s="72"/>
      <c r="H7" s="78"/>
      <c r="I7" s="102" t="s">
        <v>205</v>
      </c>
      <c r="J7" s="67"/>
      <c r="K7" s="67"/>
      <c r="L7" s="67"/>
    </row>
    <row r="8">
      <c r="A8" s="67"/>
      <c r="B8" s="70" t="s">
        <v>60</v>
      </c>
      <c r="C8" s="71"/>
      <c r="D8" s="71"/>
      <c r="E8" s="71"/>
      <c r="F8" s="71"/>
      <c r="G8" s="72"/>
      <c r="H8" s="78"/>
      <c r="I8" s="102" t="s">
        <v>206</v>
      </c>
      <c r="J8" s="67"/>
      <c r="K8" s="67"/>
      <c r="L8" s="67"/>
    </row>
    <row r="9">
      <c r="A9" s="67"/>
      <c r="B9" s="79" t="s">
        <v>207</v>
      </c>
      <c r="C9" s="71"/>
      <c r="D9" s="71"/>
      <c r="E9" s="71"/>
      <c r="F9" s="71"/>
      <c r="G9" s="72"/>
      <c r="H9" s="78"/>
      <c r="I9" s="102" t="s">
        <v>208</v>
      </c>
      <c r="J9" s="67"/>
      <c r="K9" s="67"/>
      <c r="L9" s="67"/>
    </row>
    <row r="10">
      <c r="A10" s="67"/>
      <c r="B10" s="67"/>
      <c r="C10" s="67"/>
      <c r="D10" s="67"/>
      <c r="E10" s="67"/>
      <c r="F10" s="67"/>
      <c r="G10" s="68"/>
      <c r="H10" s="78">
        <f>SUM(H12:H18)</f>
        <v>392</v>
      </c>
      <c r="I10" s="103"/>
      <c r="J10" s="67"/>
      <c r="K10" s="67"/>
      <c r="L10" s="67"/>
    </row>
    <row r="11">
      <c r="A11" s="67"/>
      <c r="B11" s="80" t="s">
        <v>209</v>
      </c>
      <c r="C11" s="80" t="s">
        <v>62</v>
      </c>
      <c r="D11" s="80" t="s">
        <v>63</v>
      </c>
      <c r="E11" s="80" t="s">
        <v>210</v>
      </c>
      <c r="F11" s="80" t="s">
        <v>211</v>
      </c>
      <c r="G11" s="82" t="s">
        <v>68</v>
      </c>
      <c r="H11" s="239" t="s">
        <v>212</v>
      </c>
      <c r="I11" s="80" t="s">
        <v>214</v>
      </c>
      <c r="J11" s="80" t="s">
        <v>215</v>
      </c>
      <c r="K11" s="98"/>
      <c r="L11" s="67"/>
    </row>
    <row r="12">
      <c r="A12" s="67"/>
      <c r="B12" s="99"/>
      <c r="C12" s="99" t="s">
        <v>54</v>
      </c>
      <c r="D12" s="99" t="s">
        <v>173</v>
      </c>
      <c r="E12" s="99" t="s">
        <v>281</v>
      </c>
      <c r="F12" s="99"/>
      <c r="G12" s="256">
        <v>45024.0</v>
      </c>
      <c r="H12" s="105">
        <v>132.0</v>
      </c>
      <c r="I12" s="99" t="s">
        <v>206</v>
      </c>
      <c r="J12" s="135" t="s">
        <v>298</v>
      </c>
      <c r="K12" s="67"/>
      <c r="L12" s="67"/>
    </row>
    <row r="13">
      <c r="A13" s="67"/>
      <c r="B13" s="99"/>
      <c r="C13" s="99" t="s">
        <v>54</v>
      </c>
      <c r="D13" s="99" t="s">
        <v>184</v>
      </c>
      <c r="E13" s="99" t="s">
        <v>281</v>
      </c>
      <c r="F13" s="99"/>
      <c r="G13" s="257">
        <v>45148.0</v>
      </c>
      <c r="H13" s="105">
        <v>88.0</v>
      </c>
      <c r="I13" s="99" t="s">
        <v>206</v>
      </c>
      <c r="J13" s="135" t="s">
        <v>299</v>
      </c>
      <c r="K13" s="67"/>
      <c r="L13" s="67"/>
    </row>
    <row r="14">
      <c r="A14" s="67"/>
      <c r="B14" s="99"/>
      <c r="C14" s="99" t="s">
        <v>54</v>
      </c>
      <c r="D14" s="135" t="s">
        <v>184</v>
      </c>
      <c r="E14" s="99" t="s">
        <v>281</v>
      </c>
      <c r="F14" s="99"/>
      <c r="G14" s="287">
        <v>45201.0</v>
      </c>
      <c r="H14" s="105">
        <v>88.0</v>
      </c>
      <c r="I14" s="99" t="s">
        <v>206</v>
      </c>
      <c r="J14" s="135" t="s">
        <v>300</v>
      </c>
      <c r="K14" s="67"/>
      <c r="L14" s="67"/>
    </row>
    <row r="15">
      <c r="A15" s="67"/>
      <c r="B15" s="99"/>
      <c r="C15" s="99" t="s">
        <v>54</v>
      </c>
      <c r="D15" s="135" t="s">
        <v>184</v>
      </c>
      <c r="E15" s="135" t="s">
        <v>550</v>
      </c>
      <c r="F15" s="99"/>
      <c r="G15" s="287">
        <v>45244.0</v>
      </c>
      <c r="H15" s="105">
        <v>8.0</v>
      </c>
      <c r="I15" s="99" t="s">
        <v>205</v>
      </c>
      <c r="J15" s="135" t="s">
        <v>301</v>
      </c>
      <c r="K15" s="67"/>
      <c r="L15" s="67"/>
    </row>
    <row r="16">
      <c r="A16" s="67"/>
      <c r="B16" s="99"/>
      <c r="C16" s="99" t="s">
        <v>54</v>
      </c>
      <c r="D16" s="99" t="s">
        <v>184</v>
      </c>
      <c r="E16" s="135" t="s">
        <v>551</v>
      </c>
      <c r="F16" s="99"/>
      <c r="G16" s="287">
        <v>45268.0</v>
      </c>
      <c r="H16" s="105">
        <v>16.0</v>
      </c>
      <c r="I16" s="99" t="s">
        <v>205</v>
      </c>
      <c r="J16" s="135" t="s">
        <v>302</v>
      </c>
      <c r="K16" s="67"/>
      <c r="L16" s="67"/>
    </row>
    <row r="17">
      <c r="A17" s="67"/>
      <c r="B17" s="99"/>
      <c r="C17" s="99" t="s">
        <v>54</v>
      </c>
      <c r="D17" s="99" t="s">
        <v>184</v>
      </c>
      <c r="E17" s="135" t="s">
        <v>551</v>
      </c>
      <c r="F17" s="99"/>
      <c r="G17" s="287">
        <v>45275.0</v>
      </c>
      <c r="H17" s="105">
        <v>16.0</v>
      </c>
      <c r="I17" s="99" t="s">
        <v>205</v>
      </c>
      <c r="J17" s="135" t="s">
        <v>304</v>
      </c>
      <c r="K17" s="67"/>
      <c r="L17" s="67"/>
    </row>
    <row r="18">
      <c r="A18" s="67"/>
      <c r="B18" s="99"/>
      <c r="C18" s="99" t="s">
        <v>54</v>
      </c>
      <c r="D18" s="135" t="s">
        <v>305</v>
      </c>
      <c r="E18" s="99" t="s">
        <v>303</v>
      </c>
      <c r="F18" s="99"/>
      <c r="G18" s="287">
        <v>45268.0</v>
      </c>
      <c r="H18" s="105">
        <v>44.0</v>
      </c>
      <c r="I18" s="99" t="s">
        <v>205</v>
      </c>
      <c r="J18" s="135" t="s">
        <v>306</v>
      </c>
      <c r="K18" s="67"/>
      <c r="L18" s="67"/>
    </row>
  </sheetData>
  <mergeCells count="1">
    <mergeCell ref="B5:D6"/>
  </mergeCells>
  <dataValidations>
    <dataValidation type="list" allowBlank="1" sqref="I12:I18">
      <formula1>$I$6:$I$9</formula1>
    </dataValidation>
  </dataValidation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sheetPr>
  <sheetViews>
    <sheetView showGridLines="0" workbookViewId="0"/>
  </sheetViews>
  <sheetFormatPr customHeight="1" defaultColWidth="12.63" defaultRowHeight="15.75"/>
  <cols>
    <col customWidth="1" min="1" max="1" width="2.63"/>
    <col customWidth="1" min="2" max="5" width="18.88"/>
    <col customWidth="1" min="6" max="8" width="12.63"/>
    <col customWidth="1" min="9" max="10" width="31.38"/>
    <col customWidth="1" min="11" max="12" width="5.13"/>
  </cols>
  <sheetData>
    <row r="1" ht="11.25" customHeight="1">
      <c r="A1" s="67"/>
      <c r="B1" s="67"/>
      <c r="C1" s="67"/>
      <c r="D1" s="67"/>
      <c r="E1" s="67"/>
      <c r="F1" s="67"/>
      <c r="G1" s="259"/>
      <c r="H1" s="68"/>
      <c r="I1" s="67"/>
      <c r="J1" s="67"/>
      <c r="K1" s="67"/>
      <c r="L1" s="67"/>
    </row>
    <row r="2">
      <c r="A2" s="67"/>
      <c r="B2" s="70" t="s">
        <v>56</v>
      </c>
      <c r="C2" s="71"/>
      <c r="D2" s="71"/>
      <c r="E2" s="71"/>
      <c r="F2" s="71"/>
      <c r="G2" s="260"/>
      <c r="H2" s="72"/>
      <c r="I2" s="67"/>
      <c r="J2" s="67"/>
      <c r="K2" s="67"/>
      <c r="L2" s="67"/>
    </row>
    <row r="3">
      <c r="A3" s="67"/>
      <c r="B3" s="79" t="s">
        <v>57</v>
      </c>
      <c r="C3" s="71"/>
      <c r="D3" s="71"/>
      <c r="E3" s="71"/>
      <c r="F3" s="71"/>
      <c r="G3" s="260"/>
      <c r="H3" s="72"/>
      <c r="I3" s="67"/>
      <c r="J3" s="67"/>
      <c r="K3" s="67"/>
      <c r="L3" s="67"/>
    </row>
    <row r="4">
      <c r="A4" s="67"/>
      <c r="B4" s="96" t="s">
        <v>483</v>
      </c>
      <c r="C4" s="71"/>
      <c r="D4" s="71"/>
      <c r="E4" s="71"/>
      <c r="F4" s="71"/>
      <c r="G4" s="260"/>
      <c r="H4" s="72"/>
      <c r="I4" s="67"/>
      <c r="J4" s="67"/>
      <c r="K4" s="67"/>
      <c r="L4" s="67"/>
    </row>
    <row r="5">
      <c r="A5" s="67"/>
      <c r="B5" s="76" t="s">
        <v>59</v>
      </c>
      <c r="E5" s="76"/>
      <c r="F5" s="76"/>
      <c r="G5" s="261"/>
      <c r="H5" s="76"/>
      <c r="I5" s="67"/>
      <c r="J5" s="67"/>
      <c r="K5" s="67"/>
      <c r="L5" s="67"/>
    </row>
    <row r="6">
      <c r="A6" s="67"/>
      <c r="E6" s="76"/>
      <c r="F6" s="76"/>
      <c r="G6" s="261"/>
      <c r="H6" s="76"/>
      <c r="I6" s="67"/>
      <c r="J6" s="67"/>
      <c r="K6" s="67"/>
      <c r="L6" s="67"/>
    </row>
    <row r="7">
      <c r="A7" s="67"/>
      <c r="B7" s="71"/>
      <c r="C7" s="78"/>
      <c r="D7" s="78"/>
      <c r="E7" s="78"/>
      <c r="F7" s="78"/>
      <c r="G7" s="78"/>
      <c r="H7" s="78"/>
      <c r="I7" s="67"/>
      <c r="J7" s="67"/>
      <c r="K7" s="67"/>
      <c r="L7" s="67"/>
    </row>
    <row r="8">
      <c r="A8" s="67"/>
      <c r="B8" s="70" t="s">
        <v>60</v>
      </c>
      <c r="C8" s="78"/>
      <c r="D8" s="78"/>
      <c r="E8" s="78"/>
      <c r="F8" s="78"/>
      <c r="G8" s="78"/>
      <c r="H8" s="78"/>
      <c r="I8" s="67"/>
      <c r="J8" s="67"/>
      <c r="K8" s="67"/>
      <c r="L8" s="67"/>
    </row>
    <row r="9">
      <c r="A9" s="67"/>
      <c r="B9" s="79" t="s">
        <v>61</v>
      </c>
      <c r="C9" s="78"/>
      <c r="D9" s="78"/>
      <c r="E9" s="78"/>
      <c r="F9" s="78"/>
      <c r="G9" s="78"/>
      <c r="H9" s="78"/>
      <c r="I9" s="67"/>
      <c r="J9" s="67"/>
      <c r="K9" s="67"/>
      <c r="L9" s="67"/>
    </row>
    <row r="10">
      <c r="A10" s="67"/>
      <c r="B10" s="67"/>
      <c r="C10" s="78"/>
      <c r="D10" s="78"/>
      <c r="E10" s="78"/>
      <c r="F10" s="78"/>
      <c r="G10" s="78"/>
      <c r="H10" s="78"/>
      <c r="I10" s="67"/>
      <c r="J10" s="67"/>
      <c r="K10" s="67"/>
      <c r="L10" s="67"/>
    </row>
    <row r="11">
      <c r="A11" s="67"/>
      <c r="B11" s="80" t="s">
        <v>62</v>
      </c>
      <c r="C11" s="80" t="s">
        <v>63</v>
      </c>
      <c r="D11" s="80" t="s">
        <v>64</v>
      </c>
      <c r="E11" s="80" t="s">
        <v>65</v>
      </c>
      <c r="F11" s="81" t="s">
        <v>66</v>
      </c>
      <c r="G11" s="239" t="s">
        <v>67</v>
      </c>
      <c r="H11" s="81" t="s">
        <v>68</v>
      </c>
      <c r="I11" s="80" t="s">
        <v>69</v>
      </c>
      <c r="J11" s="80" t="s">
        <v>70</v>
      </c>
      <c r="K11" s="98"/>
      <c r="L11" s="67"/>
    </row>
    <row r="12">
      <c r="A12" s="67"/>
      <c r="B12" s="99" t="s">
        <v>54</v>
      </c>
      <c r="C12" s="135" t="s">
        <v>173</v>
      </c>
      <c r="D12" s="135" t="s">
        <v>174</v>
      </c>
      <c r="E12" s="135">
        <v>7.389050000151E12</v>
      </c>
      <c r="F12" s="119"/>
      <c r="G12" s="292">
        <v>22629.05</v>
      </c>
      <c r="H12" s="300">
        <v>45141.0</v>
      </c>
      <c r="I12" s="135" t="s">
        <v>175</v>
      </c>
      <c r="J12" s="99" t="s">
        <v>176</v>
      </c>
      <c r="K12" s="131"/>
      <c r="L12" s="67"/>
    </row>
    <row r="13">
      <c r="A13" s="67"/>
      <c r="B13" s="99" t="s">
        <v>54</v>
      </c>
      <c r="C13" s="135" t="s">
        <v>173</v>
      </c>
      <c r="D13" s="135" t="s">
        <v>177</v>
      </c>
      <c r="E13" s="135">
        <v>1.0591960000127E13</v>
      </c>
      <c r="F13" s="119" t="s">
        <v>178</v>
      </c>
      <c r="G13" s="292">
        <v>29979.16</v>
      </c>
      <c r="H13" s="293">
        <v>45188.0</v>
      </c>
      <c r="I13" s="135" t="s">
        <v>179</v>
      </c>
      <c r="J13" s="99" t="s">
        <v>176</v>
      </c>
      <c r="K13" s="131"/>
      <c r="L13" s="67"/>
    </row>
    <row r="14">
      <c r="A14" s="67"/>
      <c r="B14" s="99" t="s">
        <v>54</v>
      </c>
      <c r="C14" s="135" t="s">
        <v>173</v>
      </c>
      <c r="D14" s="135" t="s">
        <v>180</v>
      </c>
      <c r="E14" s="135">
        <v>7.564023000178E12</v>
      </c>
      <c r="F14" s="119" t="s">
        <v>181</v>
      </c>
      <c r="G14" s="292">
        <v>6992.07</v>
      </c>
      <c r="H14" s="293">
        <v>45182.0</v>
      </c>
      <c r="I14" s="135" t="s">
        <v>182</v>
      </c>
      <c r="J14" s="99" t="s">
        <v>176</v>
      </c>
      <c r="K14" s="131"/>
      <c r="L14" s="67"/>
    </row>
    <row r="15">
      <c r="A15" s="67"/>
      <c r="B15" s="99" t="s">
        <v>54</v>
      </c>
      <c r="C15" s="135" t="s">
        <v>173</v>
      </c>
      <c r="D15" s="135" t="s">
        <v>174</v>
      </c>
      <c r="E15" s="135">
        <v>7.389050000151E12</v>
      </c>
      <c r="F15" s="119"/>
      <c r="G15" s="292">
        <v>12688.67</v>
      </c>
      <c r="H15" s="293">
        <v>45182.0</v>
      </c>
      <c r="I15" s="135" t="s">
        <v>183</v>
      </c>
      <c r="J15" s="99" t="s">
        <v>176</v>
      </c>
      <c r="K15" s="131"/>
      <c r="L15" s="67"/>
    </row>
    <row r="16">
      <c r="A16" s="67"/>
      <c r="B16" s="99" t="s">
        <v>54</v>
      </c>
      <c r="C16" s="135" t="s">
        <v>184</v>
      </c>
      <c r="D16" s="135" t="s">
        <v>185</v>
      </c>
      <c r="E16" s="135">
        <v>1.1368303000188E13</v>
      </c>
      <c r="F16" s="119" t="s">
        <v>186</v>
      </c>
      <c r="G16" s="292">
        <v>28209.9</v>
      </c>
      <c r="H16" s="293">
        <v>45149.0</v>
      </c>
      <c r="I16" s="99" t="s">
        <v>187</v>
      </c>
      <c r="J16" s="99" t="s">
        <v>188</v>
      </c>
      <c r="K16" s="131"/>
      <c r="L16" s="67"/>
    </row>
    <row r="17">
      <c r="A17" s="67"/>
      <c r="B17" s="99" t="s">
        <v>54</v>
      </c>
      <c r="C17" s="135" t="s">
        <v>184</v>
      </c>
      <c r="D17" s="135" t="s">
        <v>189</v>
      </c>
      <c r="E17" s="135">
        <v>2.2311610035E10</v>
      </c>
      <c r="F17" s="119" t="s">
        <v>190</v>
      </c>
      <c r="G17" s="292">
        <v>3564.89</v>
      </c>
      <c r="H17" s="293">
        <v>45169.0</v>
      </c>
      <c r="I17" s="99" t="s">
        <v>191</v>
      </c>
      <c r="J17" s="99" t="s">
        <v>192</v>
      </c>
      <c r="K17" s="131"/>
      <c r="L17" s="67"/>
    </row>
    <row r="18">
      <c r="A18" s="283"/>
      <c r="B18" s="99" t="s">
        <v>54</v>
      </c>
      <c r="C18" s="267" t="s">
        <v>184</v>
      </c>
      <c r="D18" s="306" t="s">
        <v>174</v>
      </c>
      <c r="E18" s="306">
        <v>7.389050000151E12</v>
      </c>
      <c r="F18" s="307"/>
      <c r="G18" s="295">
        <v>9544.0</v>
      </c>
      <c r="H18" s="308">
        <v>45223.0</v>
      </c>
      <c r="I18" s="267" t="s">
        <v>193</v>
      </c>
      <c r="J18" s="267" t="s">
        <v>194</v>
      </c>
      <c r="K18" s="283"/>
      <c r="L18" s="283"/>
    </row>
    <row r="19">
      <c r="A19" s="67"/>
      <c r="B19" s="99" t="s">
        <v>54</v>
      </c>
      <c r="C19" s="267" t="s">
        <v>184</v>
      </c>
      <c r="D19" s="135" t="s">
        <v>195</v>
      </c>
      <c r="E19" s="135">
        <v>8.4685106000166E13</v>
      </c>
      <c r="F19" s="119" t="s">
        <v>196</v>
      </c>
      <c r="G19" s="292">
        <v>8744.8</v>
      </c>
      <c r="H19" s="293">
        <v>45260.0</v>
      </c>
      <c r="I19" s="99" t="s">
        <v>197</v>
      </c>
      <c r="J19" s="309" t="s">
        <v>198</v>
      </c>
      <c r="K19" s="131"/>
      <c r="L19" s="67"/>
    </row>
  </sheetData>
  <mergeCells count="1">
    <mergeCell ref="B5:D6"/>
  </mergeCell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8" width="15.0"/>
  </cols>
  <sheetData>
    <row r="1">
      <c r="A1" s="84" t="s">
        <v>78</v>
      </c>
      <c r="B1" s="120" t="s">
        <v>220</v>
      </c>
      <c r="I1" s="310" t="s">
        <v>38</v>
      </c>
      <c r="J1" s="310" t="s">
        <v>67</v>
      </c>
    </row>
    <row r="2">
      <c r="A2" s="99" t="s">
        <v>78</v>
      </c>
      <c r="B2" s="120" t="s">
        <v>222</v>
      </c>
      <c r="D2" s="120" t="str">
        <f t="array" ref="D2:E35">unique(A1:B1000)</f>
        <v>IRIS</v>
      </c>
      <c r="E2" s="120" t="s">
        <v>220</v>
      </c>
      <c r="F2" s="311" t="s">
        <v>43</v>
      </c>
      <c r="G2" s="312" t="str">
        <f t="shared" ref="G2:G34" si="1">VLOOKUP(E2,$M$2:$Q$12,4,TRUE)</f>
        <v>Parcial</v>
      </c>
      <c r="H2" s="313"/>
      <c r="I2" s="120">
        <f>roundup(SUMIFS('Resumo - TIMESHEETS'!$H:$H,'Resumo - TIMESHEETS'!$C:$C,$D2,'Resumo - TIMESHEETS'!$E:$E,$E2),0)</f>
        <v>62</v>
      </c>
      <c r="J2" s="123">
        <f>SUMIFS('Resumo - TIMESHEETS'!$L:$L,'Resumo - TIMESHEETS'!$C:$C,$D2,'Resumo - TIMESHEETS'!$E:$E,$E2)</f>
        <v>3208.096846</v>
      </c>
      <c r="L2" s="314"/>
      <c r="M2" s="315" t="s">
        <v>272</v>
      </c>
      <c r="N2" s="311"/>
      <c r="O2" s="311"/>
      <c r="P2" s="312" t="s">
        <v>225</v>
      </c>
      <c r="Q2" s="311" t="s">
        <v>43</v>
      </c>
    </row>
    <row r="3">
      <c r="A3" s="99" t="s">
        <v>78</v>
      </c>
      <c r="B3" s="120" t="s">
        <v>552</v>
      </c>
      <c r="D3" s="120" t="s">
        <v>78</v>
      </c>
      <c r="E3" s="120" t="s">
        <v>222</v>
      </c>
      <c r="F3" s="311" t="s">
        <v>42</v>
      </c>
      <c r="G3" s="312" t="str">
        <f t="shared" si="1"/>
        <v>Parcial</v>
      </c>
      <c r="I3" s="120">
        <f>roundup(SUMIFS('Resumo - TIMESHEETS'!$H:$H,'Resumo - TIMESHEETS'!$C:$C,$D3,'Resumo - TIMESHEETS'!$E:$E,$E3),0)</f>
        <v>422</v>
      </c>
      <c r="J3" s="123">
        <f>SUMIFS('Resumo - TIMESHEETS'!$L:$L,'Resumo - TIMESHEETS'!$C:$C,$D3,'Resumo - TIMESHEETS'!$E:$E,$E3)</f>
        <v>857.7821527</v>
      </c>
      <c r="L3" s="314"/>
      <c r="M3" s="315" t="s">
        <v>268</v>
      </c>
      <c r="N3" s="311"/>
      <c r="O3" s="311"/>
      <c r="P3" s="312" t="s">
        <v>264</v>
      </c>
      <c r="Q3" s="311" t="s">
        <v>40</v>
      </c>
    </row>
    <row r="4">
      <c r="A4" s="99" t="s">
        <v>78</v>
      </c>
      <c r="B4" s="120" t="s">
        <v>228</v>
      </c>
      <c r="D4" s="120" t="s">
        <v>78</v>
      </c>
      <c r="E4" s="120" t="s">
        <v>552</v>
      </c>
      <c r="F4" s="311" t="s">
        <v>42</v>
      </c>
      <c r="G4" s="312" t="str">
        <f t="shared" si="1"/>
        <v>Parcial</v>
      </c>
      <c r="I4" s="120">
        <f>roundup(SUMIFS('Resumo - TIMESHEETS'!$H:$H,'Resumo - TIMESHEETS'!$C:$C,$D4,'Resumo - TIMESHEETS'!$E:$E,$E4),0)</f>
        <v>0</v>
      </c>
      <c r="J4" s="123">
        <f>SUMIFS('Resumo - TIMESHEETS'!$L:$L,'Resumo - TIMESHEETS'!$C:$C,$D4,'Resumo - TIMESHEETS'!$E:$E,$E4)</f>
        <v>0</v>
      </c>
      <c r="L4" s="314"/>
      <c r="M4" s="315" t="s">
        <v>261</v>
      </c>
      <c r="N4" s="311"/>
      <c r="O4" s="311"/>
      <c r="P4" s="312" t="s">
        <v>264</v>
      </c>
      <c r="Q4" s="311" t="s">
        <v>40</v>
      </c>
    </row>
    <row r="5">
      <c r="A5" s="99" t="s">
        <v>78</v>
      </c>
      <c r="B5" s="120" t="s">
        <v>229</v>
      </c>
      <c r="D5" s="120" t="s">
        <v>78</v>
      </c>
      <c r="E5" s="120" t="s">
        <v>228</v>
      </c>
      <c r="F5" s="311" t="s">
        <v>41</v>
      </c>
      <c r="G5" s="312" t="str">
        <f t="shared" si="1"/>
        <v>Parcial</v>
      </c>
      <c r="I5" s="120">
        <f>roundup(SUMIFS('Resumo - TIMESHEETS'!$H:$H,'Resumo - TIMESHEETS'!$C:$C,$D5,'Resumo - TIMESHEETS'!$E:$E,$E5),0)</f>
        <v>1515</v>
      </c>
      <c r="J5" s="123">
        <f>SUMIFS('Resumo - TIMESHEETS'!$L:$L,'Resumo - TIMESHEETS'!$C:$C,$D5,'Resumo - TIMESHEETS'!$E:$E,$E5)</f>
        <v>68078.45311</v>
      </c>
      <c r="L5" s="314"/>
      <c r="M5" s="315" t="s">
        <v>270</v>
      </c>
      <c r="N5" s="311"/>
      <c r="O5" s="311"/>
      <c r="P5" s="312" t="s">
        <v>225</v>
      </c>
      <c r="Q5" s="311" t="s">
        <v>41</v>
      </c>
    </row>
    <row r="6">
      <c r="A6" s="99" t="s">
        <v>78</v>
      </c>
      <c r="B6" s="120" t="s">
        <v>228</v>
      </c>
      <c r="D6" s="120" t="s">
        <v>78</v>
      </c>
      <c r="E6" s="120" t="s">
        <v>229</v>
      </c>
      <c r="F6" s="311" t="s">
        <v>41</v>
      </c>
      <c r="G6" s="312" t="str">
        <f t="shared" si="1"/>
        <v>Parcial</v>
      </c>
      <c r="I6" s="120">
        <f>roundup(SUMIFS('Resumo - TIMESHEETS'!$H:$H,'Resumo - TIMESHEETS'!$C:$C,$D6,'Resumo - TIMESHEETS'!$E:$E,$E6),0)</f>
        <v>1077</v>
      </c>
      <c r="J6" s="123">
        <f>SUMIFS('Resumo - TIMESHEETS'!$L:$L,'Resumo - TIMESHEETS'!$C:$C,$D6,'Resumo - TIMESHEETS'!$E:$E,$E6)</f>
        <v>68856.64991</v>
      </c>
      <c r="L6" s="314"/>
      <c r="M6" s="315" t="s">
        <v>222</v>
      </c>
      <c r="N6" s="311"/>
      <c r="O6" s="311"/>
      <c r="P6" s="312" t="s">
        <v>225</v>
      </c>
      <c r="Q6" s="311" t="s">
        <v>42</v>
      </c>
    </row>
    <row r="7">
      <c r="A7" s="99" t="s">
        <v>78</v>
      </c>
      <c r="B7" s="120" t="s">
        <v>229</v>
      </c>
      <c r="D7" s="120" t="s">
        <v>78</v>
      </c>
      <c r="E7" s="120" t="s">
        <v>232</v>
      </c>
      <c r="F7" s="311" t="s">
        <v>39</v>
      </c>
      <c r="G7" s="312" t="str">
        <f t="shared" si="1"/>
        <v>Parcial</v>
      </c>
      <c r="I7" s="120">
        <f>roundup(SUMIFS('Resumo - TIMESHEETS'!$H:$H,'Resumo - TIMESHEETS'!$C:$C,$D7,'Resumo - TIMESHEETS'!$E:$E,$E7),0)</f>
        <v>69</v>
      </c>
      <c r="J7" s="123">
        <f>SUMIFS('Resumo - TIMESHEETS'!$L:$L,'Resumo - TIMESHEETS'!$C:$C,$D7,'Resumo - TIMESHEETS'!$E:$E,$E7)</f>
        <v>844.6118586</v>
      </c>
      <c r="L7" s="314"/>
      <c r="M7" s="315" t="s">
        <v>228</v>
      </c>
      <c r="N7" s="311"/>
      <c r="O7" s="311"/>
      <c r="P7" s="312" t="s">
        <v>225</v>
      </c>
      <c r="Q7" s="311" t="s">
        <v>42</v>
      </c>
    </row>
    <row r="8">
      <c r="A8" s="99" t="s">
        <v>78</v>
      </c>
      <c r="B8" s="120" t="s">
        <v>222</v>
      </c>
      <c r="D8" s="120" t="s">
        <v>78</v>
      </c>
      <c r="E8" s="120" t="s">
        <v>236</v>
      </c>
      <c r="F8" s="311" t="s">
        <v>41</v>
      </c>
      <c r="G8" s="312" t="str">
        <f t="shared" si="1"/>
        <v>Parcial</v>
      </c>
      <c r="I8" s="120">
        <f>roundup(SUMIFS('Resumo - TIMESHEETS'!$H:$H,'Resumo - TIMESHEETS'!$C:$C,$D8,'Resumo - TIMESHEETS'!$E:$E,$E8),0)</f>
        <v>563</v>
      </c>
      <c r="J8" s="123">
        <f>SUMIFS('Resumo - TIMESHEETS'!$L:$L,'Resumo - TIMESHEETS'!$C:$C,$D8,'Resumo - TIMESHEETS'!$E:$E,$E8)</f>
        <v>6805.579071</v>
      </c>
      <c r="L8" s="314"/>
      <c r="M8" s="315" t="s">
        <v>553</v>
      </c>
      <c r="N8" s="311"/>
      <c r="O8" s="311"/>
      <c r="P8" s="312" t="s">
        <v>225</v>
      </c>
      <c r="Q8" s="311" t="s">
        <v>39</v>
      </c>
    </row>
    <row r="9">
      <c r="A9" s="99" t="s">
        <v>78</v>
      </c>
      <c r="B9" s="120" t="s">
        <v>552</v>
      </c>
      <c r="D9" s="120" t="s">
        <v>78</v>
      </c>
      <c r="E9" s="120" t="s">
        <v>238</v>
      </c>
      <c r="F9" s="311" t="s">
        <v>43</v>
      </c>
      <c r="G9" s="312" t="str">
        <f t="shared" si="1"/>
        <v>Parcial</v>
      </c>
      <c r="I9" s="120">
        <f>roundup(SUMIFS('Resumo - TIMESHEETS'!$H:$H,'Resumo - TIMESHEETS'!$C:$C,$D9,'Resumo - TIMESHEETS'!$E:$E,$E9),0)</f>
        <v>371</v>
      </c>
      <c r="J9" s="123">
        <f>SUMIFS('Resumo - TIMESHEETS'!$L:$L,'Resumo - TIMESHEETS'!$C:$C,$D9,'Resumo - TIMESHEETS'!$E:$E,$E9)</f>
        <v>38645.86176</v>
      </c>
      <c r="L9" s="314"/>
      <c r="M9" s="315" t="s">
        <v>265</v>
      </c>
      <c r="N9" s="311"/>
      <c r="O9" s="311"/>
      <c r="P9" s="312" t="s">
        <v>264</v>
      </c>
      <c r="Q9" s="311" t="s">
        <v>41</v>
      </c>
    </row>
    <row r="10">
      <c r="A10" s="99" t="s">
        <v>78</v>
      </c>
      <c r="B10" s="120" t="s">
        <v>232</v>
      </c>
      <c r="D10" s="120" t="s">
        <v>78</v>
      </c>
      <c r="E10" s="120" t="s">
        <v>244</v>
      </c>
      <c r="F10" s="311" t="s">
        <v>40</v>
      </c>
      <c r="G10" s="312" t="str">
        <f t="shared" si="1"/>
        <v>Parcial</v>
      </c>
      <c r="H10" s="313"/>
      <c r="I10" s="120">
        <f>roundup(SUMIFS('Resumo - TIMESHEETS'!$H:$H,'Resumo - TIMESHEETS'!$C:$C,$D10,'Resumo - TIMESHEETS'!$E:$E,$E10),0)</f>
        <v>49</v>
      </c>
      <c r="J10" s="123">
        <f>SUMIFS('Resumo - TIMESHEETS'!$L:$L,'Resumo - TIMESHEETS'!$C:$C,$D10,'Resumo - TIMESHEETS'!$E:$E,$E10)</f>
        <v>2764.313349</v>
      </c>
      <c r="L10" s="314"/>
      <c r="M10" s="315" t="s">
        <v>229</v>
      </c>
      <c r="N10" s="311"/>
      <c r="O10" s="311"/>
      <c r="P10" s="312" t="s">
        <v>225</v>
      </c>
      <c r="Q10" s="311" t="s">
        <v>41</v>
      </c>
    </row>
    <row r="11">
      <c r="A11" s="99" t="s">
        <v>78</v>
      </c>
      <c r="B11" s="120" t="s">
        <v>222</v>
      </c>
      <c r="D11" s="120" t="s">
        <v>78</v>
      </c>
      <c r="E11" s="120" t="s">
        <v>245</v>
      </c>
      <c r="F11" s="311" t="s">
        <v>40</v>
      </c>
      <c r="G11" s="312" t="str">
        <f t="shared" si="1"/>
        <v>Exclusivo</v>
      </c>
      <c r="H11" s="316"/>
      <c r="I11" s="120">
        <f>roundup(SUMIFS('Resumo - TIMESHEETS'!$H:$H,'Resumo - TIMESHEETS'!$C:$C,$D11,'Resumo - TIMESHEETS'!$E:$E,$E11),0)</f>
        <v>72</v>
      </c>
      <c r="J11" s="123">
        <f>SUMIFS('Resumo - TIMESHEETS'!$L:$L,'Resumo - TIMESHEETS'!$C:$C,$D11,'Resumo - TIMESHEETS'!$E:$E,$E11)</f>
        <v>2831.547417</v>
      </c>
      <c r="L11" s="314"/>
      <c r="M11" s="315" t="s">
        <v>244</v>
      </c>
      <c r="N11" s="311"/>
      <c r="O11" s="311"/>
      <c r="P11" s="312" t="s">
        <v>225</v>
      </c>
      <c r="Q11" s="311" t="s">
        <v>41</v>
      </c>
    </row>
    <row r="12">
      <c r="A12" s="99" t="s">
        <v>78</v>
      </c>
      <c r="B12" s="120" t="s">
        <v>222</v>
      </c>
      <c r="D12" s="120" t="s">
        <v>78</v>
      </c>
      <c r="E12" s="120" t="s">
        <v>246</v>
      </c>
      <c r="F12" s="311" t="s">
        <v>42</v>
      </c>
      <c r="G12" s="312" t="str">
        <f t="shared" si="1"/>
        <v>Parcial</v>
      </c>
      <c r="I12" s="120">
        <f>roundup(SUMIFS('Resumo - TIMESHEETS'!$H:$H,'Resumo - TIMESHEETS'!$C:$C,$D12,'Resumo - TIMESHEETS'!$E:$E,$E12),0)</f>
        <v>19</v>
      </c>
      <c r="J12" s="123">
        <f>SUMIFS('Resumo - TIMESHEETS'!$L:$L,'Resumo - TIMESHEETS'!$C:$C,$D12,'Resumo - TIMESHEETS'!$E:$E,$E12)</f>
        <v>873.9765622</v>
      </c>
      <c r="L12" s="314"/>
      <c r="M12" s="315" t="s">
        <v>554</v>
      </c>
      <c r="N12" s="311"/>
      <c r="O12" s="311"/>
      <c r="P12" s="312" t="s">
        <v>225</v>
      </c>
      <c r="Q12" s="311" t="s">
        <v>41</v>
      </c>
    </row>
    <row r="13">
      <c r="A13" s="99" t="s">
        <v>78</v>
      </c>
      <c r="B13" s="120" t="s">
        <v>236</v>
      </c>
      <c r="D13" s="120" t="s">
        <v>78</v>
      </c>
      <c r="E13" s="120" t="s">
        <v>247</v>
      </c>
      <c r="F13" s="311" t="s">
        <v>41</v>
      </c>
      <c r="G13" s="312" t="str">
        <f t="shared" si="1"/>
        <v>Parcial</v>
      </c>
      <c r="I13" s="120">
        <f>roundup(SUMIFS('Resumo - TIMESHEETS'!$H:$H,'Resumo - TIMESHEETS'!$C:$C,$D13,'Resumo - TIMESHEETS'!$E:$E,$E13),0)</f>
        <v>1238</v>
      </c>
      <c r="J13" s="123">
        <f>SUMIFS('Resumo - TIMESHEETS'!$L:$L,'Resumo - TIMESHEETS'!$C:$C,$D13,'Resumo - TIMESHEETS'!$E:$E,$E13)</f>
        <v>97030.69717</v>
      </c>
    </row>
    <row r="14">
      <c r="A14" s="99" t="s">
        <v>78</v>
      </c>
      <c r="B14" s="120" t="s">
        <v>238</v>
      </c>
      <c r="D14" s="120" t="s">
        <v>78</v>
      </c>
      <c r="E14" s="120" t="s">
        <v>251</v>
      </c>
      <c r="F14" s="311" t="s">
        <v>41</v>
      </c>
      <c r="G14" s="312" t="str">
        <f t="shared" si="1"/>
        <v>Parcial</v>
      </c>
      <c r="I14" s="120">
        <f>roundup(SUMIFS('Resumo - TIMESHEETS'!$H:$H,'Resumo - TIMESHEETS'!$C:$C,$D14,'Resumo - TIMESHEETS'!$E:$E,$E14),0)</f>
        <v>651</v>
      </c>
      <c r="J14" s="123">
        <f>SUMIFS('Resumo - TIMESHEETS'!$L:$L,'Resumo - TIMESHEETS'!$C:$C,$D14,'Resumo - TIMESHEETS'!$E:$E,$E14)</f>
        <v>13991.05109</v>
      </c>
    </row>
    <row r="15">
      <c r="A15" s="99" t="s">
        <v>78</v>
      </c>
      <c r="B15" s="120" t="s">
        <v>228</v>
      </c>
      <c r="D15" s="120" t="s">
        <v>78</v>
      </c>
      <c r="E15" s="120" t="s">
        <v>256</v>
      </c>
      <c r="F15" s="311" t="s">
        <v>39</v>
      </c>
      <c r="G15" s="312" t="str">
        <f t="shared" si="1"/>
        <v>Exclusivo</v>
      </c>
      <c r="I15" s="120">
        <f>roundup(SUMIFS('Resumo - TIMESHEETS'!$H:$H,'Resumo - TIMESHEETS'!$C:$C,$D15,'Resumo - TIMESHEETS'!$E:$E,$E15),0)</f>
        <v>77</v>
      </c>
      <c r="J15" s="123">
        <f>SUMIFS('Resumo - TIMESHEETS'!$L:$L,'Resumo - TIMESHEETS'!$C:$C,$D15,'Resumo - TIMESHEETS'!$E:$E,$E15)</f>
        <v>986.3832799</v>
      </c>
    </row>
    <row r="16">
      <c r="A16" s="99" t="s">
        <v>78</v>
      </c>
      <c r="B16" s="120" t="s">
        <v>229</v>
      </c>
      <c r="D16" s="120" t="s">
        <v>99</v>
      </c>
      <c r="E16" s="120" t="s">
        <v>261</v>
      </c>
      <c r="F16" s="311" t="s">
        <v>41</v>
      </c>
      <c r="G16" s="312" t="str">
        <f t="shared" si="1"/>
        <v>Exclusivo</v>
      </c>
      <c r="I16" s="120">
        <f>roundup(SUMIFS('Resumo - TIMESHEETS'!$H:$H,'Resumo - TIMESHEETS'!$C:$C,$D16,'Resumo - TIMESHEETS'!$E:$E,$E16),0)</f>
        <v>2120</v>
      </c>
      <c r="J16" s="123">
        <f>SUMIFS('Resumo - TIMESHEETS'!$L:$L,'Resumo - TIMESHEETS'!$C:$C,$D16,'Resumo - TIMESHEETS'!$E:$E,$E16)</f>
        <v>236612.194</v>
      </c>
    </row>
    <row r="17">
      <c r="A17" s="99" t="s">
        <v>78</v>
      </c>
      <c r="B17" s="120" t="s">
        <v>222</v>
      </c>
      <c r="D17" s="120" t="s">
        <v>99</v>
      </c>
      <c r="E17" s="120" t="s">
        <v>265</v>
      </c>
      <c r="G17" s="312" t="str">
        <f t="shared" si="1"/>
        <v>Exclusivo</v>
      </c>
    </row>
    <row r="18">
      <c r="A18" s="99" t="s">
        <v>78</v>
      </c>
      <c r="B18" s="120" t="s">
        <v>552</v>
      </c>
      <c r="D18" s="120" t="s">
        <v>99</v>
      </c>
      <c r="E18" s="120" t="s">
        <v>555</v>
      </c>
      <c r="G18" s="312" t="str">
        <f t="shared" si="1"/>
        <v>Parcial</v>
      </c>
    </row>
    <row r="19">
      <c r="A19" s="99" t="s">
        <v>78</v>
      </c>
      <c r="B19" s="120" t="s">
        <v>232</v>
      </c>
      <c r="D19" s="120" t="s">
        <v>99</v>
      </c>
      <c r="E19" s="120" t="s">
        <v>268</v>
      </c>
      <c r="G19" s="312" t="str">
        <f t="shared" si="1"/>
        <v>Exclusivo</v>
      </c>
    </row>
    <row r="20">
      <c r="A20" s="99" t="s">
        <v>78</v>
      </c>
      <c r="B20" s="120" t="s">
        <v>222</v>
      </c>
      <c r="D20" s="120" t="s">
        <v>99</v>
      </c>
      <c r="E20" s="120" t="s">
        <v>270</v>
      </c>
      <c r="G20" s="312" t="str">
        <f t="shared" si="1"/>
        <v>Parcial</v>
      </c>
      <c r="H20" s="122"/>
      <c r="L20" s="317" t="s">
        <v>272</v>
      </c>
      <c r="M20" s="318" t="s">
        <v>273</v>
      </c>
    </row>
    <row r="21">
      <c r="A21" s="99" t="s">
        <v>78</v>
      </c>
      <c r="B21" s="120" t="s">
        <v>552</v>
      </c>
      <c r="D21" s="120" t="s">
        <v>99</v>
      </c>
      <c r="E21" s="120" t="s">
        <v>226</v>
      </c>
      <c r="G21" s="312" t="str">
        <f t="shared" si="1"/>
        <v>Parcial</v>
      </c>
      <c r="L21" s="317" t="s">
        <v>220</v>
      </c>
      <c r="M21" s="318"/>
    </row>
    <row r="22">
      <c r="A22" s="99" t="s">
        <v>78</v>
      </c>
      <c r="B22" s="120" t="s">
        <v>220</v>
      </c>
      <c r="D22" s="120" t="s">
        <v>99</v>
      </c>
      <c r="E22" s="120" t="s">
        <v>272</v>
      </c>
      <c r="G22" s="312" t="str">
        <f t="shared" si="1"/>
        <v>Parcial</v>
      </c>
      <c r="L22" s="317" t="s">
        <v>268</v>
      </c>
      <c r="M22" s="318" t="s">
        <v>269</v>
      </c>
    </row>
    <row r="23">
      <c r="A23" s="99" t="s">
        <v>78</v>
      </c>
      <c r="B23" s="120" t="s">
        <v>238</v>
      </c>
      <c r="D23" s="120" t="s">
        <v>99</v>
      </c>
      <c r="E23" s="120" t="s">
        <v>222</v>
      </c>
      <c r="G23" s="312" t="str">
        <f t="shared" si="1"/>
        <v>Parcial</v>
      </c>
      <c r="L23" s="317" t="s">
        <v>261</v>
      </c>
      <c r="M23" s="318" t="s">
        <v>262</v>
      </c>
    </row>
    <row r="24">
      <c r="A24" s="99" t="s">
        <v>78</v>
      </c>
      <c r="B24" s="120" t="s">
        <v>220</v>
      </c>
      <c r="D24" s="120" t="s">
        <v>99</v>
      </c>
      <c r="E24" s="120" t="s">
        <v>554</v>
      </c>
      <c r="G24" s="312" t="str">
        <f t="shared" si="1"/>
        <v>Parcial</v>
      </c>
      <c r="L24" s="317" t="s">
        <v>270</v>
      </c>
      <c r="M24" s="318" t="s">
        <v>271</v>
      </c>
    </row>
    <row r="25">
      <c r="A25" s="99" t="s">
        <v>78</v>
      </c>
      <c r="B25" s="120" t="s">
        <v>222</v>
      </c>
      <c r="D25" s="120" t="s">
        <v>99</v>
      </c>
      <c r="E25" s="120" t="s">
        <v>236</v>
      </c>
      <c r="G25" s="312" t="str">
        <f t="shared" si="1"/>
        <v>Parcial</v>
      </c>
      <c r="L25" s="317" t="s">
        <v>222</v>
      </c>
      <c r="M25" s="318" t="s">
        <v>223</v>
      </c>
    </row>
    <row r="26">
      <c r="A26" s="99" t="s">
        <v>78</v>
      </c>
      <c r="B26" s="120" t="s">
        <v>236</v>
      </c>
      <c r="D26" s="120" t="s">
        <v>99</v>
      </c>
      <c r="E26" s="120" t="s">
        <v>247</v>
      </c>
      <c r="G26" s="312" t="str">
        <f t="shared" si="1"/>
        <v>Parcial</v>
      </c>
      <c r="L26" s="317" t="s">
        <v>303</v>
      </c>
      <c r="M26" s="318"/>
    </row>
    <row r="27">
      <c r="A27" s="99" t="s">
        <v>78</v>
      </c>
      <c r="B27" s="120" t="s">
        <v>238</v>
      </c>
      <c r="D27" s="120" t="s">
        <v>99</v>
      </c>
      <c r="E27" s="120" t="s">
        <v>256</v>
      </c>
      <c r="G27" s="312" t="str">
        <f t="shared" si="1"/>
        <v>Exclusivo</v>
      </c>
      <c r="L27" s="317" t="s">
        <v>228</v>
      </c>
      <c r="M27" s="318"/>
    </row>
    <row r="28">
      <c r="A28" s="99" t="s">
        <v>78</v>
      </c>
      <c r="B28" s="120" t="s">
        <v>552</v>
      </c>
      <c r="D28" s="120" t="s">
        <v>52</v>
      </c>
      <c r="E28" s="120" t="s">
        <v>278</v>
      </c>
      <c r="G28" s="312" t="str">
        <f t="shared" si="1"/>
        <v>Parcial</v>
      </c>
      <c r="L28" s="317" t="s">
        <v>226</v>
      </c>
      <c r="M28" s="318" t="s">
        <v>227</v>
      </c>
    </row>
    <row r="29">
      <c r="A29" s="99" t="s">
        <v>78</v>
      </c>
      <c r="B29" s="120" t="s">
        <v>232</v>
      </c>
      <c r="D29" s="120" t="s">
        <v>52</v>
      </c>
      <c r="E29" s="120" t="s">
        <v>493</v>
      </c>
      <c r="G29" s="312" t="str">
        <f t="shared" si="1"/>
        <v>Parcial</v>
      </c>
      <c r="L29" s="317" t="s">
        <v>247</v>
      </c>
      <c r="M29" s="318" t="s">
        <v>248</v>
      </c>
    </row>
    <row r="30">
      <c r="A30" s="99" t="s">
        <v>78</v>
      </c>
      <c r="B30" s="120" t="s">
        <v>236</v>
      </c>
      <c r="D30" s="120" t="s">
        <v>53</v>
      </c>
      <c r="E30" s="120" t="s">
        <v>281</v>
      </c>
      <c r="G30" s="312" t="str">
        <f t="shared" si="1"/>
        <v>Parcial</v>
      </c>
      <c r="L30" s="317" t="s">
        <v>265</v>
      </c>
      <c r="M30" s="318" t="s">
        <v>266</v>
      </c>
    </row>
    <row r="31">
      <c r="A31" s="99" t="s">
        <v>78</v>
      </c>
      <c r="B31" s="120" t="s">
        <v>222</v>
      </c>
      <c r="D31" s="120" t="s">
        <v>54</v>
      </c>
      <c r="E31" s="120" t="s">
        <v>281</v>
      </c>
      <c r="G31" s="312" t="str">
        <f t="shared" si="1"/>
        <v>Parcial</v>
      </c>
      <c r="L31" s="317" t="s">
        <v>245</v>
      </c>
      <c r="M31" s="318"/>
    </row>
    <row r="32">
      <c r="A32" s="99" t="s">
        <v>78</v>
      </c>
      <c r="B32" s="120" t="s">
        <v>229</v>
      </c>
      <c r="D32" s="120" t="s">
        <v>54</v>
      </c>
      <c r="E32" s="120" t="s">
        <v>550</v>
      </c>
      <c r="G32" s="312" t="str">
        <f t="shared" si="1"/>
        <v>Parcial</v>
      </c>
      <c r="L32" s="317" t="s">
        <v>256</v>
      </c>
      <c r="M32" s="318" t="s">
        <v>257</v>
      </c>
    </row>
    <row r="33">
      <c r="A33" s="99" t="s">
        <v>78</v>
      </c>
      <c r="B33" s="120" t="s">
        <v>222</v>
      </c>
      <c r="D33" s="120" t="s">
        <v>54</v>
      </c>
      <c r="E33" s="120" t="s">
        <v>551</v>
      </c>
      <c r="G33" s="312" t="str">
        <f t="shared" si="1"/>
        <v>Parcial</v>
      </c>
      <c r="L33" s="317" t="s">
        <v>229</v>
      </c>
      <c r="M33" s="318"/>
    </row>
    <row r="34">
      <c r="A34" s="99" t="s">
        <v>78</v>
      </c>
      <c r="B34" s="120" t="s">
        <v>228</v>
      </c>
      <c r="D34" s="120" t="s">
        <v>54</v>
      </c>
      <c r="E34" s="120" t="s">
        <v>303</v>
      </c>
      <c r="G34" s="312" t="str">
        <f t="shared" si="1"/>
        <v>Parcial</v>
      </c>
      <c r="L34" s="317" t="s">
        <v>281</v>
      </c>
      <c r="M34" s="318"/>
    </row>
    <row r="35">
      <c r="A35" s="99" t="s">
        <v>78</v>
      </c>
      <c r="B35" s="120" t="s">
        <v>220</v>
      </c>
      <c r="D35" s="120"/>
      <c r="E35" s="120"/>
      <c r="L35" s="319" t="s">
        <v>236</v>
      </c>
      <c r="M35" s="320" t="s">
        <v>237</v>
      </c>
    </row>
    <row r="36">
      <c r="A36" s="99" t="s">
        <v>78</v>
      </c>
      <c r="B36" s="120" t="s">
        <v>244</v>
      </c>
      <c r="L36" s="319" t="s">
        <v>555</v>
      </c>
      <c r="M36" s="320" t="s">
        <v>233</v>
      </c>
    </row>
    <row r="37">
      <c r="A37" s="99" t="s">
        <v>78</v>
      </c>
      <c r="B37" s="120" t="s">
        <v>245</v>
      </c>
      <c r="L37" s="319" t="s">
        <v>244</v>
      </c>
      <c r="M37" s="320"/>
    </row>
    <row r="38">
      <c r="A38" s="99" t="s">
        <v>78</v>
      </c>
      <c r="B38" s="120" t="s">
        <v>246</v>
      </c>
      <c r="L38" s="319" t="s">
        <v>238</v>
      </c>
      <c r="M38" s="320" t="s">
        <v>239</v>
      </c>
    </row>
    <row r="39">
      <c r="A39" s="99" t="s">
        <v>78</v>
      </c>
      <c r="B39" s="120" t="s">
        <v>222</v>
      </c>
      <c r="L39" s="319" t="s">
        <v>251</v>
      </c>
      <c r="M39" s="321"/>
    </row>
    <row r="40">
      <c r="A40" s="99" t="s">
        <v>78</v>
      </c>
      <c r="B40" s="120" t="s">
        <v>247</v>
      </c>
      <c r="L40" s="319" t="s">
        <v>246</v>
      </c>
      <c r="M40" s="321"/>
    </row>
    <row r="41">
      <c r="A41" s="99" t="s">
        <v>78</v>
      </c>
      <c r="B41" s="120" t="s">
        <v>228</v>
      </c>
      <c r="L41" s="319" t="s">
        <v>278</v>
      </c>
      <c r="M41" s="321"/>
    </row>
    <row r="42">
      <c r="A42" s="99" t="s">
        <v>78</v>
      </c>
      <c r="B42" s="120" t="s">
        <v>229</v>
      </c>
    </row>
    <row r="43">
      <c r="A43" s="99" t="s">
        <v>78</v>
      </c>
      <c r="B43" s="120" t="s">
        <v>236</v>
      </c>
    </row>
    <row r="44">
      <c r="A44" s="99" t="s">
        <v>78</v>
      </c>
      <c r="B44" s="120" t="s">
        <v>244</v>
      </c>
    </row>
    <row r="45">
      <c r="A45" s="99" t="s">
        <v>78</v>
      </c>
      <c r="B45" s="120" t="s">
        <v>238</v>
      </c>
    </row>
    <row r="46">
      <c r="A46" s="99" t="s">
        <v>78</v>
      </c>
      <c r="B46" s="120" t="s">
        <v>222</v>
      </c>
    </row>
    <row r="47">
      <c r="A47" s="99" t="s">
        <v>78</v>
      </c>
      <c r="B47" s="120" t="s">
        <v>552</v>
      </c>
    </row>
    <row r="48">
      <c r="A48" s="99" t="s">
        <v>78</v>
      </c>
      <c r="B48" s="120" t="s">
        <v>245</v>
      </c>
    </row>
    <row r="49">
      <c r="A49" s="99" t="s">
        <v>78</v>
      </c>
      <c r="B49" s="120" t="s">
        <v>229</v>
      </c>
    </row>
    <row r="50">
      <c r="A50" s="99" t="s">
        <v>78</v>
      </c>
      <c r="B50" s="120" t="s">
        <v>222</v>
      </c>
    </row>
    <row r="51">
      <c r="A51" s="99" t="s">
        <v>78</v>
      </c>
      <c r="B51" s="120" t="s">
        <v>247</v>
      </c>
    </row>
    <row r="52">
      <c r="A52" s="99" t="s">
        <v>78</v>
      </c>
      <c r="B52" s="120" t="s">
        <v>228</v>
      </c>
    </row>
    <row r="53">
      <c r="A53" s="99" t="s">
        <v>78</v>
      </c>
      <c r="B53" s="120" t="s">
        <v>229</v>
      </c>
    </row>
    <row r="54">
      <c r="A54" s="99" t="s">
        <v>78</v>
      </c>
      <c r="B54" s="120" t="s">
        <v>236</v>
      </c>
    </row>
    <row r="55">
      <c r="A55" s="99" t="s">
        <v>78</v>
      </c>
      <c r="B55" s="120" t="s">
        <v>232</v>
      </c>
    </row>
    <row r="56">
      <c r="A56" s="99" t="s">
        <v>78</v>
      </c>
      <c r="B56" s="120" t="s">
        <v>244</v>
      </c>
    </row>
    <row r="57">
      <c r="A57" s="99" t="s">
        <v>78</v>
      </c>
      <c r="B57" s="120" t="s">
        <v>238</v>
      </c>
    </row>
    <row r="58">
      <c r="A58" s="99" t="s">
        <v>78</v>
      </c>
      <c r="B58" s="120" t="s">
        <v>222</v>
      </c>
    </row>
    <row r="59">
      <c r="A59" s="99" t="s">
        <v>78</v>
      </c>
      <c r="B59" s="120" t="s">
        <v>552</v>
      </c>
    </row>
    <row r="60">
      <c r="A60" s="99" t="s">
        <v>78</v>
      </c>
      <c r="B60" s="120" t="s">
        <v>236</v>
      </c>
    </row>
    <row r="61">
      <c r="A61" s="99" t="s">
        <v>78</v>
      </c>
      <c r="B61" s="120" t="s">
        <v>232</v>
      </c>
    </row>
    <row r="62">
      <c r="A62" s="99" t="s">
        <v>78</v>
      </c>
      <c r="B62" s="120" t="s">
        <v>244</v>
      </c>
    </row>
    <row r="63">
      <c r="A63" s="99" t="s">
        <v>78</v>
      </c>
      <c r="B63" s="120" t="s">
        <v>222</v>
      </c>
    </row>
    <row r="64">
      <c r="A64" s="99" t="s">
        <v>78</v>
      </c>
      <c r="B64" s="120" t="s">
        <v>247</v>
      </c>
    </row>
    <row r="65">
      <c r="A65" s="99" t="s">
        <v>78</v>
      </c>
      <c r="B65" s="120" t="s">
        <v>228</v>
      </c>
    </row>
    <row r="66">
      <c r="A66" s="99" t="s">
        <v>78</v>
      </c>
      <c r="B66" s="120" t="s">
        <v>229</v>
      </c>
    </row>
    <row r="67">
      <c r="A67" s="99" t="s">
        <v>78</v>
      </c>
      <c r="B67" s="120" t="s">
        <v>236</v>
      </c>
    </row>
    <row r="68">
      <c r="A68" s="99" t="s">
        <v>78</v>
      </c>
      <c r="B68" s="120" t="s">
        <v>232</v>
      </c>
    </row>
    <row r="69">
      <c r="A69" s="99" t="s">
        <v>78</v>
      </c>
      <c r="B69" s="120" t="s">
        <v>251</v>
      </c>
    </row>
    <row r="70">
      <c r="A70" s="99" t="s">
        <v>78</v>
      </c>
      <c r="B70" s="120" t="s">
        <v>220</v>
      </c>
    </row>
    <row r="71">
      <c r="A71" s="99" t="s">
        <v>78</v>
      </c>
      <c r="B71" s="120" t="s">
        <v>222</v>
      </c>
    </row>
    <row r="72">
      <c r="A72" s="99" t="s">
        <v>78</v>
      </c>
      <c r="B72" s="120" t="s">
        <v>552</v>
      </c>
    </row>
    <row r="73">
      <c r="A73" s="99" t="s">
        <v>78</v>
      </c>
      <c r="B73" s="120" t="s">
        <v>236</v>
      </c>
    </row>
    <row r="74">
      <c r="A74" s="99" t="s">
        <v>78</v>
      </c>
      <c r="B74" s="120" t="s">
        <v>222</v>
      </c>
    </row>
    <row r="75">
      <c r="A75" s="99" t="s">
        <v>78</v>
      </c>
      <c r="B75" s="120" t="s">
        <v>552</v>
      </c>
    </row>
    <row r="76">
      <c r="A76" s="99" t="s">
        <v>78</v>
      </c>
      <c r="B76" s="120" t="s">
        <v>229</v>
      </c>
    </row>
    <row r="77">
      <c r="A77" s="99" t="s">
        <v>78</v>
      </c>
      <c r="B77" s="120" t="s">
        <v>236</v>
      </c>
    </row>
    <row r="78">
      <c r="A78" s="99" t="s">
        <v>78</v>
      </c>
      <c r="B78" s="120" t="s">
        <v>244</v>
      </c>
    </row>
    <row r="79">
      <c r="A79" s="99" t="s">
        <v>78</v>
      </c>
      <c r="B79" s="120" t="s">
        <v>222</v>
      </c>
    </row>
    <row r="80">
      <c r="A80" s="99" t="s">
        <v>78</v>
      </c>
      <c r="B80" s="120" t="s">
        <v>247</v>
      </c>
    </row>
    <row r="81">
      <c r="A81" s="99" t="s">
        <v>78</v>
      </c>
      <c r="B81" s="120" t="s">
        <v>228</v>
      </c>
    </row>
    <row r="82">
      <c r="A82" s="99" t="s">
        <v>78</v>
      </c>
      <c r="B82" s="120" t="s">
        <v>229</v>
      </c>
    </row>
    <row r="83">
      <c r="A83" s="99" t="s">
        <v>78</v>
      </c>
      <c r="B83" s="120" t="s">
        <v>236</v>
      </c>
    </row>
    <row r="84">
      <c r="A84" s="99" t="s">
        <v>78</v>
      </c>
      <c r="B84" s="120" t="s">
        <v>238</v>
      </c>
    </row>
    <row r="85">
      <c r="A85" s="99" t="s">
        <v>78</v>
      </c>
      <c r="B85" s="120" t="s">
        <v>251</v>
      </c>
    </row>
    <row r="86">
      <c r="A86" s="99" t="s">
        <v>78</v>
      </c>
      <c r="B86" s="120" t="s">
        <v>222</v>
      </c>
    </row>
    <row r="87">
      <c r="A87" s="99" t="s">
        <v>78</v>
      </c>
      <c r="B87" s="120" t="s">
        <v>552</v>
      </c>
    </row>
    <row r="88">
      <c r="A88" s="99" t="s">
        <v>78</v>
      </c>
      <c r="B88" s="120" t="s">
        <v>245</v>
      </c>
    </row>
    <row r="89">
      <c r="A89" s="99" t="s">
        <v>78</v>
      </c>
      <c r="B89" s="120" t="s">
        <v>222</v>
      </c>
    </row>
    <row r="90">
      <c r="A90" s="99" t="s">
        <v>78</v>
      </c>
      <c r="B90" s="120" t="s">
        <v>247</v>
      </c>
    </row>
    <row r="91">
      <c r="A91" s="99" t="s">
        <v>78</v>
      </c>
      <c r="B91" s="120" t="s">
        <v>228</v>
      </c>
    </row>
    <row r="92">
      <c r="A92" s="99" t="s">
        <v>78</v>
      </c>
      <c r="B92" s="120" t="s">
        <v>229</v>
      </c>
    </row>
    <row r="93">
      <c r="A93" s="99" t="s">
        <v>78</v>
      </c>
      <c r="B93" s="120" t="s">
        <v>236</v>
      </c>
    </row>
    <row r="94">
      <c r="A94" s="99" t="s">
        <v>78</v>
      </c>
      <c r="B94" s="120" t="s">
        <v>238</v>
      </c>
    </row>
    <row r="95">
      <c r="A95" s="99" t="s">
        <v>78</v>
      </c>
      <c r="B95" s="120" t="s">
        <v>251</v>
      </c>
    </row>
    <row r="96">
      <c r="A96" s="99" t="s">
        <v>78</v>
      </c>
      <c r="B96" s="120" t="s">
        <v>222</v>
      </c>
    </row>
    <row r="97">
      <c r="A97" s="99" t="s">
        <v>78</v>
      </c>
      <c r="B97" s="120" t="s">
        <v>552</v>
      </c>
    </row>
    <row r="98">
      <c r="A98" s="99" t="s">
        <v>78</v>
      </c>
      <c r="B98" s="120" t="s">
        <v>245</v>
      </c>
    </row>
    <row r="99">
      <c r="A99" s="99" t="s">
        <v>78</v>
      </c>
      <c r="B99" s="120" t="s">
        <v>256</v>
      </c>
    </row>
    <row r="100">
      <c r="A100" s="99" t="s">
        <v>78</v>
      </c>
      <c r="B100" s="120" t="s">
        <v>229</v>
      </c>
    </row>
    <row r="101">
      <c r="A101" s="99" t="s">
        <v>78</v>
      </c>
      <c r="B101" s="120" t="s">
        <v>236</v>
      </c>
    </row>
    <row r="102">
      <c r="A102" s="99" t="s">
        <v>78</v>
      </c>
      <c r="B102" s="120" t="s">
        <v>222</v>
      </c>
    </row>
    <row r="103">
      <c r="A103" s="99" t="s">
        <v>78</v>
      </c>
      <c r="B103" s="120" t="s">
        <v>247</v>
      </c>
    </row>
    <row r="104">
      <c r="A104" s="99" t="s">
        <v>78</v>
      </c>
      <c r="B104" s="120" t="s">
        <v>228</v>
      </c>
    </row>
    <row r="105">
      <c r="A105" s="99" t="s">
        <v>78</v>
      </c>
      <c r="B105" s="120" t="s">
        <v>229</v>
      </c>
    </row>
    <row r="106">
      <c r="A106" s="99" t="s">
        <v>78</v>
      </c>
      <c r="B106" s="120" t="s">
        <v>236</v>
      </c>
    </row>
    <row r="107">
      <c r="A107" s="99" t="s">
        <v>78</v>
      </c>
      <c r="B107" s="120" t="s">
        <v>238</v>
      </c>
    </row>
    <row r="108">
      <c r="A108" s="99" t="s">
        <v>78</v>
      </c>
      <c r="B108" s="120" t="s">
        <v>251</v>
      </c>
    </row>
    <row r="109">
      <c r="A109" s="99" t="s">
        <v>78</v>
      </c>
      <c r="B109" s="120" t="s">
        <v>256</v>
      </c>
    </row>
    <row r="110">
      <c r="A110" s="99" t="s">
        <v>78</v>
      </c>
      <c r="B110" s="120" t="s">
        <v>229</v>
      </c>
    </row>
    <row r="111">
      <c r="A111" s="99" t="s">
        <v>78</v>
      </c>
      <c r="B111" s="120" t="s">
        <v>236</v>
      </c>
    </row>
    <row r="112">
      <c r="A112" s="99" t="s">
        <v>78</v>
      </c>
      <c r="B112" s="120" t="s">
        <v>251</v>
      </c>
    </row>
    <row r="113">
      <c r="A113" s="99" t="s">
        <v>78</v>
      </c>
      <c r="B113" s="120" t="s">
        <v>222</v>
      </c>
    </row>
    <row r="114">
      <c r="A114" s="99" t="s">
        <v>78</v>
      </c>
      <c r="B114" s="120" t="s">
        <v>552</v>
      </c>
    </row>
    <row r="115">
      <c r="A115" s="99" t="s">
        <v>78</v>
      </c>
      <c r="B115" s="120" t="s">
        <v>247</v>
      </c>
    </row>
    <row r="116">
      <c r="A116" s="99" t="s">
        <v>78</v>
      </c>
      <c r="B116" s="120" t="s">
        <v>245</v>
      </c>
    </row>
    <row r="117">
      <c r="A117" s="99" t="s">
        <v>78</v>
      </c>
      <c r="B117" s="120" t="s">
        <v>228</v>
      </c>
    </row>
    <row r="118">
      <c r="A118" s="99" t="s">
        <v>78</v>
      </c>
      <c r="B118" s="120" t="s">
        <v>229</v>
      </c>
    </row>
    <row r="119">
      <c r="A119" s="99" t="s">
        <v>78</v>
      </c>
      <c r="B119" s="120" t="s">
        <v>251</v>
      </c>
    </row>
    <row r="120">
      <c r="A120" s="99" t="s">
        <v>78</v>
      </c>
      <c r="B120" s="120" t="s">
        <v>246</v>
      </c>
    </row>
    <row r="121">
      <c r="A121" s="99" t="s">
        <v>78</v>
      </c>
      <c r="B121" s="120" t="s">
        <v>552</v>
      </c>
    </row>
    <row r="122">
      <c r="A122" s="99" t="s">
        <v>78</v>
      </c>
      <c r="B122" s="120" t="s">
        <v>256</v>
      </c>
    </row>
    <row r="123">
      <c r="A123" s="99" t="s">
        <v>78</v>
      </c>
      <c r="B123" s="120" t="s">
        <v>229</v>
      </c>
    </row>
    <row r="124">
      <c r="A124" s="99" t="s">
        <v>78</v>
      </c>
      <c r="B124" s="120" t="s">
        <v>222</v>
      </c>
    </row>
    <row r="125">
      <c r="A125" s="99" t="s">
        <v>78</v>
      </c>
      <c r="B125" s="120" t="s">
        <v>552</v>
      </c>
    </row>
    <row r="126">
      <c r="A126" s="99" t="s">
        <v>78</v>
      </c>
      <c r="B126" s="120" t="s">
        <v>247</v>
      </c>
    </row>
    <row r="127">
      <c r="A127" s="99" t="s">
        <v>78</v>
      </c>
      <c r="B127" s="120" t="s">
        <v>245</v>
      </c>
    </row>
    <row r="128">
      <c r="A128" s="99" t="s">
        <v>78</v>
      </c>
      <c r="B128" s="120" t="s">
        <v>228</v>
      </c>
    </row>
    <row r="129">
      <c r="A129" s="99" t="s">
        <v>78</v>
      </c>
      <c r="B129" s="120" t="s">
        <v>256</v>
      </c>
    </row>
    <row r="130">
      <c r="A130" s="99" t="s">
        <v>78</v>
      </c>
      <c r="B130" s="120" t="s">
        <v>229</v>
      </c>
    </row>
    <row r="131">
      <c r="A131" s="99" t="s">
        <v>78</v>
      </c>
      <c r="B131" s="120" t="s">
        <v>236</v>
      </c>
    </row>
    <row r="132">
      <c r="A132" s="99" t="s">
        <v>78</v>
      </c>
      <c r="B132" s="120" t="s">
        <v>251</v>
      </c>
    </row>
    <row r="133">
      <c r="A133" s="99" t="s">
        <v>78</v>
      </c>
      <c r="B133" s="120" t="s">
        <v>552</v>
      </c>
    </row>
    <row r="134">
      <c r="A134" s="99" t="s">
        <v>78</v>
      </c>
      <c r="B134" s="120" t="s">
        <v>247</v>
      </c>
    </row>
    <row r="135">
      <c r="A135" s="99" t="s">
        <v>78</v>
      </c>
      <c r="B135" s="120" t="s">
        <v>228</v>
      </c>
    </row>
    <row r="136">
      <c r="A136" s="99" t="s">
        <v>78</v>
      </c>
      <c r="B136" s="120" t="s">
        <v>229</v>
      </c>
    </row>
    <row r="137">
      <c r="A137" s="99" t="s">
        <v>78</v>
      </c>
      <c r="B137" s="120" t="s">
        <v>247</v>
      </c>
    </row>
    <row r="138">
      <c r="A138" s="99" t="s">
        <v>78</v>
      </c>
      <c r="B138" s="120" t="s">
        <v>228</v>
      </c>
    </row>
    <row r="139">
      <c r="A139" s="99" t="s">
        <v>78</v>
      </c>
      <c r="B139" s="120" t="s">
        <v>229</v>
      </c>
    </row>
    <row r="140">
      <c r="A140" s="99" t="s">
        <v>78</v>
      </c>
      <c r="B140" s="120" t="s">
        <v>236</v>
      </c>
    </row>
    <row r="141">
      <c r="A141" s="99" t="s">
        <v>99</v>
      </c>
      <c r="B141" s="120" t="s">
        <v>261</v>
      </c>
    </row>
    <row r="142">
      <c r="A142" s="99" t="s">
        <v>99</v>
      </c>
      <c r="B142" s="120" t="s">
        <v>265</v>
      </c>
    </row>
    <row r="143">
      <c r="A143" s="99" t="s">
        <v>99</v>
      </c>
      <c r="B143" s="120" t="s">
        <v>555</v>
      </c>
    </row>
    <row r="144">
      <c r="A144" s="99" t="s">
        <v>99</v>
      </c>
      <c r="B144" s="120" t="s">
        <v>268</v>
      </c>
    </row>
    <row r="145">
      <c r="A145" s="99" t="s">
        <v>99</v>
      </c>
      <c r="B145" s="120" t="s">
        <v>270</v>
      </c>
    </row>
    <row r="146">
      <c r="A146" s="99" t="s">
        <v>99</v>
      </c>
      <c r="B146" s="120" t="s">
        <v>226</v>
      </c>
    </row>
    <row r="147">
      <c r="A147" s="99" t="s">
        <v>99</v>
      </c>
      <c r="B147" s="120" t="s">
        <v>272</v>
      </c>
    </row>
    <row r="148">
      <c r="A148" s="99" t="s">
        <v>99</v>
      </c>
      <c r="B148" s="120" t="s">
        <v>222</v>
      </c>
    </row>
    <row r="149">
      <c r="A149" s="99" t="s">
        <v>99</v>
      </c>
      <c r="B149" s="120" t="s">
        <v>261</v>
      </c>
    </row>
    <row r="150">
      <c r="A150" s="99" t="s">
        <v>99</v>
      </c>
      <c r="B150" s="120" t="s">
        <v>555</v>
      </c>
    </row>
    <row r="151">
      <c r="A151" s="99" t="s">
        <v>99</v>
      </c>
      <c r="B151" s="120" t="s">
        <v>268</v>
      </c>
    </row>
    <row r="152">
      <c r="A152" s="99" t="s">
        <v>99</v>
      </c>
      <c r="B152" s="120" t="s">
        <v>270</v>
      </c>
    </row>
    <row r="153">
      <c r="A153" s="99" t="s">
        <v>99</v>
      </c>
      <c r="B153" s="120" t="s">
        <v>226</v>
      </c>
    </row>
    <row r="154">
      <c r="A154" s="99" t="s">
        <v>99</v>
      </c>
      <c r="B154" s="120" t="s">
        <v>272</v>
      </c>
    </row>
    <row r="155">
      <c r="A155" s="99" t="s">
        <v>99</v>
      </c>
      <c r="B155" s="120" t="s">
        <v>222</v>
      </c>
    </row>
    <row r="156">
      <c r="A156" s="99" t="s">
        <v>99</v>
      </c>
      <c r="B156" s="120" t="s">
        <v>265</v>
      </c>
    </row>
    <row r="157">
      <c r="A157" s="99" t="s">
        <v>99</v>
      </c>
      <c r="B157" s="120" t="s">
        <v>265</v>
      </c>
    </row>
    <row r="158">
      <c r="A158" s="99" t="s">
        <v>99</v>
      </c>
      <c r="B158" s="120" t="s">
        <v>554</v>
      </c>
    </row>
    <row r="159">
      <c r="A159" s="99" t="s">
        <v>99</v>
      </c>
      <c r="B159" s="120" t="s">
        <v>222</v>
      </c>
    </row>
    <row r="160">
      <c r="A160" s="99" t="s">
        <v>99</v>
      </c>
      <c r="B160" s="120" t="s">
        <v>261</v>
      </c>
    </row>
    <row r="161">
      <c r="A161" s="99" t="s">
        <v>99</v>
      </c>
      <c r="B161" s="120" t="s">
        <v>555</v>
      </c>
    </row>
    <row r="162">
      <c r="A162" s="99" t="s">
        <v>99</v>
      </c>
      <c r="B162" s="120" t="s">
        <v>265</v>
      </c>
    </row>
    <row r="163">
      <c r="A163" s="99" t="s">
        <v>99</v>
      </c>
      <c r="B163" s="120" t="s">
        <v>268</v>
      </c>
    </row>
    <row r="164">
      <c r="A164" s="99" t="s">
        <v>99</v>
      </c>
      <c r="B164" s="120" t="s">
        <v>226</v>
      </c>
    </row>
    <row r="165">
      <c r="A165" s="99" t="s">
        <v>99</v>
      </c>
      <c r="B165" s="120" t="s">
        <v>265</v>
      </c>
    </row>
    <row r="166">
      <c r="A166" s="99" t="s">
        <v>99</v>
      </c>
      <c r="B166" s="120" t="s">
        <v>554</v>
      </c>
    </row>
    <row r="167">
      <c r="A167" s="99" t="s">
        <v>99</v>
      </c>
      <c r="B167" s="120" t="s">
        <v>270</v>
      </c>
    </row>
    <row r="168">
      <c r="A168" s="99" t="s">
        <v>99</v>
      </c>
      <c r="B168" s="120" t="s">
        <v>236</v>
      </c>
    </row>
    <row r="169">
      <c r="A169" s="99" t="s">
        <v>99</v>
      </c>
      <c r="B169" s="120" t="s">
        <v>222</v>
      </c>
    </row>
    <row r="170">
      <c r="A170" s="99" t="s">
        <v>99</v>
      </c>
      <c r="B170" s="120" t="s">
        <v>555</v>
      </c>
    </row>
    <row r="171">
      <c r="A171" s="99" t="s">
        <v>99</v>
      </c>
      <c r="B171" s="120" t="s">
        <v>265</v>
      </c>
    </row>
    <row r="172">
      <c r="A172" s="99" t="s">
        <v>99</v>
      </c>
      <c r="B172" s="120" t="s">
        <v>268</v>
      </c>
    </row>
    <row r="173">
      <c r="A173" s="99" t="s">
        <v>99</v>
      </c>
      <c r="B173" s="120" t="s">
        <v>226</v>
      </c>
    </row>
    <row r="174">
      <c r="A174" s="99" t="s">
        <v>99</v>
      </c>
      <c r="B174" s="120" t="s">
        <v>261</v>
      </c>
    </row>
    <row r="175">
      <c r="A175" s="99" t="s">
        <v>99</v>
      </c>
      <c r="B175" s="120" t="s">
        <v>554</v>
      </c>
    </row>
    <row r="176">
      <c r="A176" s="99" t="s">
        <v>99</v>
      </c>
      <c r="B176" s="120" t="s">
        <v>270</v>
      </c>
    </row>
    <row r="177">
      <c r="A177" s="99" t="s">
        <v>99</v>
      </c>
      <c r="B177" s="120" t="s">
        <v>222</v>
      </c>
    </row>
    <row r="178">
      <c r="A178" s="99" t="s">
        <v>99</v>
      </c>
      <c r="B178" s="120" t="s">
        <v>265</v>
      </c>
    </row>
    <row r="179">
      <c r="A179" s="99" t="s">
        <v>99</v>
      </c>
      <c r="B179" s="120" t="s">
        <v>268</v>
      </c>
    </row>
    <row r="180">
      <c r="A180" s="99" t="s">
        <v>99</v>
      </c>
      <c r="B180" s="120" t="s">
        <v>555</v>
      </c>
    </row>
    <row r="181">
      <c r="A181" s="99" t="s">
        <v>99</v>
      </c>
      <c r="B181" s="120" t="s">
        <v>261</v>
      </c>
    </row>
    <row r="182">
      <c r="A182" s="99" t="s">
        <v>99</v>
      </c>
      <c r="B182" s="120" t="s">
        <v>270</v>
      </c>
    </row>
    <row r="183">
      <c r="A183" s="99" t="s">
        <v>99</v>
      </c>
      <c r="B183" s="120" t="s">
        <v>554</v>
      </c>
    </row>
    <row r="184">
      <c r="A184" s="99" t="s">
        <v>99</v>
      </c>
      <c r="B184" s="120" t="s">
        <v>222</v>
      </c>
    </row>
    <row r="185">
      <c r="A185" s="99" t="s">
        <v>99</v>
      </c>
      <c r="B185" s="120" t="s">
        <v>555</v>
      </c>
    </row>
    <row r="186">
      <c r="A186" s="99" t="s">
        <v>99</v>
      </c>
      <c r="B186" s="120" t="s">
        <v>265</v>
      </c>
    </row>
    <row r="187">
      <c r="A187" s="99" t="s">
        <v>99</v>
      </c>
      <c r="B187" s="120" t="s">
        <v>268</v>
      </c>
    </row>
    <row r="188">
      <c r="A188" s="99" t="s">
        <v>99</v>
      </c>
      <c r="B188" s="120" t="s">
        <v>261</v>
      </c>
    </row>
    <row r="189">
      <c r="A189" s="99" t="s">
        <v>99</v>
      </c>
      <c r="B189" s="120" t="s">
        <v>270</v>
      </c>
    </row>
    <row r="190">
      <c r="A190" s="99" t="s">
        <v>99</v>
      </c>
      <c r="B190" s="120" t="s">
        <v>554</v>
      </c>
    </row>
    <row r="191">
      <c r="A191" s="99" t="s">
        <v>99</v>
      </c>
      <c r="B191" s="120" t="s">
        <v>222</v>
      </c>
    </row>
    <row r="192">
      <c r="A192" s="99" t="s">
        <v>99</v>
      </c>
      <c r="B192" s="120" t="s">
        <v>265</v>
      </c>
    </row>
    <row r="193">
      <c r="A193" s="99" t="s">
        <v>99</v>
      </c>
      <c r="B193" s="120" t="s">
        <v>268</v>
      </c>
    </row>
    <row r="194">
      <c r="A194" s="99" t="s">
        <v>99</v>
      </c>
      <c r="B194" s="120" t="s">
        <v>261</v>
      </c>
    </row>
    <row r="195">
      <c r="A195" s="99" t="s">
        <v>99</v>
      </c>
      <c r="B195" s="120" t="s">
        <v>270</v>
      </c>
    </row>
    <row r="196">
      <c r="A196" s="99" t="s">
        <v>99</v>
      </c>
      <c r="B196" s="120" t="s">
        <v>554</v>
      </c>
    </row>
    <row r="197">
      <c r="A197" s="99" t="s">
        <v>99</v>
      </c>
      <c r="B197" s="120" t="s">
        <v>247</v>
      </c>
    </row>
    <row r="198">
      <c r="A198" s="99" t="s">
        <v>99</v>
      </c>
      <c r="B198" s="120" t="s">
        <v>222</v>
      </c>
    </row>
    <row r="199">
      <c r="A199" s="99" t="s">
        <v>99</v>
      </c>
      <c r="B199" s="120" t="s">
        <v>265</v>
      </c>
    </row>
    <row r="200">
      <c r="A200" s="99" t="s">
        <v>99</v>
      </c>
      <c r="B200" s="120" t="s">
        <v>268</v>
      </c>
    </row>
    <row r="201">
      <c r="A201" s="99" t="s">
        <v>99</v>
      </c>
      <c r="B201" s="120" t="s">
        <v>261</v>
      </c>
    </row>
    <row r="202">
      <c r="A202" s="99" t="s">
        <v>99</v>
      </c>
      <c r="B202" s="120" t="s">
        <v>270</v>
      </c>
    </row>
    <row r="203">
      <c r="A203" s="99" t="s">
        <v>99</v>
      </c>
      <c r="B203" s="120" t="s">
        <v>554</v>
      </c>
    </row>
    <row r="204">
      <c r="A204" s="99" t="s">
        <v>99</v>
      </c>
      <c r="B204" s="120" t="s">
        <v>256</v>
      </c>
    </row>
    <row r="205">
      <c r="A205" s="99" t="s">
        <v>99</v>
      </c>
      <c r="B205" s="120" t="s">
        <v>272</v>
      </c>
    </row>
    <row r="206">
      <c r="A206" s="99" t="s">
        <v>99</v>
      </c>
      <c r="B206" s="120" t="s">
        <v>247</v>
      </c>
    </row>
    <row r="207">
      <c r="A207" s="99" t="s">
        <v>99</v>
      </c>
      <c r="B207" s="120" t="s">
        <v>270</v>
      </c>
    </row>
    <row r="208">
      <c r="A208" s="99" t="s">
        <v>99</v>
      </c>
      <c r="B208" s="120" t="s">
        <v>554</v>
      </c>
    </row>
    <row r="209">
      <c r="A209" s="99" t="s">
        <v>99</v>
      </c>
      <c r="B209" s="120" t="s">
        <v>256</v>
      </c>
    </row>
    <row r="210">
      <c r="A210" s="99" t="s">
        <v>99</v>
      </c>
      <c r="B210" s="120" t="s">
        <v>247</v>
      </c>
    </row>
    <row r="211">
      <c r="A211" s="99" t="s">
        <v>99</v>
      </c>
      <c r="B211" s="120" t="s">
        <v>268</v>
      </c>
    </row>
    <row r="212">
      <c r="A212" s="99" t="s">
        <v>99</v>
      </c>
      <c r="B212" s="120" t="s">
        <v>222</v>
      </c>
    </row>
    <row r="213">
      <c r="A213" s="99" t="s">
        <v>99</v>
      </c>
      <c r="B213" s="120" t="s">
        <v>265</v>
      </c>
    </row>
    <row r="214">
      <c r="A214" s="99" t="s">
        <v>99</v>
      </c>
      <c r="B214" s="120" t="s">
        <v>261</v>
      </c>
    </row>
    <row r="215">
      <c r="A215" s="99" t="s">
        <v>99</v>
      </c>
      <c r="B215" s="120" t="s">
        <v>247</v>
      </c>
    </row>
    <row r="216">
      <c r="A216" s="99" t="s">
        <v>99</v>
      </c>
      <c r="B216" s="120" t="s">
        <v>268</v>
      </c>
    </row>
    <row r="217">
      <c r="A217" s="99" t="s">
        <v>99</v>
      </c>
      <c r="B217" s="120" t="s">
        <v>256</v>
      </c>
    </row>
    <row r="218">
      <c r="A218" s="99" t="s">
        <v>99</v>
      </c>
      <c r="B218" s="120" t="s">
        <v>261</v>
      </c>
    </row>
    <row r="219">
      <c r="A219" s="99" t="s">
        <v>99</v>
      </c>
      <c r="B219" s="120" t="s">
        <v>270</v>
      </c>
    </row>
    <row r="220">
      <c r="A220" s="99" t="s">
        <v>99</v>
      </c>
      <c r="B220" s="120" t="s">
        <v>265</v>
      </c>
    </row>
    <row r="221">
      <c r="A221" s="99" t="s">
        <v>99</v>
      </c>
      <c r="B221" s="120" t="s">
        <v>247</v>
      </c>
    </row>
    <row r="222">
      <c r="A222" s="99" t="s">
        <v>99</v>
      </c>
      <c r="B222" s="120" t="s">
        <v>272</v>
      </c>
    </row>
    <row r="223">
      <c r="A223" s="99" t="s">
        <v>99</v>
      </c>
      <c r="B223" s="120" t="s">
        <v>268</v>
      </c>
    </row>
    <row r="224">
      <c r="A224" s="99" t="s">
        <v>99</v>
      </c>
      <c r="B224" s="120" t="s">
        <v>256</v>
      </c>
    </row>
    <row r="225">
      <c r="A225" s="99" t="s">
        <v>99</v>
      </c>
      <c r="B225" s="120" t="s">
        <v>261</v>
      </c>
    </row>
    <row r="226">
      <c r="A226" s="99" t="s">
        <v>99</v>
      </c>
      <c r="B226" s="120" t="s">
        <v>270</v>
      </c>
    </row>
    <row r="227">
      <c r="A227" s="99" t="s">
        <v>99</v>
      </c>
      <c r="B227" s="120" t="s">
        <v>265</v>
      </c>
    </row>
    <row r="228">
      <c r="A228" s="99" t="s">
        <v>99</v>
      </c>
      <c r="B228" s="120" t="s">
        <v>247</v>
      </c>
    </row>
    <row r="229">
      <c r="A229" s="99" t="s">
        <v>99</v>
      </c>
      <c r="B229" s="120" t="s">
        <v>268</v>
      </c>
    </row>
    <row r="230">
      <c r="A230" s="99" t="s">
        <v>99</v>
      </c>
      <c r="B230" s="120" t="s">
        <v>256</v>
      </c>
    </row>
    <row r="231">
      <c r="A231" s="99" t="s">
        <v>99</v>
      </c>
      <c r="B231" s="120" t="s">
        <v>261</v>
      </c>
    </row>
    <row r="232">
      <c r="A232" s="99" t="s">
        <v>99</v>
      </c>
      <c r="B232" s="120" t="s">
        <v>270</v>
      </c>
    </row>
    <row r="233">
      <c r="A233" s="99" t="s">
        <v>99</v>
      </c>
      <c r="B233" s="120" t="s">
        <v>265</v>
      </c>
    </row>
    <row r="234">
      <c r="A234" s="99" t="s">
        <v>99</v>
      </c>
      <c r="B234" s="120" t="s">
        <v>554</v>
      </c>
    </row>
    <row r="235">
      <c r="A235" s="99" t="s">
        <v>99</v>
      </c>
      <c r="B235" s="120" t="s">
        <v>222</v>
      </c>
    </row>
    <row r="236">
      <c r="A236" s="99" t="s">
        <v>52</v>
      </c>
      <c r="B236" s="120" t="s">
        <v>278</v>
      </c>
    </row>
    <row r="237">
      <c r="A237" s="99" t="s">
        <v>52</v>
      </c>
      <c r="B237" s="120" t="s">
        <v>493</v>
      </c>
    </row>
    <row r="238">
      <c r="A238" s="99" t="s">
        <v>52</v>
      </c>
      <c r="B238" s="120" t="s">
        <v>493</v>
      </c>
    </row>
    <row r="239">
      <c r="A239" s="99" t="s">
        <v>52</v>
      </c>
      <c r="B239" s="120" t="s">
        <v>493</v>
      </c>
    </row>
    <row r="240">
      <c r="A240" s="99" t="s">
        <v>53</v>
      </c>
      <c r="B240" s="120" t="s">
        <v>281</v>
      </c>
    </row>
    <row r="241">
      <c r="A241" s="99" t="s">
        <v>53</v>
      </c>
      <c r="B241" s="120" t="s">
        <v>281</v>
      </c>
    </row>
    <row r="242">
      <c r="A242" s="99" t="s">
        <v>53</v>
      </c>
      <c r="B242" s="120" t="s">
        <v>281</v>
      </c>
    </row>
    <row r="243">
      <c r="A243" s="99" t="s">
        <v>53</v>
      </c>
      <c r="B243" s="120" t="s">
        <v>281</v>
      </c>
    </row>
    <row r="244">
      <c r="A244" s="99" t="s">
        <v>53</v>
      </c>
      <c r="B244" s="120" t="s">
        <v>281</v>
      </c>
    </row>
    <row r="245">
      <c r="A245" s="99" t="s">
        <v>53</v>
      </c>
      <c r="B245" s="120" t="s">
        <v>281</v>
      </c>
    </row>
    <row r="246">
      <c r="A246" s="99" t="s">
        <v>53</v>
      </c>
      <c r="B246" s="120" t="s">
        <v>281</v>
      </c>
    </row>
    <row r="247">
      <c r="A247" s="99" t="s">
        <v>53</v>
      </c>
      <c r="B247" s="120" t="s">
        <v>281</v>
      </c>
    </row>
    <row r="248">
      <c r="A248" s="99" t="s">
        <v>54</v>
      </c>
      <c r="B248" s="120" t="s">
        <v>281</v>
      </c>
    </row>
    <row r="249">
      <c r="A249" s="99" t="s">
        <v>54</v>
      </c>
      <c r="B249" s="120" t="s">
        <v>281</v>
      </c>
    </row>
    <row r="250">
      <c r="A250" s="99" t="s">
        <v>54</v>
      </c>
      <c r="B250" s="120" t="s">
        <v>281</v>
      </c>
    </row>
    <row r="251">
      <c r="A251" s="99" t="s">
        <v>54</v>
      </c>
      <c r="B251" s="120" t="s">
        <v>550</v>
      </c>
    </row>
    <row r="252">
      <c r="A252" s="99" t="s">
        <v>54</v>
      </c>
      <c r="B252" s="120" t="s">
        <v>551</v>
      </c>
    </row>
    <row r="253">
      <c r="A253" s="99" t="s">
        <v>54</v>
      </c>
      <c r="B253" s="120" t="s">
        <v>551</v>
      </c>
    </row>
    <row r="254">
      <c r="A254" s="99" t="s">
        <v>54</v>
      </c>
      <c r="B254" s="120" t="s">
        <v>303</v>
      </c>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22"/>
      <c r="B1" s="323" t="s">
        <v>556</v>
      </c>
      <c r="C1" s="323" t="s">
        <v>557</v>
      </c>
      <c r="D1" s="324" t="s">
        <v>558</v>
      </c>
      <c r="E1" s="325" t="s">
        <v>559</v>
      </c>
      <c r="F1" s="326" t="s">
        <v>560</v>
      </c>
      <c r="G1" s="325" t="s">
        <v>561</v>
      </c>
    </row>
    <row r="2">
      <c r="A2" s="322">
        <v>1.0</v>
      </c>
      <c r="B2" s="327">
        <v>37741.97</v>
      </c>
      <c r="C2" s="323">
        <v>85.66</v>
      </c>
      <c r="D2" s="328">
        <f t="shared" ref="D2:D13" si="1">sum(B2:C2)</f>
        <v>37827.63</v>
      </c>
      <c r="E2" s="329">
        <v>0.14300000000000002</v>
      </c>
      <c r="F2" s="330">
        <v>0.028600000000000004</v>
      </c>
      <c r="G2" s="328">
        <v>231567.47</v>
      </c>
    </row>
    <row r="3">
      <c r="A3" s="322">
        <v>2.0</v>
      </c>
      <c r="B3" s="327">
        <v>16076.14</v>
      </c>
      <c r="C3" s="323">
        <v>54.14</v>
      </c>
      <c r="D3" s="328">
        <f t="shared" si="1"/>
        <v>16130.28</v>
      </c>
      <c r="E3" s="329">
        <v>0.061900000000000004</v>
      </c>
      <c r="F3" s="330">
        <v>0.01238</v>
      </c>
      <c r="G3" s="328">
        <v>164192.53</v>
      </c>
    </row>
    <row r="4">
      <c r="A4" s="322">
        <v>3.0</v>
      </c>
      <c r="B4" s="327">
        <v>15193.05</v>
      </c>
      <c r="C4" s="323">
        <v>41.87</v>
      </c>
      <c r="D4" s="328">
        <f t="shared" si="1"/>
        <v>15234.92</v>
      </c>
      <c r="E4" s="329">
        <v>0.0588</v>
      </c>
      <c r="F4" s="330">
        <v>0.01176</v>
      </c>
      <c r="G4" s="328">
        <v>218104.38</v>
      </c>
    </row>
    <row r="5">
      <c r="A5" s="322">
        <v>4.0</v>
      </c>
      <c r="B5" s="327">
        <v>42748.29</v>
      </c>
      <c r="C5" s="323">
        <v>64.81</v>
      </c>
      <c r="D5" s="328">
        <f t="shared" si="1"/>
        <v>42813.1</v>
      </c>
      <c r="E5" s="329">
        <v>0.1543</v>
      </c>
      <c r="F5" s="330">
        <v>0.03086</v>
      </c>
      <c r="G5" s="328">
        <v>77146.25</v>
      </c>
    </row>
    <row r="6">
      <c r="A6" s="322">
        <v>5.0</v>
      </c>
      <c r="B6" s="327">
        <v>34420.03</v>
      </c>
      <c r="C6" s="323">
        <v>64.84</v>
      </c>
      <c r="D6" s="328">
        <f t="shared" si="1"/>
        <v>34484.87</v>
      </c>
      <c r="E6" s="329">
        <v>0.11869999999999999</v>
      </c>
      <c r="F6" s="330">
        <v>0.023739999999999997</v>
      </c>
      <c r="G6" s="328">
        <v>116377.52</v>
      </c>
    </row>
    <row r="7">
      <c r="A7" s="322">
        <v>6.0</v>
      </c>
      <c r="B7" s="327">
        <v>31436.85</v>
      </c>
      <c r="C7" s="323">
        <v>114.24</v>
      </c>
      <c r="D7" s="328">
        <f t="shared" si="1"/>
        <v>31551.09</v>
      </c>
      <c r="E7" s="329">
        <v>0.1057</v>
      </c>
      <c r="F7" s="330">
        <v>0.02114</v>
      </c>
      <c r="G7" s="328">
        <v>207606.68</v>
      </c>
    </row>
    <row r="8">
      <c r="A8" s="322">
        <v>7.0</v>
      </c>
      <c r="B8" s="327">
        <v>118726.79</v>
      </c>
      <c r="C8" s="323">
        <v>89.27</v>
      </c>
      <c r="D8" s="328">
        <f t="shared" si="1"/>
        <v>118816.06</v>
      </c>
      <c r="E8" s="329">
        <v>0.36229999999999996</v>
      </c>
      <c r="F8" s="330">
        <v>0.07246</v>
      </c>
      <c r="G8" s="328">
        <v>117619.07</v>
      </c>
    </row>
    <row r="9">
      <c r="A9" s="322">
        <v>8.0</v>
      </c>
      <c r="B9" s="327">
        <v>35935.51</v>
      </c>
      <c r="C9" s="323">
        <v>33.33</v>
      </c>
      <c r="D9" s="328">
        <f t="shared" si="1"/>
        <v>35968.84</v>
      </c>
      <c r="E9" s="329">
        <v>0.114</v>
      </c>
      <c r="F9" s="330">
        <v>0.0228</v>
      </c>
      <c r="G9" s="328">
        <v>149219.83</v>
      </c>
    </row>
    <row r="10">
      <c r="A10" s="322">
        <v>9.0</v>
      </c>
      <c r="B10" s="327">
        <v>94332.76</v>
      </c>
      <c r="C10" s="323">
        <v>65.43</v>
      </c>
      <c r="D10" s="328">
        <f t="shared" si="1"/>
        <v>94398.19</v>
      </c>
      <c r="E10" s="329">
        <v>0.223</v>
      </c>
      <c r="F10" s="330">
        <v>0.0446</v>
      </c>
      <c r="G10" s="328">
        <v>120394.98</v>
      </c>
    </row>
    <row r="11">
      <c r="A11" s="322">
        <v>10.0</v>
      </c>
      <c r="B11" s="327">
        <v>44040.45</v>
      </c>
      <c r="C11" s="323">
        <v>120.95</v>
      </c>
      <c r="D11" s="328">
        <f t="shared" si="1"/>
        <v>44161.4</v>
      </c>
      <c r="E11" s="329">
        <v>0.12179999999999999</v>
      </c>
      <c r="F11" s="330">
        <v>0.02436</v>
      </c>
      <c r="G11" s="328">
        <v>216691.7</v>
      </c>
    </row>
    <row r="12">
      <c r="A12" s="322">
        <v>11.0</v>
      </c>
      <c r="B12" s="327">
        <v>35532.99</v>
      </c>
      <c r="C12" s="323">
        <v>86.64</v>
      </c>
      <c r="D12" s="328">
        <f t="shared" si="1"/>
        <v>35619.63</v>
      </c>
      <c r="E12" s="329">
        <v>0.1</v>
      </c>
      <c r="F12" s="330">
        <v>0.02</v>
      </c>
      <c r="G12" s="328">
        <v>392461.08</v>
      </c>
    </row>
    <row r="13">
      <c r="A13" s="322">
        <v>12.0</v>
      </c>
      <c r="B13" s="327">
        <v>85514.14</v>
      </c>
      <c r="C13" s="323">
        <v>219.29</v>
      </c>
      <c r="D13" s="328">
        <f t="shared" si="1"/>
        <v>85733.43</v>
      </c>
      <c r="E13" s="329">
        <v>0.1812</v>
      </c>
      <c r="F13" s="330">
        <v>0.03624</v>
      </c>
      <c r="G13" s="328">
        <v>413124.13</v>
      </c>
    </row>
    <row r="14">
      <c r="A14" s="331"/>
      <c r="B14" s="332"/>
      <c r="C14" s="332"/>
      <c r="D14" s="333"/>
      <c r="E14" s="332"/>
      <c r="F14" s="332"/>
      <c r="G14" s="333"/>
    </row>
    <row r="15">
      <c r="A15" s="331"/>
      <c r="B15" s="334">
        <v>591698.97</v>
      </c>
      <c r="C15" s="334">
        <v>1040.47</v>
      </c>
      <c r="D15" s="335">
        <v>592739.44</v>
      </c>
      <c r="E15" s="327"/>
      <c r="F15" s="327"/>
      <c r="G15" s="328">
        <v>2424505.62</v>
      </c>
    </row>
    <row r="16">
      <c r="A16" s="331"/>
      <c r="B16" s="332"/>
      <c r="C16" s="332"/>
      <c r="D16" s="332"/>
      <c r="E16" s="332"/>
      <c r="F16" s="332"/>
      <c r="G16" s="332"/>
    </row>
    <row r="17">
      <c r="A17" s="331"/>
      <c r="B17" s="332"/>
      <c r="C17" s="332"/>
      <c r="D17" s="332"/>
      <c r="E17" s="332"/>
      <c r="F17" s="332"/>
      <c r="G17" s="332"/>
    </row>
    <row r="18">
      <c r="A18" s="331"/>
      <c r="B18" s="332"/>
      <c r="C18" s="332"/>
      <c r="D18" s="332"/>
      <c r="E18" s="332"/>
      <c r="F18" s="332"/>
      <c r="G18" s="332"/>
    </row>
    <row r="19">
      <c r="A19" s="331"/>
      <c r="B19" s="332"/>
      <c r="C19" s="332"/>
      <c r="D19" s="332"/>
      <c r="E19" s="332"/>
      <c r="F19" s="332"/>
      <c r="G19" s="332"/>
    </row>
    <row r="20">
      <c r="A20" s="331"/>
      <c r="B20" s="332"/>
      <c r="C20" s="332"/>
      <c r="D20" s="336"/>
      <c r="E20" s="332"/>
      <c r="F20" s="332"/>
      <c r="G20" s="332"/>
      <c r="H20" s="337"/>
    </row>
    <row r="21">
      <c r="A21" s="331"/>
      <c r="B21" s="332"/>
      <c r="C21" s="332"/>
      <c r="D21" s="338"/>
      <c r="E21" s="338"/>
      <c r="F21" s="338"/>
      <c r="G21" s="338"/>
      <c r="H21" s="338"/>
    </row>
    <row r="22">
      <c r="A22" s="331"/>
      <c r="B22" s="332"/>
      <c r="C22" s="332"/>
      <c r="D22" s="332"/>
      <c r="E22" s="332"/>
      <c r="F22" s="332"/>
      <c r="G22" s="332"/>
    </row>
    <row r="23">
      <c r="A23" s="331"/>
      <c r="B23" s="332"/>
      <c r="C23" s="332"/>
      <c r="D23" s="332"/>
      <c r="E23" s="332"/>
      <c r="F23" s="332"/>
      <c r="G23" s="332"/>
    </row>
    <row r="24">
      <c r="A24" s="331"/>
      <c r="B24" s="332"/>
      <c r="C24" s="332"/>
      <c r="D24" s="332"/>
      <c r="E24" s="332"/>
      <c r="F24" s="332"/>
      <c r="G24" s="332"/>
    </row>
    <row r="25">
      <c r="A25" s="331"/>
      <c r="B25" s="332"/>
      <c r="C25" s="332"/>
      <c r="D25" s="332"/>
      <c r="E25" s="332"/>
      <c r="F25" s="332"/>
      <c r="G25" s="332"/>
    </row>
    <row r="26">
      <c r="A26" s="331"/>
      <c r="B26" s="332"/>
      <c r="C26" s="332"/>
      <c r="D26" s="332"/>
      <c r="E26" s="332"/>
      <c r="F26" s="332"/>
      <c r="G26" s="332"/>
    </row>
    <row r="27">
      <c r="A27" s="331"/>
      <c r="B27" s="332"/>
      <c r="C27" s="332"/>
      <c r="D27" s="332"/>
      <c r="E27" s="332"/>
      <c r="F27" s="332"/>
      <c r="G27" s="332"/>
    </row>
    <row r="28">
      <c r="A28" s="331"/>
      <c r="B28" s="332"/>
      <c r="C28" s="332"/>
      <c r="D28" s="332"/>
      <c r="E28" s="332"/>
      <c r="F28" s="332"/>
      <c r="G28" s="332"/>
    </row>
    <row r="29">
      <c r="A29" s="331"/>
      <c r="B29" s="332"/>
      <c r="C29" s="332"/>
      <c r="D29" s="332"/>
      <c r="E29" s="332"/>
      <c r="F29" s="332"/>
      <c r="G29" s="332"/>
    </row>
    <row r="30">
      <c r="A30" s="331"/>
      <c r="B30" s="332"/>
      <c r="C30" s="332"/>
      <c r="D30" s="332"/>
      <c r="E30" s="332"/>
      <c r="F30" s="332"/>
      <c r="G30" s="332"/>
    </row>
    <row r="31">
      <c r="A31" s="331"/>
      <c r="B31" s="332"/>
      <c r="C31" s="332"/>
      <c r="D31" s="332"/>
      <c r="E31" s="332"/>
      <c r="F31" s="332"/>
      <c r="G31" s="332"/>
    </row>
    <row r="32">
      <c r="A32" s="331"/>
      <c r="B32" s="332"/>
      <c r="C32" s="332"/>
      <c r="D32" s="332"/>
      <c r="E32" s="332"/>
      <c r="F32" s="332"/>
      <c r="G32" s="332"/>
    </row>
    <row r="33">
      <c r="A33" s="331"/>
      <c r="B33" s="332"/>
      <c r="C33" s="332"/>
      <c r="D33" s="332"/>
      <c r="E33" s="332"/>
      <c r="F33" s="332"/>
      <c r="G33" s="332"/>
    </row>
    <row r="34">
      <c r="A34" s="331"/>
      <c r="B34" s="332"/>
      <c r="C34" s="332"/>
      <c r="D34" s="332"/>
      <c r="E34" s="332"/>
      <c r="F34" s="332"/>
      <c r="G34" s="332"/>
    </row>
    <row r="35">
      <c r="A35" s="331"/>
      <c r="B35" s="332"/>
      <c r="C35" s="332"/>
      <c r="D35" s="332"/>
      <c r="E35" s="332"/>
      <c r="F35" s="332"/>
      <c r="G35" s="332"/>
    </row>
    <row r="36">
      <c r="A36" s="331"/>
      <c r="B36" s="332"/>
      <c r="C36" s="332"/>
      <c r="D36" s="332"/>
      <c r="E36" s="332"/>
      <c r="F36" s="332"/>
      <c r="G36" s="332"/>
    </row>
    <row r="37">
      <c r="A37" s="331"/>
      <c r="B37" s="332"/>
      <c r="C37" s="332"/>
      <c r="D37" s="332"/>
      <c r="E37" s="332"/>
      <c r="F37" s="332"/>
      <c r="G37" s="332"/>
    </row>
    <row r="38">
      <c r="A38" s="331"/>
      <c r="B38" s="332"/>
      <c r="C38" s="332"/>
      <c r="D38" s="332"/>
      <c r="E38" s="332"/>
      <c r="F38" s="332"/>
      <c r="G38" s="332"/>
    </row>
    <row r="39">
      <c r="A39" s="331"/>
      <c r="B39" s="332"/>
      <c r="C39" s="332"/>
      <c r="D39" s="332"/>
      <c r="E39" s="332"/>
      <c r="F39" s="332"/>
      <c r="G39" s="332"/>
    </row>
    <row r="40">
      <c r="A40" s="331"/>
      <c r="B40" s="332"/>
      <c r="C40" s="332"/>
      <c r="D40" s="332"/>
      <c r="E40" s="332"/>
      <c r="F40" s="332"/>
      <c r="G40" s="332"/>
    </row>
    <row r="41">
      <c r="A41" s="331"/>
      <c r="B41" s="332"/>
      <c r="C41" s="332"/>
      <c r="D41" s="332"/>
      <c r="E41" s="332"/>
      <c r="F41" s="332"/>
      <c r="G41" s="332"/>
    </row>
    <row r="42">
      <c r="A42" s="331"/>
      <c r="B42" s="332"/>
      <c r="C42" s="332"/>
      <c r="D42" s="332"/>
      <c r="E42" s="332"/>
      <c r="F42" s="332"/>
      <c r="G42" s="332"/>
    </row>
    <row r="43">
      <c r="A43" s="331"/>
      <c r="B43" s="332"/>
      <c r="C43" s="332"/>
      <c r="D43" s="332"/>
      <c r="E43" s="332"/>
      <c r="F43" s="332"/>
      <c r="G43" s="332"/>
    </row>
    <row r="44">
      <c r="A44" s="331"/>
      <c r="B44" s="332"/>
      <c r="C44" s="332"/>
      <c r="D44" s="332"/>
      <c r="E44" s="332"/>
      <c r="F44" s="332"/>
      <c r="G44" s="332"/>
    </row>
    <row r="45">
      <c r="A45" s="331"/>
      <c r="B45" s="332"/>
      <c r="C45" s="332"/>
      <c r="D45" s="332"/>
      <c r="E45" s="332"/>
      <c r="F45" s="332"/>
      <c r="G45" s="332"/>
    </row>
    <row r="46">
      <c r="A46" s="331"/>
      <c r="B46" s="332"/>
      <c r="C46" s="332"/>
      <c r="D46" s="332"/>
      <c r="E46" s="332"/>
      <c r="F46" s="332"/>
      <c r="G46" s="332"/>
    </row>
    <row r="47">
      <c r="A47" s="331"/>
      <c r="B47" s="332"/>
      <c r="C47" s="332"/>
      <c r="D47" s="332"/>
      <c r="E47" s="332"/>
      <c r="F47" s="332"/>
      <c r="G47" s="332"/>
    </row>
    <row r="48">
      <c r="A48" s="331"/>
      <c r="B48" s="332"/>
      <c r="C48" s="332"/>
      <c r="D48" s="332"/>
      <c r="E48" s="332"/>
      <c r="F48" s="332"/>
      <c r="G48" s="332"/>
    </row>
    <row r="49">
      <c r="A49" s="331"/>
      <c r="B49" s="332"/>
      <c r="C49" s="332"/>
      <c r="D49" s="332"/>
      <c r="E49" s="332"/>
      <c r="F49" s="332"/>
      <c r="G49" s="332"/>
    </row>
    <row r="50">
      <c r="A50" s="331"/>
      <c r="B50" s="332"/>
      <c r="C50" s="332"/>
      <c r="D50" s="332"/>
      <c r="E50" s="332"/>
      <c r="F50" s="332"/>
      <c r="G50" s="332"/>
    </row>
    <row r="51">
      <c r="A51" s="331"/>
      <c r="B51" s="332"/>
      <c r="C51" s="332"/>
      <c r="D51" s="332"/>
      <c r="E51" s="332"/>
      <c r="F51" s="332"/>
      <c r="G51" s="332"/>
    </row>
    <row r="52">
      <c r="A52" s="331"/>
      <c r="B52" s="332"/>
      <c r="C52" s="332"/>
      <c r="D52" s="332"/>
      <c r="E52" s="332"/>
      <c r="F52" s="332"/>
      <c r="G52" s="332"/>
    </row>
    <row r="53">
      <c r="A53" s="331"/>
      <c r="B53" s="332"/>
      <c r="C53" s="332"/>
      <c r="D53" s="332"/>
      <c r="E53" s="332"/>
      <c r="F53" s="332"/>
      <c r="G53" s="332"/>
    </row>
    <row r="54">
      <c r="A54" s="331"/>
      <c r="B54" s="332"/>
      <c r="C54" s="332"/>
      <c r="D54" s="332"/>
      <c r="E54" s="332"/>
      <c r="F54" s="332"/>
      <c r="G54" s="332"/>
    </row>
    <row r="55">
      <c r="A55" s="331"/>
      <c r="B55" s="332"/>
      <c r="C55" s="332"/>
      <c r="D55" s="332"/>
      <c r="E55" s="332"/>
      <c r="F55" s="332"/>
      <c r="G55" s="332"/>
    </row>
    <row r="56">
      <c r="A56" s="331"/>
      <c r="B56" s="332"/>
      <c r="C56" s="332"/>
      <c r="D56" s="332"/>
      <c r="E56" s="332"/>
      <c r="F56" s="332"/>
      <c r="G56" s="332"/>
    </row>
    <row r="57">
      <c r="A57" s="331"/>
      <c r="B57" s="332"/>
      <c r="C57" s="332"/>
      <c r="D57" s="332"/>
      <c r="E57" s="332"/>
      <c r="F57" s="332"/>
      <c r="G57" s="332"/>
    </row>
    <row r="58">
      <c r="A58" s="331"/>
      <c r="B58" s="332"/>
      <c r="C58" s="332"/>
      <c r="D58" s="332"/>
      <c r="E58" s="332"/>
      <c r="F58" s="332"/>
      <c r="G58" s="332"/>
    </row>
    <row r="59">
      <c r="A59" s="331"/>
      <c r="B59" s="332"/>
      <c r="C59" s="332"/>
      <c r="D59" s="332"/>
      <c r="E59" s="332"/>
      <c r="F59" s="332"/>
      <c r="G59" s="332"/>
    </row>
    <row r="60">
      <c r="A60" s="331"/>
      <c r="B60" s="332"/>
      <c r="C60" s="332"/>
      <c r="D60" s="332"/>
      <c r="E60" s="332"/>
      <c r="F60" s="332"/>
      <c r="G60" s="332"/>
    </row>
    <row r="61">
      <c r="A61" s="331"/>
      <c r="B61" s="332"/>
      <c r="C61" s="332"/>
      <c r="D61" s="332"/>
      <c r="E61" s="332"/>
      <c r="F61" s="332"/>
      <c r="G61" s="332"/>
    </row>
    <row r="62">
      <c r="A62" s="331"/>
      <c r="B62" s="332"/>
      <c r="C62" s="332"/>
      <c r="D62" s="332"/>
      <c r="E62" s="332"/>
      <c r="F62" s="332"/>
      <c r="G62" s="332"/>
    </row>
    <row r="63">
      <c r="A63" s="331"/>
      <c r="B63" s="332"/>
      <c r="C63" s="332"/>
      <c r="D63" s="332"/>
      <c r="E63" s="332"/>
      <c r="F63" s="332"/>
      <c r="G63" s="332"/>
    </row>
    <row r="64">
      <c r="A64" s="331"/>
      <c r="B64" s="332"/>
      <c r="C64" s="332"/>
      <c r="D64" s="332"/>
      <c r="E64" s="332"/>
      <c r="F64" s="332"/>
      <c r="G64" s="332"/>
    </row>
    <row r="65">
      <c r="A65" s="331"/>
      <c r="B65" s="332"/>
      <c r="C65" s="332"/>
      <c r="D65" s="332"/>
      <c r="E65" s="332"/>
      <c r="F65" s="332"/>
      <c r="G65" s="332"/>
    </row>
    <row r="66">
      <c r="A66" s="331"/>
      <c r="B66" s="332"/>
      <c r="C66" s="332"/>
      <c r="D66" s="332"/>
      <c r="E66" s="332"/>
      <c r="F66" s="332"/>
      <c r="G66" s="332"/>
    </row>
    <row r="67">
      <c r="A67" s="331"/>
      <c r="B67" s="332"/>
      <c r="C67" s="332"/>
      <c r="D67" s="332"/>
      <c r="E67" s="332"/>
      <c r="F67" s="332"/>
      <c r="G67" s="332"/>
    </row>
    <row r="68">
      <c r="A68" s="331"/>
      <c r="B68" s="332"/>
      <c r="C68" s="332"/>
      <c r="D68" s="332"/>
      <c r="E68" s="332"/>
      <c r="F68" s="332"/>
      <c r="G68" s="332"/>
    </row>
    <row r="69">
      <c r="A69" s="331"/>
      <c r="B69" s="332"/>
      <c r="C69" s="332"/>
      <c r="D69" s="332"/>
      <c r="E69" s="332"/>
      <c r="F69" s="332"/>
      <c r="G69" s="332"/>
    </row>
    <row r="70">
      <c r="A70" s="331"/>
      <c r="B70" s="332"/>
      <c r="C70" s="332"/>
      <c r="D70" s="332"/>
      <c r="E70" s="332"/>
      <c r="F70" s="332"/>
      <c r="G70" s="332"/>
    </row>
    <row r="71">
      <c r="A71" s="331"/>
      <c r="B71" s="332"/>
      <c r="C71" s="332"/>
      <c r="D71" s="332"/>
      <c r="E71" s="332"/>
      <c r="F71" s="332"/>
      <c r="G71" s="332"/>
    </row>
    <row r="72">
      <c r="A72" s="331"/>
      <c r="B72" s="332"/>
      <c r="C72" s="332"/>
      <c r="D72" s="332"/>
      <c r="E72" s="332"/>
      <c r="F72" s="332"/>
      <c r="G72" s="332"/>
    </row>
    <row r="73">
      <c r="A73" s="331"/>
      <c r="B73" s="332"/>
      <c r="C73" s="332"/>
      <c r="D73" s="332"/>
      <c r="E73" s="332"/>
      <c r="F73" s="332"/>
      <c r="G73" s="332"/>
    </row>
    <row r="74">
      <c r="A74" s="331"/>
      <c r="B74" s="332"/>
      <c r="C74" s="332"/>
      <c r="D74" s="332"/>
      <c r="E74" s="332"/>
      <c r="F74" s="332"/>
      <c r="G74" s="332"/>
    </row>
    <row r="75">
      <c r="A75" s="331"/>
      <c r="B75" s="332"/>
      <c r="C75" s="332"/>
      <c r="D75" s="332"/>
      <c r="E75" s="332"/>
      <c r="F75" s="332"/>
      <c r="G75" s="332"/>
    </row>
    <row r="76">
      <c r="A76" s="331"/>
      <c r="B76" s="332"/>
      <c r="C76" s="332"/>
      <c r="D76" s="332"/>
      <c r="E76" s="332"/>
      <c r="F76" s="332"/>
      <c r="G76" s="332"/>
    </row>
    <row r="77">
      <c r="A77" s="331"/>
      <c r="B77" s="332"/>
      <c r="C77" s="332"/>
      <c r="D77" s="332"/>
      <c r="E77" s="332"/>
      <c r="F77" s="332"/>
      <c r="G77" s="332"/>
    </row>
    <row r="78">
      <c r="A78" s="331"/>
      <c r="B78" s="332"/>
      <c r="C78" s="332"/>
      <c r="D78" s="332"/>
      <c r="E78" s="332"/>
      <c r="F78" s="332"/>
      <c r="G78" s="332"/>
    </row>
    <row r="79">
      <c r="A79" s="331"/>
      <c r="B79" s="332"/>
      <c r="C79" s="332"/>
      <c r="D79" s="332"/>
      <c r="E79" s="332"/>
      <c r="F79" s="332"/>
      <c r="G79" s="332"/>
    </row>
    <row r="80">
      <c r="A80" s="331"/>
      <c r="B80" s="332"/>
      <c r="C80" s="332"/>
      <c r="D80" s="332"/>
      <c r="E80" s="332"/>
      <c r="F80" s="332"/>
      <c r="G80" s="332"/>
    </row>
    <row r="81">
      <c r="A81" s="331"/>
      <c r="B81" s="332"/>
      <c r="C81" s="332"/>
      <c r="D81" s="332"/>
      <c r="E81" s="332"/>
      <c r="F81" s="332"/>
      <c r="G81" s="332"/>
    </row>
    <row r="82">
      <c r="A82" s="331"/>
      <c r="B82" s="332"/>
      <c r="C82" s="332"/>
      <c r="D82" s="332"/>
      <c r="E82" s="332"/>
      <c r="F82" s="332"/>
      <c r="G82" s="332"/>
    </row>
    <row r="83">
      <c r="A83" s="331"/>
      <c r="B83" s="332"/>
      <c r="C83" s="332"/>
      <c r="D83" s="332"/>
      <c r="E83" s="332"/>
      <c r="F83" s="332"/>
      <c r="G83" s="332"/>
    </row>
    <row r="84">
      <c r="A84" s="331"/>
      <c r="B84" s="332"/>
      <c r="C84" s="332"/>
      <c r="D84" s="332"/>
      <c r="E84" s="332"/>
      <c r="F84" s="332"/>
      <c r="G84" s="332"/>
    </row>
    <row r="85">
      <c r="A85" s="331"/>
      <c r="B85" s="332"/>
      <c r="C85" s="332"/>
      <c r="D85" s="332"/>
      <c r="E85" s="332"/>
      <c r="F85" s="332"/>
      <c r="G85" s="332"/>
    </row>
    <row r="86">
      <c r="A86" s="331"/>
      <c r="B86" s="332"/>
      <c r="C86" s="332"/>
      <c r="D86" s="332"/>
      <c r="E86" s="332"/>
      <c r="F86" s="332"/>
      <c r="G86" s="332"/>
    </row>
    <row r="87">
      <c r="A87" s="331"/>
      <c r="B87" s="332"/>
      <c r="C87" s="332"/>
      <c r="D87" s="332"/>
      <c r="E87" s="332"/>
      <c r="F87" s="332"/>
      <c r="G87" s="332"/>
    </row>
    <row r="88">
      <c r="A88" s="331"/>
      <c r="B88" s="332"/>
      <c r="C88" s="332"/>
      <c r="D88" s="332"/>
      <c r="E88" s="332"/>
      <c r="F88" s="332"/>
      <c r="G88" s="332"/>
    </row>
    <row r="89">
      <c r="A89" s="331"/>
      <c r="B89" s="332"/>
      <c r="C89" s="332"/>
      <c r="D89" s="332"/>
      <c r="E89" s="332"/>
      <c r="F89" s="332"/>
      <c r="G89" s="332"/>
    </row>
    <row r="90">
      <c r="A90" s="331"/>
      <c r="B90" s="332"/>
      <c r="C90" s="332"/>
      <c r="D90" s="332"/>
      <c r="E90" s="332"/>
      <c r="F90" s="332"/>
      <c r="G90" s="332"/>
    </row>
    <row r="91">
      <c r="A91" s="331"/>
      <c r="B91" s="332"/>
      <c r="C91" s="332"/>
      <c r="D91" s="332"/>
      <c r="E91" s="332"/>
      <c r="F91" s="332"/>
      <c r="G91" s="332"/>
    </row>
    <row r="92">
      <c r="A92" s="331"/>
      <c r="B92" s="332"/>
      <c r="C92" s="332"/>
      <c r="D92" s="332"/>
      <c r="E92" s="332"/>
      <c r="F92" s="332"/>
      <c r="G92" s="332"/>
    </row>
    <row r="93">
      <c r="A93" s="331"/>
      <c r="B93" s="332"/>
      <c r="C93" s="332"/>
      <c r="D93" s="332"/>
      <c r="E93" s="332"/>
      <c r="F93" s="332"/>
      <c r="G93" s="332"/>
    </row>
    <row r="94">
      <c r="A94" s="331"/>
      <c r="B94" s="332"/>
      <c r="C94" s="332"/>
      <c r="D94" s="332"/>
      <c r="E94" s="332"/>
      <c r="F94" s="332"/>
      <c r="G94" s="332"/>
    </row>
    <row r="95">
      <c r="A95" s="331"/>
      <c r="B95" s="332"/>
      <c r="C95" s="332"/>
      <c r="D95" s="332"/>
      <c r="E95" s="332"/>
      <c r="F95" s="332"/>
      <c r="G95" s="332"/>
    </row>
    <row r="96">
      <c r="A96" s="331"/>
      <c r="B96" s="332"/>
      <c r="C96" s="332"/>
      <c r="D96" s="332"/>
      <c r="E96" s="332"/>
      <c r="F96" s="332"/>
      <c r="G96" s="332"/>
    </row>
    <row r="97">
      <c r="A97" s="331"/>
      <c r="B97" s="332"/>
      <c r="C97" s="332"/>
      <c r="D97" s="332"/>
      <c r="E97" s="332"/>
      <c r="F97" s="332"/>
      <c r="G97" s="332"/>
    </row>
    <row r="98">
      <c r="A98" s="331"/>
      <c r="B98" s="332"/>
      <c r="C98" s="332"/>
      <c r="D98" s="332"/>
      <c r="E98" s="332"/>
      <c r="F98" s="332"/>
      <c r="G98" s="332"/>
    </row>
    <row r="99">
      <c r="A99" s="331"/>
      <c r="B99" s="332"/>
      <c r="C99" s="332"/>
      <c r="D99" s="332"/>
      <c r="E99" s="332"/>
      <c r="F99" s="332"/>
      <c r="G99" s="332"/>
    </row>
    <row r="100">
      <c r="A100" s="331"/>
      <c r="B100" s="332"/>
      <c r="C100" s="332"/>
      <c r="D100" s="332"/>
      <c r="E100" s="332"/>
      <c r="F100" s="332"/>
      <c r="G100" s="332"/>
    </row>
    <row r="101">
      <c r="A101" s="331"/>
      <c r="B101" s="332"/>
      <c r="C101" s="332"/>
      <c r="D101" s="332"/>
      <c r="E101" s="332"/>
      <c r="F101" s="332"/>
      <c r="G101" s="332"/>
    </row>
    <row r="102">
      <c r="A102" s="331"/>
      <c r="B102" s="332"/>
      <c r="C102" s="332"/>
      <c r="D102" s="332"/>
      <c r="E102" s="332"/>
      <c r="F102" s="332"/>
      <c r="G102" s="332"/>
    </row>
    <row r="103">
      <c r="A103" s="331"/>
      <c r="B103" s="332"/>
      <c r="C103" s="332"/>
      <c r="D103" s="332"/>
      <c r="E103" s="332"/>
      <c r="F103" s="332"/>
      <c r="G103" s="332"/>
    </row>
    <row r="104">
      <c r="A104" s="331"/>
      <c r="B104" s="332"/>
      <c r="C104" s="332"/>
      <c r="D104" s="332"/>
      <c r="E104" s="332"/>
      <c r="F104" s="332"/>
      <c r="G104" s="332"/>
    </row>
    <row r="105">
      <c r="A105" s="331"/>
      <c r="B105" s="332"/>
      <c r="C105" s="332"/>
      <c r="D105" s="332"/>
      <c r="E105" s="332"/>
      <c r="F105" s="332"/>
      <c r="G105" s="332"/>
    </row>
    <row r="106">
      <c r="A106" s="331"/>
      <c r="B106" s="332"/>
      <c r="C106" s="332"/>
      <c r="D106" s="332"/>
      <c r="E106" s="332"/>
      <c r="F106" s="332"/>
      <c r="G106" s="332"/>
    </row>
    <row r="107">
      <c r="A107" s="331"/>
      <c r="B107" s="332"/>
      <c r="C107" s="332"/>
      <c r="D107" s="332"/>
      <c r="E107" s="332"/>
      <c r="F107" s="332"/>
      <c r="G107" s="332"/>
    </row>
    <row r="108">
      <c r="A108" s="331"/>
      <c r="B108" s="332"/>
      <c r="C108" s="332"/>
      <c r="D108" s="332"/>
      <c r="E108" s="332"/>
      <c r="F108" s="332"/>
      <c r="G108" s="332"/>
    </row>
    <row r="109">
      <c r="A109" s="331"/>
      <c r="B109" s="332"/>
      <c r="C109" s="332"/>
      <c r="D109" s="332"/>
      <c r="E109" s="332"/>
      <c r="F109" s="332"/>
      <c r="G109" s="332"/>
    </row>
    <row r="110">
      <c r="A110" s="331"/>
      <c r="B110" s="332"/>
      <c r="C110" s="332"/>
      <c r="D110" s="332"/>
      <c r="E110" s="332"/>
      <c r="F110" s="332"/>
      <c r="G110" s="332"/>
    </row>
    <row r="111">
      <c r="A111" s="331"/>
      <c r="B111" s="332"/>
      <c r="C111" s="332"/>
      <c r="D111" s="332"/>
      <c r="E111" s="332"/>
      <c r="F111" s="332"/>
      <c r="G111" s="332"/>
    </row>
    <row r="112">
      <c r="A112" s="331"/>
      <c r="B112" s="332"/>
      <c r="C112" s="332"/>
      <c r="D112" s="332"/>
      <c r="E112" s="332"/>
      <c r="F112" s="332"/>
      <c r="G112" s="332"/>
    </row>
    <row r="113">
      <c r="A113" s="331"/>
      <c r="B113" s="332"/>
      <c r="C113" s="332"/>
      <c r="D113" s="332"/>
      <c r="E113" s="332"/>
      <c r="F113" s="332"/>
      <c r="G113" s="332"/>
    </row>
    <row r="114">
      <c r="A114" s="331"/>
      <c r="B114" s="332"/>
      <c r="C114" s="332"/>
      <c r="D114" s="332"/>
      <c r="E114" s="332"/>
      <c r="F114" s="332"/>
      <c r="G114" s="332"/>
    </row>
    <row r="115">
      <c r="A115" s="331"/>
      <c r="B115" s="332"/>
      <c r="C115" s="332"/>
      <c r="D115" s="332"/>
      <c r="E115" s="332"/>
      <c r="F115" s="332"/>
      <c r="G115" s="332"/>
    </row>
    <row r="116">
      <c r="A116" s="331"/>
      <c r="B116" s="332"/>
      <c r="C116" s="332"/>
      <c r="D116" s="332"/>
      <c r="E116" s="332"/>
      <c r="F116" s="332"/>
      <c r="G116" s="332"/>
    </row>
    <row r="117">
      <c r="A117" s="331"/>
      <c r="B117" s="332"/>
      <c r="C117" s="332"/>
      <c r="D117" s="332"/>
      <c r="E117" s="332"/>
      <c r="F117" s="332"/>
      <c r="G117" s="332"/>
    </row>
    <row r="118">
      <c r="A118" s="331"/>
      <c r="B118" s="332"/>
      <c r="C118" s="332"/>
      <c r="D118" s="332"/>
      <c r="E118" s="332"/>
      <c r="F118" s="332"/>
      <c r="G118" s="332"/>
    </row>
    <row r="119">
      <c r="A119" s="331"/>
      <c r="B119" s="332"/>
      <c r="C119" s="332"/>
      <c r="D119" s="332"/>
      <c r="E119" s="332"/>
      <c r="F119" s="332"/>
      <c r="G119" s="332"/>
    </row>
    <row r="120">
      <c r="A120" s="331"/>
      <c r="B120" s="332"/>
      <c r="C120" s="332"/>
      <c r="D120" s="332"/>
      <c r="E120" s="332"/>
      <c r="F120" s="332"/>
      <c r="G120" s="332"/>
    </row>
    <row r="121">
      <c r="A121" s="331"/>
      <c r="B121" s="332"/>
      <c r="C121" s="332"/>
      <c r="D121" s="332"/>
      <c r="E121" s="332"/>
      <c r="F121" s="332"/>
      <c r="G121" s="332"/>
    </row>
    <row r="122">
      <c r="A122" s="331"/>
      <c r="B122" s="332"/>
      <c r="C122" s="332"/>
      <c r="D122" s="332"/>
      <c r="E122" s="332"/>
      <c r="F122" s="332"/>
      <c r="G122" s="332"/>
    </row>
    <row r="123">
      <c r="A123" s="331"/>
      <c r="B123" s="332"/>
      <c r="C123" s="332"/>
      <c r="D123" s="332"/>
      <c r="E123" s="332"/>
      <c r="F123" s="332"/>
      <c r="G123" s="332"/>
    </row>
    <row r="124">
      <c r="A124" s="331"/>
      <c r="B124" s="332"/>
      <c r="C124" s="332"/>
      <c r="D124" s="332"/>
      <c r="E124" s="332"/>
      <c r="F124" s="332"/>
      <c r="G124" s="332"/>
    </row>
    <row r="125">
      <c r="A125" s="331"/>
      <c r="B125" s="332"/>
      <c r="C125" s="332"/>
      <c r="D125" s="332"/>
      <c r="E125" s="332"/>
      <c r="F125" s="332"/>
      <c r="G125" s="332"/>
    </row>
    <row r="126">
      <c r="A126" s="331"/>
      <c r="B126" s="332"/>
      <c r="C126" s="332"/>
      <c r="D126" s="332"/>
      <c r="E126" s="332"/>
      <c r="F126" s="332"/>
      <c r="G126" s="332"/>
    </row>
    <row r="127">
      <c r="A127" s="331"/>
      <c r="B127" s="332"/>
      <c r="C127" s="332"/>
      <c r="D127" s="332"/>
      <c r="E127" s="332"/>
      <c r="F127" s="332"/>
      <c r="G127" s="332"/>
    </row>
    <row r="128">
      <c r="A128" s="331"/>
      <c r="B128" s="332"/>
      <c r="C128" s="332"/>
      <c r="D128" s="332"/>
      <c r="E128" s="332"/>
      <c r="F128" s="332"/>
      <c r="G128" s="332"/>
    </row>
    <row r="129">
      <c r="A129" s="331"/>
      <c r="B129" s="332"/>
      <c r="C129" s="332"/>
      <c r="D129" s="332"/>
      <c r="E129" s="332"/>
      <c r="F129" s="332"/>
      <c r="G129" s="332"/>
    </row>
    <row r="130">
      <c r="A130" s="331"/>
      <c r="B130" s="332"/>
      <c r="C130" s="332"/>
      <c r="D130" s="332"/>
      <c r="E130" s="332"/>
      <c r="F130" s="332"/>
      <c r="G130" s="332"/>
    </row>
    <row r="131">
      <c r="A131" s="331"/>
      <c r="B131" s="332"/>
      <c r="C131" s="332"/>
      <c r="D131" s="332"/>
      <c r="E131" s="332"/>
      <c r="F131" s="332"/>
      <c r="G131" s="332"/>
    </row>
    <row r="132">
      <c r="A132" s="331"/>
      <c r="B132" s="332"/>
      <c r="C132" s="332"/>
      <c r="D132" s="332"/>
      <c r="E132" s="332"/>
      <c r="F132" s="332"/>
      <c r="G132" s="332"/>
    </row>
    <row r="133">
      <c r="A133" s="331"/>
      <c r="B133" s="332"/>
      <c r="C133" s="332"/>
      <c r="D133" s="332"/>
      <c r="E133" s="332"/>
      <c r="F133" s="332"/>
      <c r="G133" s="332"/>
    </row>
    <row r="134">
      <c r="A134" s="331"/>
      <c r="B134" s="332"/>
      <c r="C134" s="332"/>
      <c r="D134" s="332"/>
      <c r="E134" s="332"/>
      <c r="F134" s="332"/>
      <c r="G134" s="332"/>
    </row>
    <row r="135">
      <c r="A135" s="331"/>
      <c r="B135" s="332"/>
      <c r="C135" s="332"/>
      <c r="D135" s="332"/>
      <c r="E135" s="332"/>
      <c r="F135" s="332"/>
      <c r="G135" s="332"/>
    </row>
    <row r="136">
      <c r="A136" s="331"/>
      <c r="B136" s="332"/>
      <c r="C136" s="332"/>
      <c r="D136" s="332"/>
      <c r="E136" s="332"/>
      <c r="F136" s="332"/>
      <c r="G136" s="332"/>
    </row>
    <row r="137">
      <c r="A137" s="331"/>
      <c r="B137" s="332"/>
      <c r="C137" s="332"/>
      <c r="D137" s="332"/>
      <c r="E137" s="332"/>
      <c r="F137" s="332"/>
      <c r="G137" s="332"/>
    </row>
    <row r="138">
      <c r="A138" s="331"/>
      <c r="B138" s="332"/>
      <c r="C138" s="332"/>
      <c r="D138" s="332"/>
      <c r="E138" s="332"/>
      <c r="F138" s="332"/>
      <c r="G138" s="332"/>
    </row>
    <row r="139">
      <c r="A139" s="331"/>
      <c r="B139" s="332"/>
      <c r="C139" s="332"/>
      <c r="D139" s="332"/>
      <c r="E139" s="332"/>
      <c r="F139" s="332"/>
      <c r="G139" s="332"/>
    </row>
    <row r="140">
      <c r="A140" s="331"/>
      <c r="B140" s="332"/>
      <c r="C140" s="332"/>
      <c r="D140" s="332"/>
      <c r="E140" s="332"/>
      <c r="F140" s="332"/>
      <c r="G140" s="332"/>
    </row>
    <row r="141">
      <c r="A141" s="331"/>
      <c r="B141" s="332"/>
      <c r="C141" s="332"/>
      <c r="D141" s="332"/>
      <c r="E141" s="332"/>
      <c r="F141" s="332"/>
      <c r="G141" s="332"/>
    </row>
    <row r="142">
      <c r="A142" s="331"/>
      <c r="B142" s="332"/>
      <c r="C142" s="332"/>
      <c r="D142" s="332"/>
      <c r="E142" s="332"/>
      <c r="F142" s="332"/>
      <c r="G142" s="332"/>
    </row>
    <row r="143">
      <c r="A143" s="331"/>
      <c r="B143" s="332"/>
      <c r="C143" s="332"/>
      <c r="D143" s="332"/>
      <c r="E143" s="332"/>
      <c r="F143" s="332"/>
      <c r="G143" s="332"/>
    </row>
    <row r="144">
      <c r="A144" s="331"/>
      <c r="B144" s="332"/>
      <c r="C144" s="332"/>
      <c r="D144" s="332"/>
      <c r="E144" s="332"/>
      <c r="F144" s="332"/>
      <c r="G144" s="332"/>
    </row>
    <row r="145">
      <c r="A145" s="331"/>
      <c r="B145" s="332"/>
      <c r="C145" s="332"/>
      <c r="D145" s="332"/>
      <c r="E145" s="332"/>
      <c r="F145" s="332"/>
      <c r="G145" s="332"/>
    </row>
    <row r="146">
      <c r="A146" s="331"/>
      <c r="B146" s="332"/>
      <c r="C146" s="332"/>
      <c r="D146" s="332"/>
      <c r="E146" s="332"/>
      <c r="F146" s="332"/>
      <c r="G146" s="332"/>
    </row>
    <row r="147">
      <c r="A147" s="331"/>
      <c r="B147" s="332"/>
      <c r="C147" s="332"/>
      <c r="D147" s="332"/>
      <c r="E147" s="332"/>
      <c r="F147" s="332"/>
      <c r="G147" s="332"/>
    </row>
    <row r="148">
      <c r="A148" s="331"/>
      <c r="B148" s="332"/>
      <c r="C148" s="332"/>
      <c r="D148" s="332"/>
      <c r="E148" s="332"/>
      <c r="F148" s="332"/>
      <c r="G148" s="332"/>
    </row>
    <row r="149">
      <c r="A149" s="331"/>
      <c r="B149" s="332"/>
      <c r="C149" s="332"/>
      <c r="D149" s="332"/>
      <c r="E149" s="332"/>
      <c r="F149" s="332"/>
      <c r="G149" s="332"/>
    </row>
    <row r="150">
      <c r="A150" s="331"/>
      <c r="B150" s="332"/>
      <c r="C150" s="332"/>
      <c r="D150" s="332"/>
      <c r="E150" s="332"/>
      <c r="F150" s="332"/>
      <c r="G150" s="332"/>
    </row>
    <row r="151">
      <c r="A151" s="331"/>
      <c r="B151" s="332"/>
      <c r="C151" s="332"/>
      <c r="D151" s="332"/>
      <c r="E151" s="332"/>
      <c r="F151" s="332"/>
      <c r="G151" s="332"/>
    </row>
    <row r="152">
      <c r="A152" s="331"/>
      <c r="B152" s="332"/>
      <c r="C152" s="332"/>
      <c r="D152" s="332"/>
      <c r="E152" s="332"/>
      <c r="F152" s="332"/>
      <c r="G152" s="332"/>
    </row>
    <row r="153">
      <c r="A153" s="331"/>
      <c r="B153" s="332"/>
      <c r="C153" s="332"/>
      <c r="D153" s="332"/>
      <c r="E153" s="332"/>
      <c r="F153" s="332"/>
      <c r="G153" s="332"/>
    </row>
    <row r="154">
      <c r="A154" s="331"/>
      <c r="B154" s="332"/>
      <c r="C154" s="332"/>
      <c r="D154" s="332"/>
      <c r="E154" s="332"/>
      <c r="F154" s="332"/>
      <c r="G154" s="332"/>
    </row>
    <row r="155">
      <c r="A155" s="331"/>
      <c r="B155" s="332"/>
      <c r="C155" s="332"/>
      <c r="D155" s="332"/>
      <c r="E155" s="332"/>
      <c r="F155" s="332"/>
      <c r="G155" s="332"/>
    </row>
    <row r="156">
      <c r="A156" s="331"/>
      <c r="B156" s="332"/>
      <c r="C156" s="332"/>
      <c r="D156" s="332"/>
      <c r="E156" s="332"/>
      <c r="F156" s="332"/>
      <c r="G156" s="332"/>
    </row>
    <row r="157">
      <c r="A157" s="331"/>
      <c r="B157" s="332"/>
      <c r="C157" s="332"/>
      <c r="D157" s="332"/>
      <c r="E157" s="332"/>
      <c r="F157" s="332"/>
      <c r="G157" s="332"/>
    </row>
    <row r="158">
      <c r="A158" s="331"/>
      <c r="B158" s="332"/>
      <c r="C158" s="332"/>
      <c r="D158" s="332"/>
      <c r="E158" s="332"/>
      <c r="F158" s="332"/>
      <c r="G158" s="332"/>
    </row>
    <row r="159">
      <c r="A159" s="331"/>
      <c r="B159" s="332"/>
      <c r="C159" s="332"/>
      <c r="D159" s="332"/>
      <c r="E159" s="332"/>
      <c r="F159" s="332"/>
      <c r="G159" s="332"/>
    </row>
    <row r="160">
      <c r="A160" s="331"/>
      <c r="B160" s="332"/>
      <c r="C160" s="332"/>
      <c r="D160" s="332"/>
      <c r="E160" s="332"/>
      <c r="F160" s="332"/>
      <c r="G160" s="332"/>
    </row>
    <row r="161">
      <c r="A161" s="331"/>
      <c r="B161" s="332"/>
      <c r="C161" s="332"/>
      <c r="D161" s="332"/>
      <c r="E161" s="332"/>
      <c r="F161" s="332"/>
      <c r="G161" s="332"/>
    </row>
    <row r="162">
      <c r="A162" s="331"/>
      <c r="B162" s="332"/>
      <c r="C162" s="332"/>
      <c r="D162" s="332"/>
      <c r="E162" s="332"/>
      <c r="F162" s="332"/>
      <c r="G162" s="332"/>
    </row>
    <row r="163">
      <c r="A163" s="331"/>
      <c r="B163" s="332"/>
      <c r="C163" s="332"/>
      <c r="D163" s="332"/>
      <c r="E163" s="332"/>
      <c r="F163" s="332"/>
      <c r="G163" s="332"/>
    </row>
    <row r="164">
      <c r="A164" s="331"/>
      <c r="B164" s="332"/>
      <c r="C164" s="332"/>
      <c r="D164" s="332"/>
      <c r="E164" s="332"/>
      <c r="F164" s="332"/>
      <c r="G164" s="332"/>
    </row>
    <row r="165">
      <c r="A165" s="331"/>
      <c r="B165" s="332"/>
      <c r="C165" s="332"/>
      <c r="D165" s="332"/>
      <c r="E165" s="332"/>
      <c r="F165" s="332"/>
      <c r="G165" s="332"/>
    </row>
    <row r="166">
      <c r="A166" s="331"/>
      <c r="B166" s="332"/>
      <c r="C166" s="332"/>
      <c r="D166" s="332"/>
      <c r="E166" s="332"/>
      <c r="F166" s="332"/>
      <c r="G166" s="332"/>
    </row>
    <row r="167">
      <c r="A167" s="331"/>
      <c r="B167" s="332"/>
      <c r="C167" s="332"/>
      <c r="D167" s="332"/>
      <c r="E167" s="332"/>
      <c r="F167" s="332"/>
      <c r="G167" s="332"/>
    </row>
    <row r="168">
      <c r="A168" s="331"/>
      <c r="B168" s="332"/>
      <c r="C168" s="332"/>
      <c r="D168" s="332"/>
      <c r="E168" s="332"/>
      <c r="F168" s="332"/>
      <c r="G168" s="332"/>
    </row>
    <row r="169">
      <c r="A169" s="331"/>
      <c r="B169" s="332"/>
      <c r="C169" s="332"/>
      <c r="D169" s="332"/>
      <c r="E169" s="332"/>
      <c r="F169" s="332"/>
      <c r="G169" s="332"/>
    </row>
    <row r="170">
      <c r="A170" s="331"/>
      <c r="B170" s="332"/>
      <c r="C170" s="332"/>
      <c r="D170" s="332"/>
      <c r="E170" s="332"/>
      <c r="F170" s="332"/>
      <c r="G170" s="332"/>
    </row>
    <row r="171">
      <c r="A171" s="331"/>
      <c r="B171" s="332"/>
      <c r="C171" s="332"/>
      <c r="D171" s="332"/>
      <c r="E171" s="332"/>
      <c r="F171" s="332"/>
      <c r="G171" s="332"/>
    </row>
    <row r="172">
      <c r="A172" s="331"/>
      <c r="B172" s="332"/>
      <c r="C172" s="332"/>
      <c r="D172" s="332"/>
      <c r="E172" s="332"/>
      <c r="F172" s="332"/>
      <c r="G172" s="332"/>
    </row>
    <row r="173">
      <c r="A173" s="331"/>
      <c r="B173" s="332"/>
      <c r="C173" s="332"/>
      <c r="D173" s="332"/>
      <c r="E173" s="332"/>
      <c r="F173" s="332"/>
      <c r="G173" s="332"/>
    </row>
    <row r="174">
      <c r="A174" s="331"/>
      <c r="B174" s="332"/>
      <c r="C174" s="332"/>
      <c r="D174" s="332"/>
      <c r="E174" s="332"/>
      <c r="F174" s="332"/>
      <c r="G174" s="332"/>
    </row>
    <row r="175">
      <c r="A175" s="331"/>
      <c r="B175" s="332"/>
      <c r="C175" s="332"/>
      <c r="D175" s="332"/>
      <c r="E175" s="332"/>
      <c r="F175" s="332"/>
      <c r="G175" s="332"/>
    </row>
    <row r="176">
      <c r="A176" s="331"/>
      <c r="B176" s="332"/>
      <c r="C176" s="332"/>
      <c r="D176" s="332"/>
      <c r="E176" s="332"/>
      <c r="F176" s="332"/>
      <c r="G176" s="332"/>
    </row>
    <row r="177">
      <c r="A177" s="331"/>
      <c r="B177" s="332"/>
      <c r="C177" s="332"/>
      <c r="D177" s="332"/>
      <c r="E177" s="332"/>
      <c r="F177" s="332"/>
      <c r="G177" s="332"/>
    </row>
    <row r="178">
      <c r="A178" s="331"/>
      <c r="B178" s="332"/>
      <c r="C178" s="332"/>
      <c r="D178" s="332"/>
      <c r="E178" s="332"/>
      <c r="F178" s="332"/>
      <c r="G178" s="332"/>
    </row>
    <row r="179">
      <c r="A179" s="331"/>
      <c r="B179" s="332"/>
      <c r="C179" s="332"/>
      <c r="D179" s="332"/>
      <c r="E179" s="332"/>
      <c r="F179" s="332"/>
      <c r="G179" s="332"/>
    </row>
    <row r="180">
      <c r="A180" s="331"/>
      <c r="B180" s="332"/>
      <c r="C180" s="332"/>
      <c r="D180" s="332"/>
      <c r="E180" s="332"/>
      <c r="F180" s="332"/>
      <c r="G180" s="332"/>
    </row>
    <row r="181">
      <c r="A181" s="331"/>
      <c r="B181" s="332"/>
      <c r="C181" s="332"/>
      <c r="D181" s="332"/>
      <c r="E181" s="332"/>
      <c r="F181" s="332"/>
      <c r="G181" s="332"/>
    </row>
    <row r="182">
      <c r="A182" s="331"/>
      <c r="B182" s="332"/>
      <c r="C182" s="332"/>
      <c r="D182" s="332"/>
      <c r="E182" s="332"/>
      <c r="F182" s="332"/>
      <c r="G182" s="332"/>
    </row>
    <row r="183">
      <c r="A183" s="331"/>
      <c r="B183" s="332"/>
      <c r="C183" s="332"/>
      <c r="D183" s="332"/>
      <c r="E183" s="332"/>
      <c r="F183" s="332"/>
      <c r="G183" s="332"/>
    </row>
    <row r="184">
      <c r="A184" s="331"/>
      <c r="B184" s="332"/>
      <c r="C184" s="332"/>
      <c r="D184" s="332"/>
      <c r="E184" s="332"/>
      <c r="F184" s="332"/>
      <c r="G184" s="332"/>
    </row>
    <row r="185">
      <c r="A185" s="331"/>
      <c r="B185" s="332"/>
      <c r="C185" s="332"/>
      <c r="D185" s="332"/>
      <c r="E185" s="332"/>
      <c r="F185" s="332"/>
      <c r="G185" s="332"/>
    </row>
    <row r="186">
      <c r="A186" s="331"/>
      <c r="B186" s="332"/>
      <c r="C186" s="332"/>
      <c r="D186" s="332"/>
      <c r="E186" s="332"/>
      <c r="F186" s="332"/>
      <c r="G186" s="332"/>
    </row>
    <row r="187">
      <c r="A187" s="331"/>
      <c r="B187" s="332"/>
      <c r="C187" s="332"/>
      <c r="D187" s="332"/>
      <c r="E187" s="332"/>
      <c r="F187" s="332"/>
      <c r="G187" s="332"/>
    </row>
    <row r="188">
      <c r="A188" s="331"/>
      <c r="B188" s="332"/>
      <c r="C188" s="332"/>
      <c r="D188" s="332"/>
      <c r="E188" s="332"/>
      <c r="F188" s="332"/>
      <c r="G188" s="332"/>
    </row>
    <row r="189">
      <c r="A189" s="331"/>
      <c r="B189" s="332"/>
      <c r="C189" s="332"/>
      <c r="D189" s="332"/>
      <c r="E189" s="332"/>
      <c r="F189" s="332"/>
      <c r="G189" s="332"/>
    </row>
    <row r="190">
      <c r="A190" s="331"/>
      <c r="B190" s="332"/>
      <c r="C190" s="332"/>
      <c r="D190" s="332"/>
      <c r="E190" s="332"/>
      <c r="F190" s="332"/>
      <c r="G190" s="332"/>
    </row>
    <row r="191">
      <c r="A191" s="331"/>
      <c r="B191" s="332"/>
      <c r="C191" s="332"/>
      <c r="D191" s="332"/>
      <c r="E191" s="332"/>
      <c r="F191" s="332"/>
      <c r="G191" s="332"/>
    </row>
    <row r="192">
      <c r="A192" s="331"/>
      <c r="B192" s="332"/>
      <c r="C192" s="332"/>
      <c r="D192" s="332"/>
      <c r="E192" s="332"/>
      <c r="F192" s="332"/>
      <c r="G192" s="332"/>
    </row>
    <row r="193">
      <c r="A193" s="331"/>
      <c r="B193" s="332"/>
      <c r="C193" s="332"/>
      <c r="D193" s="332"/>
      <c r="E193" s="332"/>
      <c r="F193" s="332"/>
      <c r="G193" s="332"/>
    </row>
    <row r="194">
      <c r="A194" s="331"/>
      <c r="B194" s="332"/>
      <c r="C194" s="332"/>
      <c r="D194" s="332"/>
      <c r="E194" s="332"/>
      <c r="F194" s="332"/>
      <c r="G194" s="332"/>
    </row>
    <row r="195">
      <c r="A195" s="331"/>
      <c r="B195" s="332"/>
      <c r="C195" s="332"/>
      <c r="D195" s="332"/>
      <c r="E195" s="332"/>
      <c r="F195" s="332"/>
      <c r="G195" s="332"/>
    </row>
    <row r="196">
      <c r="A196" s="331"/>
      <c r="B196" s="332"/>
      <c r="C196" s="332"/>
      <c r="D196" s="332"/>
      <c r="E196" s="332"/>
      <c r="F196" s="332"/>
      <c r="G196" s="332"/>
    </row>
    <row r="197">
      <c r="A197" s="331"/>
      <c r="B197" s="332"/>
      <c r="C197" s="332"/>
      <c r="D197" s="332"/>
      <c r="E197" s="332"/>
      <c r="F197" s="332"/>
      <c r="G197" s="332"/>
    </row>
    <row r="198">
      <c r="A198" s="331"/>
      <c r="B198" s="332"/>
      <c r="C198" s="332"/>
      <c r="D198" s="332"/>
      <c r="E198" s="332"/>
      <c r="F198" s="332"/>
      <c r="G198" s="332"/>
    </row>
    <row r="199">
      <c r="A199" s="331"/>
      <c r="B199" s="332"/>
      <c r="C199" s="332"/>
      <c r="D199" s="332"/>
      <c r="E199" s="332"/>
      <c r="F199" s="332"/>
      <c r="G199" s="332"/>
    </row>
    <row r="200">
      <c r="A200" s="331"/>
      <c r="B200" s="332"/>
      <c r="C200" s="332"/>
      <c r="D200" s="332"/>
      <c r="E200" s="332"/>
      <c r="F200" s="332"/>
      <c r="G200" s="332"/>
    </row>
    <row r="201">
      <c r="A201" s="331"/>
      <c r="B201" s="332"/>
      <c r="C201" s="332"/>
      <c r="D201" s="332"/>
      <c r="E201" s="332"/>
      <c r="F201" s="332"/>
      <c r="G201" s="332"/>
    </row>
    <row r="202">
      <c r="A202" s="331"/>
      <c r="B202" s="332"/>
      <c r="C202" s="332"/>
      <c r="D202" s="332"/>
      <c r="E202" s="332"/>
      <c r="F202" s="332"/>
      <c r="G202" s="332"/>
    </row>
    <row r="203">
      <c r="A203" s="331"/>
      <c r="B203" s="332"/>
      <c r="C203" s="332"/>
      <c r="D203" s="332"/>
      <c r="E203" s="332"/>
      <c r="F203" s="332"/>
      <c r="G203" s="332"/>
    </row>
    <row r="204">
      <c r="A204" s="331"/>
      <c r="B204" s="332"/>
      <c r="C204" s="332"/>
      <c r="D204" s="332"/>
      <c r="E204" s="332"/>
      <c r="F204" s="332"/>
      <c r="G204" s="332"/>
    </row>
    <row r="205">
      <c r="A205" s="331"/>
      <c r="B205" s="332"/>
      <c r="C205" s="332"/>
      <c r="D205" s="332"/>
      <c r="E205" s="332"/>
      <c r="F205" s="332"/>
      <c r="G205" s="332"/>
    </row>
    <row r="206">
      <c r="A206" s="331"/>
      <c r="B206" s="332"/>
      <c r="C206" s="332"/>
      <c r="D206" s="332"/>
      <c r="E206" s="332"/>
      <c r="F206" s="332"/>
      <c r="G206" s="332"/>
    </row>
    <row r="207">
      <c r="A207" s="331"/>
      <c r="B207" s="332"/>
      <c r="C207" s="332"/>
      <c r="D207" s="332"/>
      <c r="E207" s="332"/>
      <c r="F207" s="332"/>
      <c r="G207" s="332"/>
    </row>
    <row r="208">
      <c r="A208" s="331"/>
      <c r="B208" s="332"/>
      <c r="C208" s="332"/>
      <c r="D208" s="332"/>
      <c r="E208" s="332"/>
      <c r="F208" s="332"/>
      <c r="G208" s="332"/>
    </row>
    <row r="209">
      <c r="A209" s="331"/>
      <c r="B209" s="332"/>
      <c r="C209" s="332"/>
      <c r="D209" s="332"/>
      <c r="E209" s="332"/>
      <c r="F209" s="332"/>
      <c r="G209" s="332"/>
    </row>
    <row r="210">
      <c r="A210" s="331"/>
      <c r="B210" s="332"/>
      <c r="C210" s="332"/>
      <c r="D210" s="332"/>
      <c r="E210" s="332"/>
      <c r="F210" s="332"/>
      <c r="G210" s="332"/>
    </row>
    <row r="211">
      <c r="A211" s="331"/>
      <c r="B211" s="332"/>
      <c r="C211" s="332"/>
      <c r="D211" s="332"/>
      <c r="E211" s="332"/>
      <c r="F211" s="332"/>
      <c r="G211" s="332"/>
    </row>
    <row r="212">
      <c r="A212" s="331"/>
      <c r="B212" s="332"/>
      <c r="C212" s="332"/>
      <c r="D212" s="332"/>
      <c r="E212" s="332"/>
      <c r="F212" s="332"/>
      <c r="G212" s="332"/>
    </row>
    <row r="213">
      <c r="A213" s="331"/>
      <c r="B213" s="332"/>
      <c r="C213" s="332"/>
      <c r="D213" s="332"/>
      <c r="E213" s="332"/>
      <c r="F213" s="332"/>
      <c r="G213" s="332"/>
    </row>
    <row r="214">
      <c r="A214" s="331"/>
      <c r="B214" s="332"/>
      <c r="C214" s="332"/>
      <c r="D214" s="332"/>
      <c r="E214" s="332"/>
      <c r="F214" s="332"/>
      <c r="G214" s="332"/>
    </row>
    <row r="215">
      <c r="A215" s="331"/>
      <c r="B215" s="332"/>
      <c r="C215" s="332"/>
      <c r="D215" s="332"/>
      <c r="E215" s="332"/>
      <c r="F215" s="332"/>
      <c r="G215" s="332"/>
    </row>
    <row r="216">
      <c r="A216" s="331"/>
      <c r="B216" s="332"/>
      <c r="C216" s="332"/>
      <c r="D216" s="332"/>
      <c r="E216" s="332"/>
      <c r="F216" s="332"/>
      <c r="G216" s="332"/>
    </row>
    <row r="217">
      <c r="A217" s="331"/>
      <c r="B217" s="332"/>
      <c r="C217" s="332"/>
      <c r="D217" s="332"/>
      <c r="E217" s="332"/>
      <c r="F217" s="332"/>
      <c r="G217" s="332"/>
    </row>
    <row r="218">
      <c r="A218" s="331"/>
      <c r="B218" s="332"/>
      <c r="C218" s="332"/>
      <c r="D218" s="332"/>
      <c r="E218" s="332"/>
      <c r="F218" s="332"/>
      <c r="G218" s="332"/>
    </row>
    <row r="219">
      <c r="A219" s="331"/>
      <c r="B219" s="332"/>
      <c r="C219" s="332"/>
      <c r="D219" s="332"/>
      <c r="E219" s="332"/>
      <c r="F219" s="332"/>
      <c r="G219" s="332"/>
    </row>
    <row r="220">
      <c r="A220" s="331"/>
      <c r="B220" s="332"/>
      <c r="C220" s="332"/>
      <c r="D220" s="332"/>
      <c r="E220" s="332"/>
      <c r="F220" s="332"/>
      <c r="G220" s="332"/>
    </row>
    <row r="221">
      <c r="A221" s="331"/>
      <c r="B221" s="332"/>
      <c r="C221" s="332"/>
      <c r="D221" s="332"/>
      <c r="E221" s="332"/>
      <c r="F221" s="332"/>
      <c r="G221" s="332"/>
    </row>
    <row r="222">
      <c r="A222" s="331"/>
      <c r="B222" s="332"/>
      <c r="C222" s="332"/>
      <c r="D222" s="332"/>
      <c r="E222" s="332"/>
      <c r="F222" s="332"/>
      <c r="G222" s="332"/>
    </row>
    <row r="223">
      <c r="A223" s="331"/>
      <c r="B223" s="332"/>
      <c r="C223" s="332"/>
      <c r="D223" s="332"/>
      <c r="E223" s="332"/>
      <c r="F223" s="332"/>
      <c r="G223" s="332"/>
    </row>
    <row r="224">
      <c r="A224" s="331"/>
      <c r="B224" s="332"/>
      <c r="C224" s="332"/>
      <c r="D224" s="332"/>
      <c r="E224" s="332"/>
      <c r="F224" s="332"/>
      <c r="G224" s="332"/>
    </row>
    <row r="225">
      <c r="A225" s="331"/>
      <c r="B225" s="332"/>
      <c r="C225" s="332"/>
      <c r="D225" s="332"/>
      <c r="E225" s="332"/>
      <c r="F225" s="332"/>
      <c r="G225" s="332"/>
    </row>
    <row r="226">
      <c r="A226" s="331"/>
      <c r="B226" s="332"/>
      <c r="C226" s="332"/>
      <c r="D226" s="332"/>
      <c r="E226" s="332"/>
      <c r="F226" s="332"/>
      <c r="G226" s="332"/>
    </row>
    <row r="227">
      <c r="A227" s="331"/>
      <c r="B227" s="332"/>
      <c r="C227" s="332"/>
      <c r="D227" s="332"/>
      <c r="E227" s="332"/>
      <c r="F227" s="332"/>
      <c r="G227" s="332"/>
    </row>
    <row r="228">
      <c r="A228" s="331"/>
      <c r="B228" s="332"/>
      <c r="C228" s="332"/>
      <c r="D228" s="332"/>
      <c r="E228" s="332"/>
      <c r="F228" s="332"/>
      <c r="G228" s="332"/>
    </row>
    <row r="229">
      <c r="A229" s="331"/>
      <c r="B229" s="332"/>
      <c r="C229" s="332"/>
      <c r="D229" s="332"/>
      <c r="E229" s="332"/>
      <c r="F229" s="332"/>
      <c r="G229" s="332"/>
    </row>
    <row r="230">
      <c r="A230" s="331"/>
      <c r="B230" s="332"/>
      <c r="C230" s="332"/>
      <c r="D230" s="332"/>
      <c r="E230" s="332"/>
      <c r="F230" s="332"/>
      <c r="G230" s="332"/>
    </row>
    <row r="231">
      <c r="A231" s="331"/>
      <c r="B231" s="332"/>
      <c r="C231" s="332"/>
      <c r="D231" s="332"/>
      <c r="E231" s="332"/>
      <c r="F231" s="332"/>
      <c r="G231" s="332"/>
    </row>
    <row r="232">
      <c r="A232" s="331"/>
      <c r="B232" s="332"/>
      <c r="C232" s="332"/>
      <c r="D232" s="332"/>
      <c r="E232" s="332"/>
      <c r="F232" s="332"/>
      <c r="G232" s="332"/>
    </row>
    <row r="233">
      <c r="A233" s="331"/>
      <c r="B233" s="332"/>
      <c r="C233" s="332"/>
      <c r="D233" s="332"/>
      <c r="E233" s="332"/>
      <c r="F233" s="332"/>
      <c r="G233" s="332"/>
    </row>
    <row r="234">
      <c r="A234" s="331"/>
      <c r="B234" s="332"/>
      <c r="C234" s="332"/>
      <c r="D234" s="332"/>
      <c r="E234" s="332"/>
      <c r="F234" s="332"/>
      <c r="G234" s="332"/>
    </row>
    <row r="235">
      <c r="A235" s="331"/>
      <c r="B235" s="332"/>
      <c r="C235" s="332"/>
      <c r="D235" s="332"/>
      <c r="E235" s="332"/>
      <c r="F235" s="332"/>
      <c r="G235" s="332"/>
    </row>
    <row r="236">
      <c r="A236" s="331"/>
      <c r="B236" s="332"/>
      <c r="C236" s="332"/>
      <c r="D236" s="332"/>
      <c r="E236" s="332"/>
      <c r="F236" s="332"/>
      <c r="G236" s="332"/>
    </row>
    <row r="237">
      <c r="A237" s="331"/>
      <c r="B237" s="332"/>
      <c r="C237" s="332"/>
      <c r="D237" s="332"/>
      <c r="E237" s="332"/>
      <c r="F237" s="332"/>
      <c r="G237" s="332"/>
    </row>
    <row r="238">
      <c r="A238" s="331"/>
      <c r="B238" s="332"/>
      <c r="C238" s="332"/>
      <c r="D238" s="332"/>
      <c r="E238" s="332"/>
      <c r="F238" s="332"/>
      <c r="G238" s="332"/>
    </row>
    <row r="239">
      <c r="A239" s="331"/>
      <c r="B239" s="332"/>
      <c r="C239" s="332"/>
      <c r="D239" s="332"/>
      <c r="E239" s="332"/>
      <c r="F239" s="332"/>
      <c r="G239" s="332"/>
    </row>
    <row r="240">
      <c r="A240" s="331"/>
      <c r="B240" s="332"/>
      <c r="C240" s="332"/>
      <c r="D240" s="332"/>
      <c r="E240" s="332"/>
      <c r="F240" s="332"/>
      <c r="G240" s="332"/>
    </row>
    <row r="241">
      <c r="A241" s="331"/>
      <c r="B241" s="332"/>
      <c r="C241" s="332"/>
      <c r="D241" s="332"/>
      <c r="E241" s="332"/>
      <c r="F241" s="332"/>
      <c r="G241" s="332"/>
    </row>
    <row r="242">
      <c r="A242" s="331"/>
      <c r="B242" s="332"/>
      <c r="C242" s="332"/>
      <c r="D242" s="332"/>
      <c r="E242" s="332"/>
      <c r="F242" s="332"/>
      <c r="G242" s="332"/>
    </row>
    <row r="243">
      <c r="A243" s="331"/>
      <c r="B243" s="332"/>
      <c r="C243" s="332"/>
      <c r="D243" s="332"/>
      <c r="E243" s="332"/>
      <c r="F243" s="332"/>
      <c r="G243" s="332"/>
    </row>
    <row r="244">
      <c r="A244" s="331"/>
      <c r="B244" s="332"/>
      <c r="C244" s="332"/>
      <c r="D244" s="332"/>
      <c r="E244" s="332"/>
      <c r="F244" s="332"/>
      <c r="G244" s="332"/>
    </row>
    <row r="245">
      <c r="A245" s="331"/>
      <c r="B245" s="332"/>
      <c r="C245" s="332"/>
      <c r="D245" s="332"/>
      <c r="E245" s="332"/>
      <c r="F245" s="332"/>
      <c r="G245" s="332"/>
    </row>
    <row r="246">
      <c r="A246" s="331"/>
      <c r="B246" s="332"/>
      <c r="C246" s="332"/>
      <c r="D246" s="332"/>
      <c r="E246" s="332"/>
      <c r="F246" s="332"/>
      <c r="G246" s="332"/>
    </row>
    <row r="247">
      <c r="A247" s="331"/>
      <c r="B247" s="332"/>
      <c r="C247" s="332"/>
      <c r="D247" s="332"/>
      <c r="E247" s="332"/>
      <c r="F247" s="332"/>
      <c r="G247" s="332"/>
    </row>
    <row r="248">
      <c r="A248" s="331"/>
      <c r="B248" s="332"/>
      <c r="C248" s="332"/>
      <c r="D248" s="332"/>
      <c r="E248" s="332"/>
      <c r="F248" s="332"/>
      <c r="G248" s="332"/>
    </row>
    <row r="249">
      <c r="A249" s="331"/>
      <c r="B249" s="332"/>
      <c r="C249" s="332"/>
      <c r="D249" s="332"/>
      <c r="E249" s="332"/>
      <c r="F249" s="332"/>
      <c r="G249" s="332"/>
    </row>
    <row r="250">
      <c r="A250" s="331"/>
      <c r="B250" s="332"/>
      <c r="C250" s="332"/>
      <c r="D250" s="332"/>
      <c r="E250" s="332"/>
      <c r="F250" s="332"/>
      <c r="G250" s="332"/>
    </row>
    <row r="251">
      <c r="A251" s="331"/>
      <c r="B251" s="332"/>
      <c r="C251" s="332"/>
      <c r="D251" s="332"/>
      <c r="E251" s="332"/>
      <c r="F251" s="332"/>
      <c r="G251" s="332"/>
    </row>
    <row r="252">
      <c r="A252" s="331"/>
      <c r="B252" s="332"/>
      <c r="C252" s="332"/>
      <c r="D252" s="332"/>
      <c r="E252" s="332"/>
      <c r="F252" s="332"/>
      <c r="G252" s="332"/>
    </row>
    <row r="253">
      <c r="A253" s="331"/>
      <c r="B253" s="332"/>
      <c r="C253" s="332"/>
      <c r="D253" s="332"/>
      <c r="E253" s="332"/>
      <c r="F253" s="332"/>
      <c r="G253" s="332"/>
    </row>
    <row r="254">
      <c r="A254" s="331"/>
      <c r="B254" s="332"/>
      <c r="C254" s="332"/>
      <c r="D254" s="332"/>
      <c r="E254" s="332"/>
      <c r="F254" s="332"/>
      <c r="G254" s="332"/>
    </row>
    <row r="255">
      <c r="A255" s="331"/>
      <c r="B255" s="332"/>
      <c r="C255" s="332"/>
      <c r="D255" s="332"/>
      <c r="E255" s="332"/>
      <c r="F255" s="332"/>
      <c r="G255" s="332"/>
    </row>
    <row r="256">
      <c r="A256" s="331"/>
      <c r="B256" s="332"/>
      <c r="C256" s="332"/>
      <c r="D256" s="332"/>
      <c r="E256" s="332"/>
      <c r="F256" s="332"/>
      <c r="G256" s="332"/>
    </row>
    <row r="257">
      <c r="A257" s="331"/>
      <c r="B257" s="332"/>
      <c r="C257" s="332"/>
      <c r="D257" s="332"/>
      <c r="E257" s="332"/>
      <c r="F257" s="332"/>
      <c r="G257" s="332"/>
    </row>
    <row r="258">
      <c r="A258" s="331"/>
      <c r="B258" s="332"/>
      <c r="C258" s="332"/>
      <c r="D258" s="332"/>
      <c r="E258" s="332"/>
      <c r="F258" s="332"/>
      <c r="G258" s="332"/>
    </row>
    <row r="259">
      <c r="A259" s="331"/>
      <c r="B259" s="332"/>
      <c r="C259" s="332"/>
      <c r="D259" s="332"/>
      <c r="E259" s="332"/>
      <c r="F259" s="332"/>
      <c r="G259" s="332"/>
    </row>
    <row r="260">
      <c r="A260" s="331"/>
      <c r="B260" s="332"/>
      <c r="C260" s="332"/>
      <c r="D260" s="332"/>
      <c r="E260" s="332"/>
      <c r="F260" s="332"/>
      <c r="G260" s="332"/>
    </row>
    <row r="261">
      <c r="A261" s="331"/>
      <c r="B261" s="332"/>
      <c r="C261" s="332"/>
      <c r="D261" s="332"/>
      <c r="E261" s="332"/>
      <c r="F261" s="332"/>
      <c r="G261" s="332"/>
    </row>
    <row r="262">
      <c r="A262" s="331"/>
      <c r="B262" s="332"/>
      <c r="C262" s="332"/>
      <c r="D262" s="332"/>
      <c r="E262" s="332"/>
      <c r="F262" s="332"/>
      <c r="G262" s="332"/>
    </row>
    <row r="263">
      <c r="A263" s="331"/>
      <c r="B263" s="332"/>
      <c r="C263" s="332"/>
      <c r="D263" s="332"/>
      <c r="E263" s="332"/>
      <c r="F263" s="332"/>
      <c r="G263" s="332"/>
    </row>
    <row r="264">
      <c r="A264" s="331"/>
      <c r="B264" s="332"/>
      <c r="C264" s="332"/>
      <c r="D264" s="332"/>
      <c r="E264" s="332"/>
      <c r="F264" s="332"/>
      <c r="G264" s="332"/>
    </row>
    <row r="265">
      <c r="A265" s="331"/>
      <c r="B265" s="332"/>
      <c r="C265" s="332"/>
      <c r="D265" s="332"/>
      <c r="E265" s="332"/>
      <c r="F265" s="332"/>
      <c r="G265" s="332"/>
    </row>
    <row r="266">
      <c r="A266" s="331"/>
      <c r="B266" s="332"/>
      <c r="C266" s="332"/>
      <c r="D266" s="332"/>
      <c r="E266" s="332"/>
      <c r="F266" s="332"/>
      <c r="G266" s="332"/>
    </row>
    <row r="267">
      <c r="A267" s="331"/>
      <c r="B267" s="332"/>
      <c r="C267" s="332"/>
      <c r="D267" s="332"/>
      <c r="E267" s="332"/>
      <c r="F267" s="332"/>
      <c r="G267" s="332"/>
    </row>
    <row r="268">
      <c r="A268" s="331"/>
      <c r="B268" s="332"/>
      <c r="C268" s="332"/>
      <c r="D268" s="332"/>
      <c r="E268" s="332"/>
      <c r="F268" s="332"/>
      <c r="G268" s="332"/>
    </row>
    <row r="269">
      <c r="A269" s="331"/>
      <c r="B269" s="332"/>
      <c r="C269" s="332"/>
      <c r="D269" s="332"/>
      <c r="E269" s="332"/>
      <c r="F269" s="332"/>
      <c r="G269" s="332"/>
    </row>
    <row r="270">
      <c r="A270" s="331"/>
      <c r="B270" s="332"/>
      <c r="C270" s="332"/>
      <c r="D270" s="332"/>
      <c r="E270" s="332"/>
      <c r="F270" s="332"/>
      <c r="G270" s="332"/>
    </row>
    <row r="271">
      <c r="A271" s="331"/>
      <c r="B271" s="332"/>
      <c r="C271" s="332"/>
      <c r="D271" s="332"/>
      <c r="E271" s="332"/>
      <c r="F271" s="332"/>
      <c r="G271" s="332"/>
    </row>
    <row r="272">
      <c r="A272" s="331"/>
      <c r="B272" s="332"/>
      <c r="C272" s="332"/>
      <c r="D272" s="332"/>
      <c r="E272" s="332"/>
      <c r="F272" s="332"/>
      <c r="G272" s="332"/>
    </row>
    <row r="273">
      <c r="A273" s="331"/>
      <c r="B273" s="332"/>
      <c r="C273" s="332"/>
      <c r="D273" s="332"/>
      <c r="E273" s="332"/>
      <c r="F273" s="332"/>
      <c r="G273" s="332"/>
    </row>
    <row r="274">
      <c r="A274" s="331"/>
      <c r="B274" s="332"/>
      <c r="C274" s="332"/>
      <c r="D274" s="332"/>
      <c r="E274" s="332"/>
      <c r="F274" s="332"/>
      <c r="G274" s="332"/>
    </row>
    <row r="275">
      <c r="A275" s="331"/>
      <c r="B275" s="332"/>
      <c r="C275" s="332"/>
      <c r="D275" s="332"/>
      <c r="E275" s="332"/>
      <c r="F275" s="332"/>
      <c r="G275" s="332"/>
    </row>
    <row r="276">
      <c r="A276" s="331"/>
      <c r="B276" s="332"/>
      <c r="C276" s="332"/>
      <c r="D276" s="332"/>
      <c r="E276" s="332"/>
      <c r="F276" s="332"/>
      <c r="G276" s="332"/>
    </row>
    <row r="277">
      <c r="A277" s="331"/>
      <c r="B277" s="332"/>
      <c r="C277" s="332"/>
      <c r="D277" s="332"/>
      <c r="E277" s="332"/>
      <c r="F277" s="332"/>
      <c r="G277" s="332"/>
    </row>
    <row r="278">
      <c r="A278" s="331"/>
      <c r="B278" s="332"/>
      <c r="C278" s="332"/>
      <c r="D278" s="332"/>
      <c r="E278" s="332"/>
      <c r="F278" s="332"/>
      <c r="G278" s="332"/>
    </row>
    <row r="279">
      <c r="A279" s="331"/>
      <c r="B279" s="332"/>
      <c r="C279" s="332"/>
      <c r="D279" s="332"/>
      <c r="E279" s="332"/>
      <c r="F279" s="332"/>
      <c r="G279" s="332"/>
    </row>
    <row r="280">
      <c r="A280" s="331"/>
      <c r="B280" s="332"/>
      <c r="C280" s="332"/>
      <c r="D280" s="332"/>
      <c r="E280" s="332"/>
      <c r="F280" s="332"/>
      <c r="G280" s="332"/>
    </row>
    <row r="281">
      <c r="A281" s="331"/>
      <c r="B281" s="332"/>
      <c r="C281" s="332"/>
      <c r="D281" s="332"/>
      <c r="E281" s="332"/>
      <c r="F281" s="332"/>
      <c r="G281" s="332"/>
    </row>
    <row r="282">
      <c r="A282" s="331"/>
      <c r="B282" s="332"/>
      <c r="C282" s="332"/>
      <c r="D282" s="332"/>
      <c r="E282" s="332"/>
      <c r="F282" s="332"/>
      <c r="G282" s="332"/>
    </row>
    <row r="283">
      <c r="A283" s="331"/>
      <c r="B283" s="332"/>
      <c r="C283" s="332"/>
      <c r="D283" s="332"/>
      <c r="E283" s="332"/>
      <c r="F283" s="332"/>
      <c r="G283" s="332"/>
    </row>
    <row r="284">
      <c r="A284" s="331"/>
      <c r="B284" s="332"/>
      <c r="C284" s="332"/>
      <c r="D284" s="332"/>
      <c r="E284" s="332"/>
      <c r="F284" s="332"/>
      <c r="G284" s="332"/>
    </row>
    <row r="285">
      <c r="A285" s="331"/>
      <c r="B285" s="332"/>
      <c r="C285" s="332"/>
      <c r="D285" s="332"/>
      <c r="E285" s="332"/>
      <c r="F285" s="332"/>
      <c r="G285" s="332"/>
    </row>
    <row r="286">
      <c r="A286" s="331"/>
      <c r="B286" s="332"/>
      <c r="C286" s="332"/>
      <c r="D286" s="332"/>
      <c r="E286" s="332"/>
      <c r="F286" s="332"/>
      <c r="G286" s="332"/>
    </row>
    <row r="287">
      <c r="A287" s="331"/>
      <c r="B287" s="332"/>
      <c r="C287" s="332"/>
      <c r="D287" s="332"/>
      <c r="E287" s="332"/>
      <c r="F287" s="332"/>
      <c r="G287" s="332"/>
    </row>
    <row r="288">
      <c r="A288" s="331"/>
      <c r="B288" s="332"/>
      <c r="C288" s="332"/>
      <c r="D288" s="332"/>
      <c r="E288" s="332"/>
      <c r="F288" s="332"/>
      <c r="G288" s="332"/>
    </row>
    <row r="289">
      <c r="A289" s="331"/>
      <c r="B289" s="332"/>
      <c r="C289" s="332"/>
      <c r="D289" s="332"/>
      <c r="E289" s="332"/>
      <c r="F289" s="332"/>
      <c r="G289" s="332"/>
    </row>
    <row r="290">
      <c r="A290" s="331"/>
      <c r="B290" s="332"/>
      <c r="C290" s="332"/>
      <c r="D290" s="332"/>
      <c r="E290" s="332"/>
      <c r="F290" s="332"/>
      <c r="G290" s="332"/>
    </row>
    <row r="291">
      <c r="A291" s="331"/>
      <c r="B291" s="332"/>
      <c r="C291" s="332"/>
      <c r="D291" s="332"/>
      <c r="E291" s="332"/>
      <c r="F291" s="332"/>
      <c r="G291" s="332"/>
    </row>
    <row r="292">
      <c r="A292" s="331"/>
      <c r="B292" s="332"/>
      <c r="C292" s="332"/>
      <c r="D292" s="332"/>
      <c r="E292" s="332"/>
      <c r="F292" s="332"/>
      <c r="G292" s="332"/>
    </row>
    <row r="293">
      <c r="A293" s="331"/>
      <c r="B293" s="332"/>
      <c r="C293" s="332"/>
      <c r="D293" s="332"/>
      <c r="E293" s="332"/>
      <c r="F293" s="332"/>
      <c r="G293" s="332"/>
    </row>
    <row r="294">
      <c r="A294" s="331"/>
      <c r="B294" s="332"/>
      <c r="C294" s="332"/>
      <c r="D294" s="332"/>
      <c r="E294" s="332"/>
      <c r="F294" s="332"/>
      <c r="G294" s="332"/>
    </row>
    <row r="295">
      <c r="A295" s="331"/>
      <c r="B295" s="332"/>
      <c r="C295" s="332"/>
      <c r="D295" s="332"/>
      <c r="E295" s="332"/>
      <c r="F295" s="332"/>
      <c r="G295" s="332"/>
    </row>
    <row r="296">
      <c r="A296" s="331"/>
      <c r="B296" s="332"/>
      <c r="C296" s="332"/>
      <c r="D296" s="332"/>
      <c r="E296" s="332"/>
      <c r="F296" s="332"/>
      <c r="G296" s="332"/>
    </row>
    <row r="297">
      <c r="A297" s="331"/>
      <c r="B297" s="332"/>
      <c r="C297" s="332"/>
      <c r="D297" s="332"/>
      <c r="E297" s="332"/>
      <c r="F297" s="332"/>
      <c r="G297" s="332"/>
    </row>
    <row r="298">
      <c r="A298" s="331"/>
      <c r="B298" s="332"/>
      <c r="C298" s="332"/>
      <c r="D298" s="332"/>
      <c r="E298" s="332"/>
      <c r="F298" s="332"/>
      <c r="G298" s="332"/>
    </row>
    <row r="299">
      <c r="A299" s="331"/>
      <c r="B299" s="332"/>
      <c r="C299" s="332"/>
      <c r="D299" s="332"/>
      <c r="E299" s="332"/>
      <c r="F299" s="332"/>
      <c r="G299" s="332"/>
    </row>
    <row r="300">
      <c r="A300" s="331"/>
      <c r="B300" s="332"/>
      <c r="C300" s="332"/>
      <c r="D300" s="332"/>
      <c r="E300" s="332"/>
      <c r="F300" s="332"/>
      <c r="G300" s="332"/>
    </row>
    <row r="301">
      <c r="A301" s="331"/>
      <c r="B301" s="332"/>
      <c r="C301" s="332"/>
      <c r="D301" s="332"/>
      <c r="E301" s="332"/>
      <c r="F301" s="332"/>
      <c r="G301" s="332"/>
    </row>
    <row r="302">
      <c r="A302" s="331"/>
      <c r="B302" s="332"/>
      <c r="C302" s="332"/>
      <c r="D302" s="332"/>
      <c r="E302" s="332"/>
      <c r="F302" s="332"/>
      <c r="G302" s="332"/>
    </row>
    <row r="303">
      <c r="A303" s="331"/>
      <c r="B303" s="332"/>
      <c r="C303" s="332"/>
      <c r="D303" s="332"/>
      <c r="E303" s="332"/>
      <c r="F303" s="332"/>
      <c r="G303" s="332"/>
    </row>
    <row r="304">
      <c r="A304" s="331"/>
      <c r="B304" s="332"/>
      <c r="C304" s="332"/>
      <c r="D304" s="332"/>
      <c r="E304" s="332"/>
      <c r="F304" s="332"/>
      <c r="G304" s="332"/>
    </row>
    <row r="305">
      <c r="A305" s="331"/>
      <c r="B305" s="332"/>
      <c r="C305" s="332"/>
      <c r="D305" s="332"/>
      <c r="E305" s="332"/>
      <c r="F305" s="332"/>
      <c r="G305" s="332"/>
    </row>
    <row r="306">
      <c r="A306" s="331"/>
      <c r="B306" s="332"/>
      <c r="C306" s="332"/>
      <c r="D306" s="332"/>
      <c r="E306" s="332"/>
      <c r="F306" s="332"/>
      <c r="G306" s="332"/>
    </row>
    <row r="307">
      <c r="A307" s="331"/>
      <c r="B307" s="332"/>
      <c r="C307" s="332"/>
      <c r="D307" s="332"/>
      <c r="E307" s="332"/>
      <c r="F307" s="332"/>
      <c r="G307" s="332"/>
    </row>
    <row r="308">
      <c r="A308" s="331"/>
      <c r="B308" s="332"/>
      <c r="C308" s="332"/>
      <c r="D308" s="332"/>
      <c r="E308" s="332"/>
      <c r="F308" s="332"/>
      <c r="G308" s="332"/>
    </row>
    <row r="309">
      <c r="A309" s="331"/>
      <c r="B309" s="332"/>
      <c r="C309" s="332"/>
      <c r="D309" s="332"/>
      <c r="E309" s="332"/>
      <c r="F309" s="332"/>
      <c r="G309" s="332"/>
    </row>
    <row r="310">
      <c r="A310" s="331"/>
      <c r="B310" s="332"/>
      <c r="C310" s="332"/>
      <c r="D310" s="332"/>
      <c r="E310" s="332"/>
      <c r="F310" s="332"/>
      <c r="G310" s="332"/>
    </row>
    <row r="311">
      <c r="A311" s="331"/>
      <c r="B311" s="332"/>
      <c r="C311" s="332"/>
      <c r="D311" s="332"/>
      <c r="E311" s="332"/>
      <c r="F311" s="332"/>
      <c r="G311" s="332"/>
    </row>
    <row r="312">
      <c r="A312" s="331"/>
      <c r="B312" s="332"/>
      <c r="C312" s="332"/>
      <c r="D312" s="332"/>
      <c r="E312" s="332"/>
      <c r="F312" s="332"/>
      <c r="G312" s="332"/>
    </row>
    <row r="313">
      <c r="A313" s="331"/>
      <c r="B313" s="332"/>
      <c r="C313" s="332"/>
      <c r="D313" s="332"/>
      <c r="E313" s="332"/>
      <c r="F313" s="332"/>
      <c r="G313" s="332"/>
    </row>
    <row r="314">
      <c r="A314" s="331"/>
      <c r="B314" s="332"/>
      <c r="C314" s="332"/>
      <c r="D314" s="332"/>
      <c r="E314" s="332"/>
      <c r="F314" s="332"/>
      <c r="G314" s="332"/>
    </row>
    <row r="315">
      <c r="A315" s="331"/>
      <c r="B315" s="332"/>
      <c r="C315" s="332"/>
      <c r="D315" s="332"/>
      <c r="E315" s="332"/>
      <c r="F315" s="332"/>
      <c r="G315" s="332"/>
    </row>
    <row r="316">
      <c r="A316" s="331"/>
      <c r="B316" s="332"/>
      <c r="C316" s="332"/>
      <c r="D316" s="332"/>
      <c r="E316" s="332"/>
      <c r="F316" s="332"/>
      <c r="G316" s="332"/>
    </row>
    <row r="317">
      <c r="A317" s="331"/>
      <c r="B317" s="332"/>
      <c r="C317" s="332"/>
      <c r="D317" s="332"/>
      <c r="E317" s="332"/>
      <c r="F317" s="332"/>
      <c r="G317" s="332"/>
    </row>
    <row r="318">
      <c r="A318" s="331"/>
      <c r="B318" s="332"/>
      <c r="C318" s="332"/>
      <c r="D318" s="332"/>
      <c r="E318" s="332"/>
      <c r="F318" s="332"/>
      <c r="G318" s="332"/>
    </row>
    <row r="319">
      <c r="A319" s="331"/>
      <c r="B319" s="332"/>
      <c r="C319" s="332"/>
      <c r="D319" s="332"/>
      <c r="E319" s="332"/>
      <c r="F319" s="332"/>
      <c r="G319" s="332"/>
    </row>
    <row r="320">
      <c r="A320" s="331"/>
      <c r="B320" s="332"/>
      <c r="C320" s="332"/>
      <c r="D320" s="332"/>
      <c r="E320" s="332"/>
      <c r="F320" s="332"/>
      <c r="G320" s="332"/>
    </row>
    <row r="321">
      <c r="A321" s="331"/>
      <c r="B321" s="332"/>
      <c r="C321" s="332"/>
      <c r="D321" s="332"/>
      <c r="E321" s="332"/>
      <c r="F321" s="332"/>
      <c r="G321" s="332"/>
    </row>
    <row r="322">
      <c r="A322" s="331"/>
      <c r="B322" s="332"/>
      <c r="C322" s="332"/>
      <c r="D322" s="332"/>
      <c r="E322" s="332"/>
      <c r="F322" s="332"/>
      <c r="G322" s="332"/>
    </row>
    <row r="323">
      <c r="A323" s="331"/>
      <c r="B323" s="332"/>
      <c r="C323" s="332"/>
      <c r="D323" s="332"/>
      <c r="E323" s="332"/>
      <c r="F323" s="332"/>
      <c r="G323" s="332"/>
    </row>
    <row r="324">
      <c r="A324" s="331"/>
      <c r="B324" s="332"/>
      <c r="C324" s="332"/>
      <c r="D324" s="332"/>
      <c r="E324" s="332"/>
      <c r="F324" s="332"/>
      <c r="G324" s="332"/>
    </row>
    <row r="325">
      <c r="A325" s="331"/>
      <c r="B325" s="332"/>
      <c r="C325" s="332"/>
      <c r="D325" s="332"/>
      <c r="E325" s="332"/>
      <c r="F325" s="332"/>
      <c r="G325" s="332"/>
    </row>
    <row r="326">
      <c r="A326" s="331"/>
      <c r="B326" s="332"/>
      <c r="C326" s="332"/>
      <c r="D326" s="332"/>
      <c r="E326" s="332"/>
      <c r="F326" s="332"/>
      <c r="G326" s="332"/>
    </row>
    <row r="327">
      <c r="A327" s="331"/>
      <c r="B327" s="332"/>
      <c r="C327" s="332"/>
      <c r="D327" s="332"/>
      <c r="E327" s="332"/>
      <c r="F327" s="332"/>
      <c r="G327" s="332"/>
    </row>
    <row r="328">
      <c r="A328" s="331"/>
      <c r="B328" s="332"/>
      <c r="C328" s="332"/>
      <c r="D328" s="332"/>
      <c r="E328" s="332"/>
      <c r="F328" s="332"/>
      <c r="G328" s="332"/>
    </row>
    <row r="329">
      <c r="A329" s="331"/>
      <c r="B329" s="332"/>
      <c r="C329" s="332"/>
      <c r="D329" s="332"/>
      <c r="E329" s="332"/>
      <c r="F329" s="332"/>
      <c r="G329" s="332"/>
    </row>
    <row r="330">
      <c r="A330" s="331"/>
      <c r="B330" s="332"/>
      <c r="C330" s="332"/>
      <c r="D330" s="332"/>
      <c r="E330" s="332"/>
      <c r="F330" s="332"/>
      <c r="G330" s="332"/>
    </row>
    <row r="331">
      <c r="A331" s="331"/>
      <c r="B331" s="332"/>
      <c r="C331" s="332"/>
      <c r="D331" s="332"/>
      <c r="E331" s="332"/>
      <c r="F331" s="332"/>
      <c r="G331" s="332"/>
    </row>
    <row r="332">
      <c r="A332" s="331"/>
      <c r="B332" s="332"/>
      <c r="C332" s="332"/>
      <c r="D332" s="332"/>
      <c r="E332" s="332"/>
      <c r="F332" s="332"/>
      <c r="G332" s="332"/>
    </row>
    <row r="333">
      <c r="A333" s="331"/>
      <c r="B333" s="332"/>
      <c r="C333" s="332"/>
      <c r="D333" s="332"/>
      <c r="E333" s="332"/>
      <c r="F333" s="332"/>
      <c r="G333" s="332"/>
    </row>
    <row r="334">
      <c r="A334" s="331"/>
      <c r="B334" s="332"/>
      <c r="C334" s="332"/>
      <c r="D334" s="332"/>
      <c r="E334" s="332"/>
      <c r="F334" s="332"/>
      <c r="G334" s="332"/>
    </row>
    <row r="335">
      <c r="A335" s="331"/>
      <c r="B335" s="332"/>
      <c r="C335" s="332"/>
      <c r="D335" s="332"/>
      <c r="E335" s="332"/>
      <c r="F335" s="332"/>
      <c r="G335" s="332"/>
    </row>
    <row r="336">
      <c r="A336" s="331"/>
      <c r="B336" s="332"/>
      <c r="C336" s="332"/>
      <c r="D336" s="332"/>
      <c r="E336" s="332"/>
      <c r="F336" s="332"/>
      <c r="G336" s="332"/>
    </row>
    <row r="337">
      <c r="A337" s="331"/>
      <c r="B337" s="332"/>
      <c r="C337" s="332"/>
      <c r="D337" s="332"/>
      <c r="E337" s="332"/>
      <c r="F337" s="332"/>
      <c r="G337" s="332"/>
    </row>
    <row r="338">
      <c r="A338" s="331"/>
      <c r="B338" s="332"/>
      <c r="C338" s="332"/>
      <c r="D338" s="332"/>
      <c r="E338" s="332"/>
      <c r="F338" s="332"/>
      <c r="G338" s="332"/>
    </row>
    <row r="339">
      <c r="A339" s="331"/>
      <c r="B339" s="332"/>
      <c r="C339" s="332"/>
      <c r="D339" s="332"/>
      <c r="E339" s="332"/>
      <c r="F339" s="332"/>
      <c r="G339" s="332"/>
    </row>
    <row r="340">
      <c r="A340" s="331"/>
      <c r="B340" s="332"/>
      <c r="C340" s="332"/>
      <c r="D340" s="332"/>
      <c r="E340" s="332"/>
      <c r="F340" s="332"/>
      <c r="G340" s="332"/>
    </row>
    <row r="341">
      <c r="A341" s="331"/>
      <c r="B341" s="332"/>
      <c r="C341" s="332"/>
      <c r="D341" s="332"/>
      <c r="E341" s="332"/>
      <c r="F341" s="332"/>
      <c r="G341" s="332"/>
    </row>
    <row r="342">
      <c r="A342" s="331"/>
      <c r="B342" s="332"/>
      <c r="C342" s="332"/>
      <c r="D342" s="332"/>
      <c r="E342" s="332"/>
      <c r="F342" s="332"/>
      <c r="G342" s="332"/>
    </row>
    <row r="343">
      <c r="A343" s="331"/>
      <c r="B343" s="332"/>
      <c r="C343" s="332"/>
      <c r="D343" s="332"/>
      <c r="E343" s="332"/>
      <c r="F343" s="332"/>
      <c r="G343" s="332"/>
    </row>
    <row r="344">
      <c r="A344" s="331"/>
      <c r="B344" s="332"/>
      <c r="C344" s="332"/>
      <c r="D344" s="332"/>
      <c r="E344" s="332"/>
      <c r="F344" s="332"/>
      <c r="G344" s="332"/>
    </row>
    <row r="345">
      <c r="A345" s="331"/>
      <c r="B345" s="332"/>
      <c r="C345" s="332"/>
      <c r="D345" s="332"/>
      <c r="E345" s="332"/>
      <c r="F345" s="332"/>
      <c r="G345" s="332"/>
    </row>
    <row r="346">
      <c r="A346" s="331"/>
      <c r="B346" s="332"/>
      <c r="C346" s="332"/>
      <c r="D346" s="332"/>
      <c r="E346" s="332"/>
      <c r="F346" s="332"/>
      <c r="G346" s="332"/>
    </row>
    <row r="347">
      <c r="A347" s="331"/>
      <c r="B347" s="332"/>
      <c r="C347" s="332"/>
      <c r="D347" s="332"/>
      <c r="E347" s="332"/>
      <c r="F347" s="332"/>
      <c r="G347" s="332"/>
    </row>
    <row r="348">
      <c r="A348" s="331"/>
      <c r="B348" s="332"/>
      <c r="C348" s="332"/>
      <c r="D348" s="332"/>
      <c r="E348" s="332"/>
      <c r="F348" s="332"/>
      <c r="G348" s="332"/>
    </row>
    <row r="349">
      <c r="A349" s="331"/>
      <c r="B349" s="332"/>
      <c r="C349" s="332"/>
      <c r="D349" s="332"/>
      <c r="E349" s="332"/>
      <c r="F349" s="332"/>
      <c r="G349" s="332"/>
    </row>
    <row r="350">
      <c r="A350" s="331"/>
      <c r="B350" s="332"/>
      <c r="C350" s="332"/>
      <c r="D350" s="332"/>
      <c r="E350" s="332"/>
      <c r="F350" s="332"/>
      <c r="G350" s="332"/>
    </row>
    <row r="351">
      <c r="A351" s="331"/>
      <c r="B351" s="332"/>
      <c r="C351" s="332"/>
      <c r="D351" s="332"/>
      <c r="E351" s="332"/>
      <c r="F351" s="332"/>
      <c r="G351" s="332"/>
    </row>
    <row r="352">
      <c r="A352" s="331"/>
      <c r="B352" s="332"/>
      <c r="C352" s="332"/>
      <c r="D352" s="332"/>
      <c r="E352" s="332"/>
      <c r="F352" s="332"/>
      <c r="G352" s="332"/>
    </row>
    <row r="353">
      <c r="A353" s="331"/>
      <c r="B353" s="332"/>
      <c r="C353" s="332"/>
      <c r="D353" s="332"/>
      <c r="E353" s="332"/>
      <c r="F353" s="332"/>
      <c r="G353" s="332"/>
    </row>
    <row r="354">
      <c r="A354" s="331"/>
      <c r="B354" s="332"/>
      <c r="C354" s="332"/>
      <c r="D354" s="332"/>
      <c r="E354" s="332"/>
      <c r="F354" s="332"/>
      <c r="G354" s="332"/>
    </row>
    <row r="355">
      <c r="A355" s="331"/>
      <c r="B355" s="332"/>
      <c r="C355" s="332"/>
      <c r="D355" s="332"/>
      <c r="E355" s="332"/>
      <c r="F355" s="332"/>
      <c r="G355" s="332"/>
    </row>
    <row r="356">
      <c r="A356" s="331"/>
      <c r="B356" s="332"/>
      <c r="C356" s="332"/>
      <c r="D356" s="332"/>
      <c r="E356" s="332"/>
      <c r="F356" s="332"/>
      <c r="G356" s="332"/>
    </row>
    <row r="357">
      <c r="A357" s="331"/>
      <c r="B357" s="332"/>
      <c r="C357" s="332"/>
      <c r="D357" s="332"/>
      <c r="E357" s="332"/>
      <c r="F357" s="332"/>
      <c r="G357" s="332"/>
    </row>
    <row r="358">
      <c r="A358" s="331"/>
      <c r="B358" s="332"/>
      <c r="C358" s="332"/>
      <c r="D358" s="332"/>
      <c r="E358" s="332"/>
      <c r="F358" s="332"/>
      <c r="G358" s="332"/>
    </row>
    <row r="359">
      <c r="A359" s="331"/>
      <c r="B359" s="332"/>
      <c r="C359" s="332"/>
      <c r="D359" s="332"/>
      <c r="E359" s="332"/>
      <c r="F359" s="332"/>
      <c r="G359" s="332"/>
    </row>
    <row r="360">
      <c r="A360" s="331"/>
      <c r="B360" s="332"/>
      <c r="C360" s="332"/>
      <c r="D360" s="332"/>
      <c r="E360" s="332"/>
      <c r="F360" s="332"/>
      <c r="G360" s="332"/>
    </row>
    <row r="361">
      <c r="A361" s="331"/>
      <c r="B361" s="332"/>
      <c r="C361" s="332"/>
      <c r="D361" s="332"/>
      <c r="E361" s="332"/>
      <c r="F361" s="332"/>
      <c r="G361" s="332"/>
    </row>
    <row r="362">
      <c r="A362" s="331"/>
      <c r="B362" s="332"/>
      <c r="C362" s="332"/>
      <c r="D362" s="332"/>
      <c r="E362" s="332"/>
      <c r="F362" s="332"/>
      <c r="G362" s="332"/>
    </row>
    <row r="363">
      <c r="A363" s="331"/>
      <c r="B363" s="332"/>
      <c r="C363" s="332"/>
      <c r="D363" s="332"/>
      <c r="E363" s="332"/>
      <c r="F363" s="332"/>
      <c r="G363" s="332"/>
    </row>
    <row r="364">
      <c r="A364" s="331"/>
      <c r="B364" s="332"/>
      <c r="C364" s="332"/>
      <c r="D364" s="332"/>
      <c r="E364" s="332"/>
      <c r="F364" s="332"/>
      <c r="G364" s="332"/>
    </row>
    <row r="365">
      <c r="A365" s="331"/>
      <c r="B365" s="332"/>
      <c r="C365" s="332"/>
      <c r="D365" s="332"/>
      <c r="E365" s="332"/>
      <c r="F365" s="332"/>
      <c r="G365" s="332"/>
    </row>
    <row r="366">
      <c r="A366" s="331"/>
      <c r="B366" s="332"/>
      <c r="C366" s="332"/>
      <c r="D366" s="332"/>
      <c r="E366" s="332"/>
      <c r="F366" s="332"/>
      <c r="G366" s="332"/>
    </row>
    <row r="367">
      <c r="A367" s="331"/>
      <c r="B367" s="332"/>
      <c r="C367" s="332"/>
      <c r="D367" s="332"/>
      <c r="E367" s="332"/>
      <c r="F367" s="332"/>
      <c r="G367" s="332"/>
    </row>
    <row r="368">
      <c r="A368" s="331"/>
      <c r="B368" s="332"/>
      <c r="C368" s="332"/>
      <c r="D368" s="332"/>
      <c r="E368" s="332"/>
      <c r="F368" s="332"/>
      <c r="G368" s="332"/>
    </row>
    <row r="369">
      <c r="A369" s="331"/>
      <c r="B369" s="332"/>
      <c r="C369" s="332"/>
      <c r="D369" s="332"/>
      <c r="E369" s="332"/>
      <c r="F369" s="332"/>
      <c r="G369" s="332"/>
    </row>
    <row r="370">
      <c r="A370" s="331"/>
      <c r="B370" s="332"/>
      <c r="C370" s="332"/>
      <c r="D370" s="332"/>
      <c r="E370" s="332"/>
      <c r="F370" s="332"/>
      <c r="G370" s="332"/>
    </row>
    <row r="371">
      <c r="A371" s="331"/>
      <c r="B371" s="332"/>
      <c r="C371" s="332"/>
      <c r="D371" s="332"/>
      <c r="E371" s="332"/>
      <c r="F371" s="332"/>
      <c r="G371" s="332"/>
    </row>
    <row r="372">
      <c r="A372" s="331"/>
      <c r="B372" s="332"/>
      <c r="C372" s="332"/>
      <c r="D372" s="332"/>
      <c r="E372" s="332"/>
      <c r="F372" s="332"/>
      <c r="G372" s="332"/>
    </row>
    <row r="373">
      <c r="A373" s="331"/>
      <c r="B373" s="332"/>
      <c r="C373" s="332"/>
      <c r="D373" s="332"/>
      <c r="E373" s="332"/>
      <c r="F373" s="332"/>
      <c r="G373" s="332"/>
    </row>
    <row r="374">
      <c r="A374" s="331"/>
      <c r="B374" s="332"/>
      <c r="C374" s="332"/>
      <c r="D374" s="332"/>
      <c r="E374" s="332"/>
      <c r="F374" s="332"/>
      <c r="G374" s="332"/>
    </row>
    <row r="375">
      <c r="A375" s="331"/>
      <c r="B375" s="332"/>
      <c r="C375" s="332"/>
      <c r="D375" s="332"/>
      <c r="E375" s="332"/>
      <c r="F375" s="332"/>
      <c r="G375" s="332"/>
    </row>
    <row r="376">
      <c r="A376" s="331"/>
      <c r="B376" s="332"/>
      <c r="C376" s="332"/>
      <c r="D376" s="332"/>
      <c r="E376" s="332"/>
      <c r="F376" s="332"/>
      <c r="G376" s="332"/>
    </row>
    <row r="377">
      <c r="A377" s="331"/>
      <c r="B377" s="332"/>
      <c r="C377" s="332"/>
      <c r="D377" s="332"/>
      <c r="E377" s="332"/>
      <c r="F377" s="332"/>
      <c r="G377" s="332"/>
    </row>
    <row r="378">
      <c r="A378" s="331"/>
      <c r="B378" s="332"/>
      <c r="C378" s="332"/>
      <c r="D378" s="332"/>
      <c r="E378" s="332"/>
      <c r="F378" s="332"/>
      <c r="G378" s="332"/>
    </row>
    <row r="379">
      <c r="A379" s="331"/>
      <c r="B379" s="332"/>
      <c r="C379" s="332"/>
      <c r="D379" s="332"/>
      <c r="E379" s="332"/>
      <c r="F379" s="332"/>
      <c r="G379" s="332"/>
    </row>
    <row r="380">
      <c r="A380" s="331"/>
      <c r="B380" s="332"/>
      <c r="C380" s="332"/>
      <c r="D380" s="332"/>
      <c r="E380" s="332"/>
      <c r="F380" s="332"/>
      <c r="G380" s="332"/>
    </row>
    <row r="381">
      <c r="A381" s="331"/>
      <c r="B381" s="332"/>
      <c r="C381" s="332"/>
      <c r="D381" s="332"/>
      <c r="E381" s="332"/>
      <c r="F381" s="332"/>
      <c r="G381" s="332"/>
    </row>
    <row r="382">
      <c r="A382" s="331"/>
      <c r="B382" s="332"/>
      <c r="C382" s="332"/>
      <c r="D382" s="332"/>
      <c r="E382" s="332"/>
      <c r="F382" s="332"/>
      <c r="G382" s="332"/>
    </row>
    <row r="383">
      <c r="A383" s="331"/>
      <c r="B383" s="332"/>
      <c r="C383" s="332"/>
      <c r="D383" s="332"/>
      <c r="E383" s="332"/>
      <c r="F383" s="332"/>
      <c r="G383" s="332"/>
    </row>
    <row r="384">
      <c r="A384" s="331"/>
      <c r="B384" s="332"/>
      <c r="C384" s="332"/>
      <c r="D384" s="332"/>
      <c r="E384" s="332"/>
      <c r="F384" s="332"/>
      <c r="G384" s="332"/>
    </row>
    <row r="385">
      <c r="A385" s="331"/>
      <c r="B385" s="332"/>
      <c r="C385" s="332"/>
      <c r="D385" s="332"/>
      <c r="E385" s="332"/>
      <c r="F385" s="332"/>
      <c r="G385" s="332"/>
    </row>
    <row r="386">
      <c r="A386" s="331"/>
      <c r="B386" s="332"/>
      <c r="C386" s="332"/>
      <c r="D386" s="332"/>
      <c r="E386" s="332"/>
      <c r="F386" s="332"/>
      <c r="G386" s="332"/>
    </row>
    <row r="387">
      <c r="A387" s="331"/>
      <c r="B387" s="332"/>
      <c r="C387" s="332"/>
      <c r="D387" s="332"/>
      <c r="E387" s="332"/>
      <c r="F387" s="332"/>
      <c r="G387" s="332"/>
    </row>
    <row r="388">
      <c r="A388" s="331"/>
      <c r="B388" s="332"/>
      <c r="C388" s="332"/>
      <c r="D388" s="332"/>
      <c r="E388" s="332"/>
      <c r="F388" s="332"/>
      <c r="G388" s="332"/>
    </row>
    <row r="389">
      <c r="A389" s="331"/>
      <c r="B389" s="332"/>
      <c r="C389" s="332"/>
      <c r="D389" s="332"/>
      <c r="E389" s="332"/>
      <c r="F389" s="332"/>
      <c r="G389" s="332"/>
    </row>
    <row r="390">
      <c r="A390" s="331"/>
      <c r="B390" s="332"/>
      <c r="C390" s="332"/>
      <c r="D390" s="332"/>
      <c r="E390" s="332"/>
      <c r="F390" s="332"/>
      <c r="G390" s="332"/>
    </row>
    <row r="391">
      <c r="A391" s="331"/>
      <c r="B391" s="332"/>
      <c r="C391" s="332"/>
      <c r="D391" s="332"/>
      <c r="E391" s="332"/>
      <c r="F391" s="332"/>
      <c r="G391" s="332"/>
    </row>
    <row r="392">
      <c r="A392" s="331"/>
      <c r="B392" s="332"/>
      <c r="C392" s="332"/>
      <c r="D392" s="332"/>
      <c r="E392" s="332"/>
      <c r="F392" s="332"/>
      <c r="G392" s="332"/>
    </row>
    <row r="393">
      <c r="A393" s="331"/>
      <c r="B393" s="332"/>
      <c r="C393" s="332"/>
      <c r="D393" s="332"/>
      <c r="E393" s="332"/>
      <c r="F393" s="332"/>
      <c r="G393" s="332"/>
    </row>
    <row r="394">
      <c r="A394" s="331"/>
      <c r="B394" s="332"/>
      <c r="C394" s="332"/>
      <c r="D394" s="332"/>
      <c r="E394" s="332"/>
      <c r="F394" s="332"/>
      <c r="G394" s="332"/>
    </row>
    <row r="395">
      <c r="A395" s="331"/>
      <c r="B395" s="332"/>
      <c r="C395" s="332"/>
      <c r="D395" s="332"/>
      <c r="E395" s="332"/>
      <c r="F395" s="332"/>
      <c r="G395" s="332"/>
    </row>
    <row r="396">
      <c r="A396" s="331"/>
      <c r="B396" s="332"/>
      <c r="C396" s="332"/>
      <c r="D396" s="332"/>
      <c r="E396" s="332"/>
      <c r="F396" s="332"/>
      <c r="G396" s="332"/>
    </row>
    <row r="397">
      <c r="A397" s="331"/>
      <c r="B397" s="332"/>
      <c r="C397" s="332"/>
      <c r="D397" s="332"/>
      <c r="E397" s="332"/>
      <c r="F397" s="332"/>
      <c r="G397" s="332"/>
    </row>
    <row r="398">
      <c r="A398" s="331"/>
      <c r="B398" s="332"/>
      <c r="C398" s="332"/>
      <c r="D398" s="332"/>
      <c r="E398" s="332"/>
      <c r="F398" s="332"/>
      <c r="G398" s="332"/>
    </row>
    <row r="399">
      <c r="A399" s="331"/>
      <c r="B399" s="332"/>
      <c r="C399" s="332"/>
      <c r="D399" s="332"/>
      <c r="E399" s="332"/>
      <c r="F399" s="332"/>
      <c r="G399" s="332"/>
    </row>
    <row r="400">
      <c r="A400" s="331"/>
      <c r="B400" s="332"/>
      <c r="C400" s="332"/>
      <c r="D400" s="332"/>
      <c r="E400" s="332"/>
      <c r="F400" s="332"/>
      <c r="G400" s="332"/>
    </row>
    <row r="401">
      <c r="A401" s="331"/>
      <c r="B401" s="332"/>
      <c r="C401" s="332"/>
      <c r="D401" s="332"/>
      <c r="E401" s="332"/>
      <c r="F401" s="332"/>
      <c r="G401" s="332"/>
    </row>
    <row r="402">
      <c r="A402" s="331"/>
      <c r="B402" s="332"/>
      <c r="C402" s="332"/>
      <c r="D402" s="332"/>
      <c r="E402" s="332"/>
      <c r="F402" s="332"/>
      <c r="G402" s="332"/>
    </row>
    <row r="403">
      <c r="A403" s="331"/>
      <c r="B403" s="332"/>
      <c r="C403" s="332"/>
      <c r="D403" s="332"/>
      <c r="E403" s="332"/>
      <c r="F403" s="332"/>
      <c r="G403" s="332"/>
    </row>
    <row r="404">
      <c r="A404" s="331"/>
      <c r="B404" s="332"/>
      <c r="C404" s="332"/>
      <c r="D404" s="332"/>
      <c r="E404" s="332"/>
      <c r="F404" s="332"/>
      <c r="G404" s="332"/>
    </row>
    <row r="405">
      <c r="A405" s="331"/>
      <c r="B405" s="332"/>
      <c r="C405" s="332"/>
      <c r="D405" s="332"/>
      <c r="E405" s="332"/>
      <c r="F405" s="332"/>
      <c r="G405" s="332"/>
    </row>
    <row r="406">
      <c r="A406" s="331"/>
      <c r="B406" s="332"/>
      <c r="C406" s="332"/>
      <c r="D406" s="332"/>
      <c r="E406" s="332"/>
      <c r="F406" s="332"/>
      <c r="G406" s="332"/>
    </row>
    <row r="407">
      <c r="A407" s="331"/>
      <c r="B407" s="332"/>
      <c r="C407" s="332"/>
      <c r="D407" s="332"/>
      <c r="E407" s="332"/>
      <c r="F407" s="332"/>
      <c r="G407" s="332"/>
    </row>
    <row r="408">
      <c r="A408" s="331"/>
      <c r="B408" s="332"/>
      <c r="C408" s="332"/>
      <c r="D408" s="332"/>
      <c r="E408" s="332"/>
      <c r="F408" s="332"/>
      <c r="G408" s="332"/>
    </row>
    <row r="409">
      <c r="A409" s="331"/>
      <c r="B409" s="332"/>
      <c r="C409" s="332"/>
      <c r="D409" s="332"/>
      <c r="E409" s="332"/>
      <c r="F409" s="332"/>
      <c r="G409" s="332"/>
    </row>
    <row r="410">
      <c r="A410" s="331"/>
      <c r="B410" s="332"/>
      <c r="C410" s="332"/>
      <c r="D410" s="332"/>
      <c r="E410" s="332"/>
      <c r="F410" s="332"/>
      <c r="G410" s="332"/>
    </row>
    <row r="411">
      <c r="A411" s="331"/>
      <c r="B411" s="332"/>
      <c r="C411" s="332"/>
      <c r="D411" s="332"/>
      <c r="E411" s="332"/>
      <c r="F411" s="332"/>
      <c r="G411" s="332"/>
    </row>
    <row r="412">
      <c r="A412" s="331"/>
      <c r="B412" s="332"/>
      <c r="C412" s="332"/>
      <c r="D412" s="332"/>
      <c r="E412" s="332"/>
      <c r="F412" s="332"/>
      <c r="G412" s="332"/>
    </row>
    <row r="413">
      <c r="A413" s="331"/>
      <c r="B413" s="332"/>
      <c r="C413" s="332"/>
      <c r="D413" s="332"/>
      <c r="E413" s="332"/>
      <c r="F413" s="332"/>
      <c r="G413" s="332"/>
    </row>
    <row r="414">
      <c r="A414" s="331"/>
      <c r="B414" s="332"/>
      <c r="C414" s="332"/>
      <c r="D414" s="332"/>
      <c r="E414" s="332"/>
      <c r="F414" s="332"/>
      <c r="G414" s="332"/>
    </row>
    <row r="415">
      <c r="A415" s="331"/>
      <c r="B415" s="332"/>
      <c r="C415" s="332"/>
      <c r="D415" s="332"/>
      <c r="E415" s="332"/>
      <c r="F415" s="332"/>
      <c r="G415" s="332"/>
    </row>
    <row r="416">
      <c r="A416" s="331"/>
      <c r="B416" s="332"/>
      <c r="C416" s="332"/>
      <c r="D416" s="332"/>
      <c r="E416" s="332"/>
      <c r="F416" s="332"/>
      <c r="G416" s="332"/>
    </row>
    <row r="417">
      <c r="A417" s="331"/>
      <c r="B417" s="332"/>
      <c r="C417" s="332"/>
      <c r="D417" s="332"/>
      <c r="E417" s="332"/>
      <c r="F417" s="332"/>
      <c r="G417" s="332"/>
    </row>
    <row r="418">
      <c r="A418" s="331"/>
      <c r="B418" s="332"/>
      <c r="C418" s="332"/>
      <c r="D418" s="332"/>
      <c r="E418" s="332"/>
      <c r="F418" s="332"/>
      <c r="G418" s="332"/>
    </row>
    <row r="419">
      <c r="A419" s="331"/>
      <c r="B419" s="332"/>
      <c r="C419" s="332"/>
      <c r="D419" s="332"/>
      <c r="E419" s="332"/>
      <c r="F419" s="332"/>
      <c r="G419" s="332"/>
    </row>
    <row r="420">
      <c r="A420" s="331"/>
      <c r="B420" s="332"/>
      <c r="C420" s="332"/>
      <c r="D420" s="332"/>
      <c r="E420" s="332"/>
      <c r="F420" s="332"/>
      <c r="G420" s="332"/>
    </row>
    <row r="421">
      <c r="A421" s="331"/>
      <c r="B421" s="332"/>
      <c r="C421" s="332"/>
      <c r="D421" s="332"/>
      <c r="E421" s="332"/>
      <c r="F421" s="332"/>
      <c r="G421" s="332"/>
    </row>
    <row r="422">
      <c r="A422" s="331"/>
      <c r="B422" s="332"/>
      <c r="C422" s="332"/>
      <c r="D422" s="332"/>
      <c r="E422" s="332"/>
      <c r="F422" s="332"/>
      <c r="G422" s="332"/>
    </row>
    <row r="423">
      <c r="A423" s="331"/>
      <c r="B423" s="332"/>
      <c r="C423" s="332"/>
      <c r="D423" s="332"/>
      <c r="E423" s="332"/>
      <c r="F423" s="332"/>
      <c r="G423" s="332"/>
    </row>
    <row r="424">
      <c r="A424" s="331"/>
      <c r="B424" s="332"/>
      <c r="C424" s="332"/>
      <c r="D424" s="332"/>
      <c r="E424" s="332"/>
      <c r="F424" s="332"/>
      <c r="G424" s="332"/>
    </row>
    <row r="425">
      <c r="A425" s="331"/>
      <c r="B425" s="332"/>
      <c r="C425" s="332"/>
      <c r="D425" s="332"/>
      <c r="E425" s="332"/>
      <c r="F425" s="332"/>
      <c r="G425" s="332"/>
    </row>
    <row r="426">
      <c r="A426" s="331"/>
      <c r="B426" s="332"/>
      <c r="C426" s="332"/>
      <c r="D426" s="332"/>
      <c r="E426" s="332"/>
      <c r="F426" s="332"/>
      <c r="G426" s="332"/>
    </row>
    <row r="427">
      <c r="A427" s="331"/>
      <c r="B427" s="332"/>
      <c r="C427" s="332"/>
      <c r="D427" s="332"/>
      <c r="E427" s="332"/>
      <c r="F427" s="332"/>
      <c r="G427" s="332"/>
    </row>
    <row r="428">
      <c r="A428" s="331"/>
      <c r="B428" s="332"/>
      <c r="C428" s="332"/>
      <c r="D428" s="332"/>
      <c r="E428" s="332"/>
      <c r="F428" s="332"/>
      <c r="G428" s="332"/>
    </row>
    <row r="429">
      <c r="A429" s="331"/>
      <c r="B429" s="332"/>
      <c r="C429" s="332"/>
      <c r="D429" s="332"/>
      <c r="E429" s="332"/>
      <c r="F429" s="332"/>
      <c r="G429" s="332"/>
    </row>
    <row r="430">
      <c r="A430" s="331"/>
      <c r="B430" s="332"/>
      <c r="C430" s="332"/>
      <c r="D430" s="332"/>
      <c r="E430" s="332"/>
      <c r="F430" s="332"/>
      <c r="G430" s="332"/>
    </row>
    <row r="431">
      <c r="A431" s="331"/>
      <c r="B431" s="332"/>
      <c r="C431" s="332"/>
      <c r="D431" s="332"/>
      <c r="E431" s="332"/>
      <c r="F431" s="332"/>
      <c r="G431" s="332"/>
    </row>
    <row r="432">
      <c r="A432" s="331"/>
      <c r="B432" s="332"/>
      <c r="C432" s="332"/>
      <c r="D432" s="332"/>
      <c r="E432" s="332"/>
      <c r="F432" s="332"/>
      <c r="G432" s="332"/>
    </row>
    <row r="433">
      <c r="A433" s="331"/>
      <c r="B433" s="332"/>
      <c r="C433" s="332"/>
      <c r="D433" s="332"/>
      <c r="E433" s="332"/>
      <c r="F433" s="332"/>
      <c r="G433" s="332"/>
    </row>
    <row r="434">
      <c r="A434" s="331"/>
      <c r="B434" s="332"/>
      <c r="C434" s="332"/>
      <c r="D434" s="332"/>
      <c r="E434" s="332"/>
      <c r="F434" s="332"/>
      <c r="G434" s="332"/>
    </row>
    <row r="435">
      <c r="A435" s="331"/>
      <c r="B435" s="332"/>
      <c r="C435" s="332"/>
      <c r="D435" s="332"/>
      <c r="E435" s="332"/>
      <c r="F435" s="332"/>
      <c r="G435" s="332"/>
    </row>
    <row r="436">
      <c r="A436" s="331"/>
      <c r="B436" s="332"/>
      <c r="C436" s="332"/>
      <c r="D436" s="332"/>
      <c r="E436" s="332"/>
      <c r="F436" s="332"/>
      <c r="G436" s="332"/>
    </row>
    <row r="437">
      <c r="A437" s="331"/>
      <c r="B437" s="332"/>
      <c r="C437" s="332"/>
      <c r="D437" s="332"/>
      <c r="E437" s="332"/>
      <c r="F437" s="332"/>
      <c r="G437" s="332"/>
    </row>
    <row r="438">
      <c r="A438" s="331"/>
      <c r="B438" s="332"/>
      <c r="C438" s="332"/>
      <c r="D438" s="332"/>
      <c r="E438" s="332"/>
      <c r="F438" s="332"/>
      <c r="G438" s="332"/>
    </row>
    <row r="439">
      <c r="A439" s="331"/>
      <c r="B439" s="332"/>
      <c r="C439" s="332"/>
      <c r="D439" s="332"/>
      <c r="E439" s="332"/>
      <c r="F439" s="332"/>
      <c r="G439" s="332"/>
    </row>
    <row r="440">
      <c r="A440" s="331"/>
      <c r="B440" s="332"/>
      <c r="C440" s="332"/>
      <c r="D440" s="332"/>
      <c r="E440" s="332"/>
      <c r="F440" s="332"/>
      <c r="G440" s="332"/>
    </row>
    <row r="441">
      <c r="A441" s="331"/>
      <c r="B441" s="332"/>
      <c r="C441" s="332"/>
      <c r="D441" s="332"/>
      <c r="E441" s="332"/>
      <c r="F441" s="332"/>
      <c r="G441" s="332"/>
    </row>
    <row r="442">
      <c r="A442" s="331"/>
      <c r="B442" s="332"/>
      <c r="C442" s="332"/>
      <c r="D442" s="332"/>
      <c r="E442" s="332"/>
      <c r="F442" s="332"/>
      <c r="G442" s="332"/>
    </row>
    <row r="443">
      <c r="A443" s="331"/>
      <c r="B443" s="332"/>
      <c r="C443" s="332"/>
      <c r="D443" s="332"/>
      <c r="E443" s="332"/>
      <c r="F443" s="332"/>
      <c r="G443" s="332"/>
    </row>
    <row r="444">
      <c r="A444" s="331"/>
      <c r="B444" s="332"/>
      <c r="C444" s="332"/>
      <c r="D444" s="332"/>
      <c r="E444" s="332"/>
      <c r="F444" s="332"/>
      <c r="G444" s="332"/>
    </row>
    <row r="445">
      <c r="A445" s="331"/>
      <c r="B445" s="332"/>
      <c r="C445" s="332"/>
      <c r="D445" s="332"/>
      <c r="E445" s="332"/>
      <c r="F445" s="332"/>
      <c r="G445" s="332"/>
    </row>
    <row r="446">
      <c r="A446" s="331"/>
      <c r="B446" s="332"/>
      <c r="C446" s="332"/>
      <c r="D446" s="332"/>
      <c r="E446" s="332"/>
      <c r="F446" s="332"/>
      <c r="G446" s="332"/>
    </row>
    <row r="447">
      <c r="A447" s="331"/>
      <c r="B447" s="332"/>
      <c r="C447" s="332"/>
      <c r="D447" s="332"/>
      <c r="E447" s="332"/>
      <c r="F447" s="332"/>
      <c r="G447" s="332"/>
    </row>
    <row r="448">
      <c r="A448" s="331"/>
      <c r="B448" s="332"/>
      <c r="C448" s="332"/>
      <c r="D448" s="332"/>
      <c r="E448" s="332"/>
      <c r="F448" s="332"/>
      <c r="G448" s="332"/>
    </row>
    <row r="449">
      <c r="A449" s="331"/>
      <c r="B449" s="332"/>
      <c r="C449" s="332"/>
      <c r="D449" s="332"/>
      <c r="E449" s="332"/>
      <c r="F449" s="332"/>
      <c r="G449" s="332"/>
    </row>
    <row r="450">
      <c r="A450" s="331"/>
      <c r="B450" s="332"/>
      <c r="C450" s="332"/>
      <c r="D450" s="332"/>
      <c r="E450" s="332"/>
      <c r="F450" s="332"/>
      <c r="G450" s="332"/>
    </row>
    <row r="451">
      <c r="A451" s="331"/>
      <c r="B451" s="332"/>
      <c r="C451" s="332"/>
      <c r="D451" s="332"/>
      <c r="E451" s="332"/>
      <c r="F451" s="332"/>
      <c r="G451" s="332"/>
    </row>
    <row r="452">
      <c r="A452" s="331"/>
      <c r="B452" s="332"/>
      <c r="C452" s="332"/>
      <c r="D452" s="332"/>
      <c r="E452" s="332"/>
      <c r="F452" s="332"/>
      <c r="G452" s="332"/>
    </row>
    <row r="453">
      <c r="A453" s="331"/>
      <c r="B453" s="332"/>
      <c r="C453" s="332"/>
      <c r="D453" s="332"/>
      <c r="E453" s="332"/>
      <c r="F453" s="332"/>
      <c r="G453" s="332"/>
    </row>
    <row r="454">
      <c r="A454" s="331"/>
      <c r="B454" s="332"/>
      <c r="C454" s="332"/>
      <c r="D454" s="332"/>
      <c r="E454" s="332"/>
      <c r="F454" s="332"/>
      <c r="G454" s="332"/>
    </row>
    <row r="455">
      <c r="A455" s="331"/>
      <c r="B455" s="332"/>
      <c r="C455" s="332"/>
      <c r="D455" s="332"/>
      <c r="E455" s="332"/>
      <c r="F455" s="332"/>
      <c r="G455" s="332"/>
    </row>
    <row r="456">
      <c r="A456" s="331"/>
      <c r="B456" s="332"/>
      <c r="C456" s="332"/>
      <c r="D456" s="332"/>
      <c r="E456" s="332"/>
      <c r="F456" s="332"/>
      <c r="G456" s="332"/>
    </row>
    <row r="457">
      <c r="A457" s="331"/>
      <c r="B457" s="332"/>
      <c r="C457" s="332"/>
      <c r="D457" s="332"/>
      <c r="E457" s="332"/>
      <c r="F457" s="332"/>
      <c r="G457" s="332"/>
    </row>
    <row r="458">
      <c r="A458" s="331"/>
      <c r="B458" s="332"/>
      <c r="C458" s="332"/>
      <c r="D458" s="332"/>
      <c r="E458" s="332"/>
      <c r="F458" s="332"/>
      <c r="G458" s="332"/>
    </row>
    <row r="459">
      <c r="A459" s="331"/>
      <c r="B459" s="332"/>
      <c r="C459" s="332"/>
      <c r="D459" s="332"/>
      <c r="E459" s="332"/>
      <c r="F459" s="332"/>
      <c r="G459" s="332"/>
    </row>
    <row r="460">
      <c r="A460" s="331"/>
      <c r="B460" s="332"/>
      <c r="C460" s="332"/>
      <c r="D460" s="332"/>
      <c r="E460" s="332"/>
      <c r="F460" s="332"/>
      <c r="G460" s="332"/>
    </row>
    <row r="461">
      <c r="A461" s="331"/>
      <c r="B461" s="332"/>
      <c r="C461" s="332"/>
      <c r="D461" s="332"/>
      <c r="E461" s="332"/>
      <c r="F461" s="332"/>
      <c r="G461" s="332"/>
    </row>
    <row r="462">
      <c r="A462" s="331"/>
      <c r="B462" s="332"/>
      <c r="C462" s="332"/>
      <c r="D462" s="332"/>
      <c r="E462" s="332"/>
      <c r="F462" s="332"/>
      <c r="G462" s="332"/>
    </row>
    <row r="463">
      <c r="A463" s="331"/>
      <c r="B463" s="332"/>
      <c r="C463" s="332"/>
      <c r="D463" s="332"/>
      <c r="E463" s="332"/>
      <c r="F463" s="332"/>
      <c r="G463" s="332"/>
    </row>
    <row r="464">
      <c r="A464" s="331"/>
      <c r="B464" s="332"/>
      <c r="C464" s="332"/>
      <c r="D464" s="332"/>
      <c r="E464" s="332"/>
      <c r="F464" s="332"/>
      <c r="G464" s="332"/>
    </row>
    <row r="465">
      <c r="A465" s="331"/>
      <c r="B465" s="332"/>
      <c r="C465" s="332"/>
      <c r="D465" s="332"/>
      <c r="E465" s="332"/>
      <c r="F465" s="332"/>
      <c r="G465" s="332"/>
    </row>
    <row r="466">
      <c r="A466" s="331"/>
      <c r="B466" s="332"/>
      <c r="C466" s="332"/>
      <c r="D466" s="332"/>
      <c r="E466" s="332"/>
      <c r="F466" s="332"/>
      <c r="G466" s="332"/>
    </row>
    <row r="467">
      <c r="A467" s="331"/>
      <c r="B467" s="332"/>
      <c r="C467" s="332"/>
      <c r="D467" s="332"/>
      <c r="E467" s="332"/>
      <c r="F467" s="332"/>
      <c r="G467" s="332"/>
    </row>
    <row r="468">
      <c r="A468" s="331"/>
      <c r="B468" s="332"/>
      <c r="C468" s="332"/>
      <c r="D468" s="332"/>
      <c r="E468" s="332"/>
      <c r="F468" s="332"/>
      <c r="G468" s="332"/>
    </row>
    <row r="469">
      <c r="A469" s="331"/>
      <c r="B469" s="332"/>
      <c r="C469" s="332"/>
      <c r="D469" s="332"/>
      <c r="E469" s="332"/>
      <c r="F469" s="332"/>
      <c r="G469" s="332"/>
    </row>
    <row r="470">
      <c r="A470" s="331"/>
      <c r="B470" s="332"/>
      <c r="C470" s="332"/>
      <c r="D470" s="332"/>
      <c r="E470" s="332"/>
      <c r="F470" s="332"/>
      <c r="G470" s="332"/>
    </row>
    <row r="471">
      <c r="A471" s="331"/>
      <c r="B471" s="332"/>
      <c r="C471" s="332"/>
      <c r="D471" s="332"/>
      <c r="E471" s="332"/>
      <c r="F471" s="332"/>
      <c r="G471" s="332"/>
    </row>
    <row r="472">
      <c r="A472" s="331"/>
      <c r="B472" s="332"/>
      <c r="C472" s="332"/>
      <c r="D472" s="332"/>
      <c r="E472" s="332"/>
      <c r="F472" s="332"/>
      <c r="G472" s="332"/>
    </row>
    <row r="473">
      <c r="A473" s="331"/>
      <c r="B473" s="332"/>
      <c r="C473" s="332"/>
      <c r="D473" s="332"/>
      <c r="E473" s="332"/>
      <c r="F473" s="332"/>
      <c r="G473" s="332"/>
    </row>
    <row r="474">
      <c r="A474" s="331"/>
      <c r="B474" s="332"/>
      <c r="C474" s="332"/>
      <c r="D474" s="332"/>
      <c r="E474" s="332"/>
      <c r="F474" s="332"/>
      <c r="G474" s="332"/>
    </row>
    <row r="475">
      <c r="A475" s="331"/>
      <c r="B475" s="332"/>
      <c r="C475" s="332"/>
      <c r="D475" s="332"/>
      <c r="E475" s="332"/>
      <c r="F475" s="332"/>
      <c r="G475" s="332"/>
    </row>
    <row r="476">
      <c r="A476" s="331"/>
      <c r="B476" s="332"/>
      <c r="C476" s="332"/>
      <c r="D476" s="332"/>
      <c r="E476" s="332"/>
      <c r="F476" s="332"/>
      <c r="G476" s="332"/>
    </row>
    <row r="477">
      <c r="A477" s="331"/>
      <c r="B477" s="332"/>
      <c r="C477" s="332"/>
      <c r="D477" s="332"/>
      <c r="E477" s="332"/>
      <c r="F477" s="332"/>
      <c r="G477" s="332"/>
    </row>
    <row r="478">
      <c r="A478" s="331"/>
      <c r="B478" s="332"/>
      <c r="C478" s="332"/>
      <c r="D478" s="332"/>
      <c r="E478" s="332"/>
      <c r="F478" s="332"/>
      <c r="G478" s="332"/>
    </row>
    <row r="479">
      <c r="A479" s="331"/>
      <c r="B479" s="332"/>
      <c r="C479" s="332"/>
      <c r="D479" s="332"/>
      <c r="E479" s="332"/>
      <c r="F479" s="332"/>
      <c r="G479" s="332"/>
    </row>
    <row r="480">
      <c r="A480" s="331"/>
      <c r="B480" s="332"/>
      <c r="C480" s="332"/>
      <c r="D480" s="332"/>
      <c r="E480" s="332"/>
      <c r="F480" s="332"/>
      <c r="G480" s="332"/>
    </row>
    <row r="481">
      <c r="A481" s="331"/>
      <c r="B481" s="332"/>
      <c r="C481" s="332"/>
      <c r="D481" s="332"/>
      <c r="E481" s="332"/>
      <c r="F481" s="332"/>
      <c r="G481" s="332"/>
    </row>
    <row r="482">
      <c r="A482" s="331"/>
      <c r="B482" s="332"/>
      <c r="C482" s="332"/>
      <c r="D482" s="332"/>
      <c r="E482" s="332"/>
      <c r="F482" s="332"/>
      <c r="G482" s="332"/>
    </row>
    <row r="483">
      <c r="A483" s="331"/>
      <c r="B483" s="332"/>
      <c r="C483" s="332"/>
      <c r="D483" s="332"/>
      <c r="E483" s="332"/>
      <c r="F483" s="332"/>
      <c r="G483" s="332"/>
    </row>
    <row r="484">
      <c r="A484" s="331"/>
      <c r="B484" s="332"/>
      <c r="C484" s="332"/>
      <c r="D484" s="332"/>
      <c r="E484" s="332"/>
      <c r="F484" s="332"/>
      <c r="G484" s="332"/>
    </row>
    <row r="485">
      <c r="A485" s="331"/>
      <c r="B485" s="332"/>
      <c r="C485" s="332"/>
      <c r="D485" s="332"/>
      <c r="E485" s="332"/>
      <c r="F485" s="332"/>
      <c r="G485" s="332"/>
    </row>
    <row r="486">
      <c r="A486" s="331"/>
      <c r="B486" s="332"/>
      <c r="C486" s="332"/>
      <c r="D486" s="332"/>
      <c r="E486" s="332"/>
      <c r="F486" s="332"/>
      <c r="G486" s="332"/>
    </row>
    <row r="487">
      <c r="A487" s="331"/>
      <c r="B487" s="332"/>
      <c r="C487" s="332"/>
      <c r="D487" s="332"/>
      <c r="E487" s="332"/>
      <c r="F487" s="332"/>
      <c r="G487" s="332"/>
    </row>
    <row r="488">
      <c r="A488" s="331"/>
      <c r="B488" s="332"/>
      <c r="C488" s="332"/>
      <c r="D488" s="332"/>
      <c r="E488" s="332"/>
      <c r="F488" s="332"/>
      <c r="G488" s="332"/>
    </row>
    <row r="489">
      <c r="A489" s="331"/>
      <c r="B489" s="332"/>
      <c r="C489" s="332"/>
      <c r="D489" s="332"/>
      <c r="E489" s="332"/>
      <c r="F489" s="332"/>
      <c r="G489" s="332"/>
    </row>
    <row r="490">
      <c r="A490" s="331"/>
      <c r="B490" s="332"/>
      <c r="C490" s="332"/>
      <c r="D490" s="332"/>
      <c r="E490" s="332"/>
      <c r="F490" s="332"/>
      <c r="G490" s="332"/>
    </row>
    <row r="491">
      <c r="A491" s="331"/>
      <c r="B491" s="332"/>
      <c r="C491" s="332"/>
      <c r="D491" s="332"/>
      <c r="E491" s="332"/>
      <c r="F491" s="332"/>
      <c r="G491" s="332"/>
    </row>
    <row r="492">
      <c r="A492" s="331"/>
      <c r="B492" s="332"/>
      <c r="C492" s="332"/>
      <c r="D492" s="332"/>
      <c r="E492" s="332"/>
      <c r="F492" s="332"/>
      <c r="G492" s="332"/>
    </row>
    <row r="493">
      <c r="A493" s="331"/>
      <c r="B493" s="332"/>
      <c r="C493" s="332"/>
      <c r="D493" s="332"/>
      <c r="E493" s="332"/>
      <c r="F493" s="332"/>
      <c r="G493" s="332"/>
    </row>
    <row r="494">
      <c r="A494" s="331"/>
      <c r="B494" s="332"/>
      <c r="C494" s="332"/>
      <c r="D494" s="332"/>
      <c r="E494" s="332"/>
      <c r="F494" s="332"/>
      <c r="G494" s="332"/>
    </row>
    <row r="495">
      <c r="A495" s="331"/>
      <c r="B495" s="332"/>
      <c r="C495" s="332"/>
      <c r="D495" s="332"/>
      <c r="E495" s="332"/>
      <c r="F495" s="332"/>
      <c r="G495" s="332"/>
    </row>
    <row r="496">
      <c r="A496" s="331"/>
      <c r="B496" s="332"/>
      <c r="C496" s="332"/>
      <c r="D496" s="332"/>
      <c r="E496" s="332"/>
      <c r="F496" s="332"/>
      <c r="G496" s="332"/>
    </row>
    <row r="497">
      <c r="A497" s="331"/>
      <c r="B497" s="332"/>
      <c r="C497" s="332"/>
      <c r="D497" s="332"/>
      <c r="E497" s="332"/>
      <c r="F497" s="332"/>
      <c r="G497" s="332"/>
    </row>
    <row r="498">
      <c r="A498" s="331"/>
      <c r="B498" s="332"/>
      <c r="C498" s="332"/>
      <c r="D498" s="332"/>
      <c r="E498" s="332"/>
      <c r="F498" s="332"/>
      <c r="G498" s="332"/>
    </row>
    <row r="499">
      <c r="A499" s="331"/>
      <c r="B499" s="332"/>
      <c r="C499" s="332"/>
      <c r="D499" s="332"/>
      <c r="E499" s="332"/>
      <c r="F499" s="332"/>
      <c r="G499" s="332"/>
    </row>
    <row r="500">
      <c r="A500" s="331"/>
      <c r="B500" s="332"/>
      <c r="C500" s="332"/>
      <c r="D500" s="332"/>
      <c r="E500" s="332"/>
      <c r="F500" s="332"/>
      <c r="G500" s="332"/>
    </row>
    <row r="501">
      <c r="A501" s="331"/>
      <c r="B501" s="332"/>
      <c r="C501" s="332"/>
      <c r="D501" s="332"/>
      <c r="E501" s="332"/>
      <c r="F501" s="332"/>
      <c r="G501" s="332"/>
    </row>
    <row r="502">
      <c r="A502" s="331"/>
      <c r="B502" s="332"/>
      <c r="C502" s="332"/>
      <c r="D502" s="332"/>
      <c r="E502" s="332"/>
      <c r="F502" s="332"/>
      <c r="G502" s="332"/>
    </row>
    <row r="503">
      <c r="A503" s="331"/>
      <c r="B503" s="332"/>
      <c r="C503" s="332"/>
      <c r="D503" s="332"/>
      <c r="E503" s="332"/>
      <c r="F503" s="332"/>
      <c r="G503" s="332"/>
    </row>
    <row r="504">
      <c r="A504" s="331"/>
      <c r="B504" s="332"/>
      <c r="C504" s="332"/>
      <c r="D504" s="332"/>
      <c r="E504" s="332"/>
      <c r="F504" s="332"/>
      <c r="G504" s="332"/>
    </row>
    <row r="505">
      <c r="A505" s="331"/>
      <c r="B505" s="332"/>
      <c r="C505" s="332"/>
      <c r="D505" s="332"/>
      <c r="E505" s="332"/>
      <c r="F505" s="332"/>
      <c r="G505" s="332"/>
    </row>
    <row r="506">
      <c r="A506" s="331"/>
      <c r="B506" s="332"/>
      <c r="C506" s="332"/>
      <c r="D506" s="332"/>
      <c r="E506" s="332"/>
      <c r="F506" s="332"/>
      <c r="G506" s="332"/>
    </row>
    <row r="507">
      <c r="A507" s="331"/>
      <c r="B507" s="332"/>
      <c r="C507" s="332"/>
      <c r="D507" s="332"/>
      <c r="E507" s="332"/>
      <c r="F507" s="332"/>
      <c r="G507" s="332"/>
    </row>
    <row r="508">
      <c r="A508" s="331"/>
      <c r="B508" s="332"/>
      <c r="C508" s="332"/>
      <c r="D508" s="332"/>
      <c r="E508" s="332"/>
      <c r="F508" s="332"/>
      <c r="G508" s="332"/>
    </row>
    <row r="509">
      <c r="A509" s="331"/>
      <c r="B509" s="332"/>
      <c r="C509" s="332"/>
      <c r="D509" s="332"/>
      <c r="E509" s="332"/>
      <c r="F509" s="332"/>
      <c r="G509" s="332"/>
    </row>
    <row r="510">
      <c r="A510" s="331"/>
      <c r="B510" s="332"/>
      <c r="C510" s="332"/>
      <c r="D510" s="332"/>
      <c r="E510" s="332"/>
      <c r="F510" s="332"/>
      <c r="G510" s="332"/>
    </row>
    <row r="511">
      <c r="A511" s="331"/>
      <c r="B511" s="332"/>
      <c r="C511" s="332"/>
      <c r="D511" s="332"/>
      <c r="E511" s="332"/>
      <c r="F511" s="332"/>
      <c r="G511" s="332"/>
    </row>
    <row r="512">
      <c r="A512" s="331"/>
      <c r="B512" s="332"/>
      <c r="C512" s="332"/>
      <c r="D512" s="332"/>
      <c r="E512" s="332"/>
      <c r="F512" s="332"/>
      <c r="G512" s="332"/>
    </row>
    <row r="513">
      <c r="A513" s="331"/>
      <c r="B513" s="332"/>
      <c r="C513" s="332"/>
      <c r="D513" s="332"/>
      <c r="E513" s="332"/>
      <c r="F513" s="332"/>
      <c r="G513" s="332"/>
    </row>
    <row r="514">
      <c r="A514" s="331"/>
      <c r="B514" s="332"/>
      <c r="C514" s="332"/>
      <c r="D514" s="332"/>
      <c r="E514" s="332"/>
      <c r="F514" s="332"/>
      <c r="G514" s="332"/>
    </row>
    <row r="515">
      <c r="A515" s="331"/>
      <c r="B515" s="332"/>
      <c r="C515" s="332"/>
      <c r="D515" s="332"/>
      <c r="E515" s="332"/>
      <c r="F515" s="332"/>
      <c r="G515" s="332"/>
    </row>
    <row r="516">
      <c r="A516" s="331"/>
      <c r="B516" s="332"/>
      <c r="C516" s="332"/>
      <c r="D516" s="332"/>
      <c r="E516" s="332"/>
      <c r="F516" s="332"/>
      <c r="G516" s="332"/>
    </row>
    <row r="517">
      <c r="A517" s="331"/>
      <c r="B517" s="332"/>
      <c r="C517" s="332"/>
      <c r="D517" s="332"/>
      <c r="E517" s="332"/>
      <c r="F517" s="332"/>
      <c r="G517" s="332"/>
    </row>
    <row r="518">
      <c r="A518" s="331"/>
      <c r="B518" s="332"/>
      <c r="C518" s="332"/>
      <c r="D518" s="332"/>
      <c r="E518" s="332"/>
      <c r="F518" s="332"/>
      <c r="G518" s="332"/>
    </row>
    <row r="519">
      <c r="A519" s="331"/>
      <c r="B519" s="332"/>
      <c r="C519" s="332"/>
      <c r="D519" s="332"/>
      <c r="E519" s="332"/>
      <c r="F519" s="332"/>
      <c r="G519" s="332"/>
    </row>
    <row r="520">
      <c r="A520" s="331"/>
      <c r="B520" s="332"/>
      <c r="C520" s="332"/>
      <c r="D520" s="332"/>
      <c r="E520" s="332"/>
      <c r="F520" s="332"/>
      <c r="G520" s="332"/>
    </row>
    <row r="521">
      <c r="A521" s="331"/>
      <c r="B521" s="332"/>
      <c r="C521" s="332"/>
      <c r="D521" s="332"/>
      <c r="E521" s="332"/>
      <c r="F521" s="332"/>
      <c r="G521" s="332"/>
    </row>
    <row r="522">
      <c r="A522" s="331"/>
      <c r="B522" s="332"/>
      <c r="C522" s="332"/>
      <c r="D522" s="332"/>
      <c r="E522" s="332"/>
      <c r="F522" s="332"/>
      <c r="G522" s="332"/>
    </row>
    <row r="523">
      <c r="A523" s="331"/>
      <c r="B523" s="332"/>
      <c r="C523" s="332"/>
      <c r="D523" s="332"/>
      <c r="E523" s="332"/>
      <c r="F523" s="332"/>
      <c r="G523" s="332"/>
    </row>
    <row r="524">
      <c r="A524" s="331"/>
      <c r="B524" s="332"/>
      <c r="C524" s="332"/>
      <c r="D524" s="332"/>
      <c r="E524" s="332"/>
      <c r="F524" s="332"/>
      <c r="G524" s="332"/>
    </row>
    <row r="525">
      <c r="A525" s="331"/>
      <c r="B525" s="332"/>
      <c r="C525" s="332"/>
      <c r="D525" s="332"/>
      <c r="E525" s="332"/>
      <c r="F525" s="332"/>
      <c r="G525" s="332"/>
    </row>
    <row r="526">
      <c r="A526" s="331"/>
      <c r="B526" s="332"/>
      <c r="C526" s="332"/>
      <c r="D526" s="332"/>
      <c r="E526" s="332"/>
      <c r="F526" s="332"/>
      <c r="G526" s="332"/>
    </row>
    <row r="527">
      <c r="A527" s="331"/>
      <c r="B527" s="332"/>
      <c r="C527" s="332"/>
      <c r="D527" s="332"/>
      <c r="E527" s="332"/>
      <c r="F527" s="332"/>
      <c r="G527" s="332"/>
    </row>
    <row r="528">
      <c r="A528" s="331"/>
      <c r="B528" s="332"/>
      <c r="C528" s="332"/>
      <c r="D528" s="332"/>
      <c r="E528" s="332"/>
      <c r="F528" s="332"/>
      <c r="G528" s="332"/>
    </row>
    <row r="529">
      <c r="A529" s="331"/>
      <c r="B529" s="332"/>
      <c r="C529" s="332"/>
      <c r="D529" s="332"/>
      <c r="E529" s="332"/>
      <c r="F529" s="332"/>
      <c r="G529" s="332"/>
    </row>
    <row r="530">
      <c r="A530" s="331"/>
      <c r="B530" s="332"/>
      <c r="C530" s="332"/>
      <c r="D530" s="332"/>
      <c r="E530" s="332"/>
      <c r="F530" s="332"/>
      <c r="G530" s="332"/>
    </row>
    <row r="531">
      <c r="A531" s="331"/>
      <c r="B531" s="332"/>
      <c r="C531" s="332"/>
      <c r="D531" s="332"/>
      <c r="E531" s="332"/>
      <c r="F531" s="332"/>
      <c r="G531" s="332"/>
    </row>
    <row r="532">
      <c r="A532" s="331"/>
      <c r="B532" s="332"/>
      <c r="C532" s="332"/>
      <c r="D532" s="332"/>
      <c r="E532" s="332"/>
      <c r="F532" s="332"/>
      <c r="G532" s="332"/>
    </row>
    <row r="533">
      <c r="A533" s="331"/>
      <c r="B533" s="332"/>
      <c r="C533" s="332"/>
      <c r="D533" s="332"/>
      <c r="E533" s="332"/>
      <c r="F533" s="332"/>
      <c r="G533" s="332"/>
    </row>
    <row r="534">
      <c r="A534" s="331"/>
      <c r="B534" s="332"/>
      <c r="C534" s="332"/>
      <c r="D534" s="332"/>
      <c r="E534" s="332"/>
      <c r="F534" s="332"/>
      <c r="G534" s="332"/>
    </row>
    <row r="535">
      <c r="A535" s="331"/>
      <c r="B535" s="332"/>
      <c r="C535" s="332"/>
      <c r="D535" s="332"/>
      <c r="E535" s="332"/>
      <c r="F535" s="332"/>
      <c r="G535" s="332"/>
    </row>
    <row r="536">
      <c r="A536" s="331"/>
      <c r="B536" s="332"/>
      <c r="C536" s="332"/>
      <c r="D536" s="332"/>
      <c r="E536" s="332"/>
      <c r="F536" s="332"/>
      <c r="G536" s="332"/>
    </row>
    <row r="537">
      <c r="A537" s="331"/>
      <c r="B537" s="332"/>
      <c r="C537" s="332"/>
      <c r="D537" s="332"/>
      <c r="E537" s="332"/>
      <c r="F537" s="332"/>
      <c r="G537" s="332"/>
    </row>
    <row r="538">
      <c r="A538" s="331"/>
      <c r="B538" s="332"/>
      <c r="C538" s="332"/>
      <c r="D538" s="332"/>
      <c r="E538" s="332"/>
      <c r="F538" s="332"/>
      <c r="G538" s="332"/>
    </row>
    <row r="539">
      <c r="A539" s="331"/>
      <c r="B539" s="332"/>
      <c r="C539" s="332"/>
      <c r="D539" s="332"/>
      <c r="E539" s="332"/>
      <c r="F539" s="332"/>
      <c r="G539" s="332"/>
    </row>
    <row r="540">
      <c r="A540" s="331"/>
      <c r="B540" s="332"/>
      <c r="C540" s="332"/>
      <c r="D540" s="332"/>
      <c r="E540" s="332"/>
      <c r="F540" s="332"/>
      <c r="G540" s="332"/>
    </row>
    <row r="541">
      <c r="A541" s="331"/>
      <c r="B541" s="332"/>
      <c r="C541" s="332"/>
      <c r="D541" s="332"/>
      <c r="E541" s="332"/>
      <c r="F541" s="332"/>
      <c r="G541" s="332"/>
    </row>
    <row r="542">
      <c r="A542" s="331"/>
      <c r="B542" s="332"/>
      <c r="C542" s="332"/>
      <c r="D542" s="332"/>
      <c r="E542" s="332"/>
      <c r="F542" s="332"/>
      <c r="G542" s="332"/>
    </row>
    <row r="543">
      <c r="A543" s="331"/>
      <c r="B543" s="332"/>
      <c r="C543" s="332"/>
      <c r="D543" s="332"/>
      <c r="E543" s="332"/>
      <c r="F543" s="332"/>
      <c r="G543" s="332"/>
    </row>
    <row r="544">
      <c r="A544" s="331"/>
      <c r="B544" s="332"/>
      <c r="C544" s="332"/>
      <c r="D544" s="332"/>
      <c r="E544" s="332"/>
      <c r="F544" s="332"/>
      <c r="G544" s="332"/>
    </row>
    <row r="545">
      <c r="A545" s="331"/>
      <c r="B545" s="332"/>
      <c r="C545" s="332"/>
      <c r="D545" s="332"/>
      <c r="E545" s="332"/>
      <c r="F545" s="332"/>
      <c r="G545" s="332"/>
    </row>
    <row r="546">
      <c r="A546" s="331"/>
      <c r="B546" s="332"/>
      <c r="C546" s="332"/>
      <c r="D546" s="332"/>
      <c r="E546" s="332"/>
      <c r="F546" s="332"/>
      <c r="G546" s="332"/>
    </row>
    <row r="547">
      <c r="A547" s="331"/>
      <c r="B547" s="332"/>
      <c r="C547" s="332"/>
      <c r="D547" s="332"/>
      <c r="E547" s="332"/>
      <c r="F547" s="332"/>
      <c r="G547" s="332"/>
    </row>
    <row r="548">
      <c r="A548" s="331"/>
      <c r="B548" s="332"/>
      <c r="C548" s="332"/>
      <c r="D548" s="332"/>
      <c r="E548" s="332"/>
      <c r="F548" s="332"/>
      <c r="G548" s="332"/>
    </row>
    <row r="549">
      <c r="A549" s="331"/>
      <c r="B549" s="332"/>
      <c r="C549" s="332"/>
      <c r="D549" s="332"/>
      <c r="E549" s="332"/>
      <c r="F549" s="332"/>
      <c r="G549" s="332"/>
    </row>
    <row r="550">
      <c r="A550" s="331"/>
      <c r="B550" s="332"/>
      <c r="C550" s="332"/>
      <c r="D550" s="332"/>
      <c r="E550" s="332"/>
      <c r="F550" s="332"/>
      <c r="G550" s="332"/>
    </row>
    <row r="551">
      <c r="A551" s="331"/>
      <c r="B551" s="332"/>
      <c r="C551" s="332"/>
      <c r="D551" s="332"/>
      <c r="E551" s="332"/>
      <c r="F551" s="332"/>
      <c r="G551" s="332"/>
    </row>
    <row r="552">
      <c r="A552" s="331"/>
      <c r="B552" s="332"/>
      <c r="C552" s="332"/>
      <c r="D552" s="332"/>
      <c r="E552" s="332"/>
      <c r="F552" s="332"/>
      <c r="G552" s="332"/>
    </row>
    <row r="553">
      <c r="A553" s="331"/>
      <c r="B553" s="332"/>
      <c r="C553" s="332"/>
      <c r="D553" s="332"/>
      <c r="E553" s="332"/>
      <c r="F553" s="332"/>
      <c r="G553" s="332"/>
    </row>
    <row r="554">
      <c r="A554" s="331"/>
      <c r="B554" s="332"/>
      <c r="C554" s="332"/>
      <c r="D554" s="332"/>
      <c r="E554" s="332"/>
      <c r="F554" s="332"/>
      <c r="G554" s="332"/>
    </row>
    <row r="555">
      <c r="A555" s="331"/>
      <c r="B555" s="332"/>
      <c r="C555" s="332"/>
      <c r="D555" s="332"/>
      <c r="E555" s="332"/>
      <c r="F555" s="332"/>
      <c r="G555" s="332"/>
    </row>
    <row r="556">
      <c r="A556" s="331"/>
      <c r="B556" s="332"/>
      <c r="C556" s="332"/>
      <c r="D556" s="332"/>
      <c r="E556" s="332"/>
      <c r="F556" s="332"/>
      <c r="G556" s="332"/>
    </row>
    <row r="557">
      <c r="A557" s="331"/>
      <c r="B557" s="332"/>
      <c r="C557" s="332"/>
      <c r="D557" s="332"/>
      <c r="E557" s="332"/>
      <c r="F557" s="332"/>
      <c r="G557" s="332"/>
    </row>
    <row r="558">
      <c r="A558" s="331"/>
      <c r="B558" s="332"/>
      <c r="C558" s="332"/>
      <c r="D558" s="332"/>
      <c r="E558" s="332"/>
      <c r="F558" s="332"/>
      <c r="G558" s="332"/>
    </row>
    <row r="559">
      <c r="A559" s="331"/>
      <c r="B559" s="332"/>
      <c r="C559" s="332"/>
      <c r="D559" s="332"/>
      <c r="E559" s="332"/>
      <c r="F559" s="332"/>
      <c r="G559" s="332"/>
    </row>
    <row r="560">
      <c r="A560" s="331"/>
      <c r="B560" s="332"/>
      <c r="C560" s="332"/>
      <c r="D560" s="332"/>
      <c r="E560" s="332"/>
      <c r="F560" s="332"/>
      <c r="G560" s="332"/>
    </row>
    <row r="561">
      <c r="A561" s="331"/>
      <c r="B561" s="332"/>
      <c r="C561" s="332"/>
      <c r="D561" s="332"/>
      <c r="E561" s="332"/>
      <c r="F561" s="332"/>
      <c r="G561" s="332"/>
    </row>
    <row r="562">
      <c r="A562" s="331"/>
      <c r="B562" s="332"/>
      <c r="C562" s="332"/>
      <c r="D562" s="332"/>
      <c r="E562" s="332"/>
      <c r="F562" s="332"/>
      <c r="G562" s="332"/>
    </row>
    <row r="563">
      <c r="A563" s="331"/>
      <c r="B563" s="332"/>
      <c r="C563" s="332"/>
      <c r="D563" s="332"/>
      <c r="E563" s="332"/>
      <c r="F563" s="332"/>
      <c r="G563" s="332"/>
    </row>
    <row r="564">
      <c r="A564" s="331"/>
      <c r="B564" s="332"/>
      <c r="C564" s="332"/>
      <c r="D564" s="332"/>
      <c r="E564" s="332"/>
      <c r="F564" s="332"/>
      <c r="G564" s="332"/>
    </row>
    <row r="565">
      <c r="A565" s="331"/>
      <c r="B565" s="332"/>
      <c r="C565" s="332"/>
      <c r="D565" s="332"/>
      <c r="E565" s="332"/>
      <c r="F565" s="332"/>
      <c r="G565" s="332"/>
    </row>
    <row r="566">
      <c r="A566" s="331"/>
      <c r="B566" s="332"/>
      <c r="C566" s="332"/>
      <c r="D566" s="332"/>
      <c r="E566" s="332"/>
      <c r="F566" s="332"/>
      <c r="G566" s="332"/>
    </row>
    <row r="567">
      <c r="A567" s="331"/>
      <c r="B567" s="332"/>
      <c r="C567" s="332"/>
      <c r="D567" s="332"/>
      <c r="E567" s="332"/>
      <c r="F567" s="332"/>
      <c r="G567" s="332"/>
    </row>
    <row r="568">
      <c r="A568" s="331"/>
      <c r="B568" s="332"/>
      <c r="C568" s="332"/>
      <c r="D568" s="332"/>
      <c r="E568" s="332"/>
      <c r="F568" s="332"/>
      <c r="G568" s="332"/>
    </row>
    <row r="569">
      <c r="A569" s="331"/>
      <c r="B569" s="332"/>
      <c r="C569" s="332"/>
      <c r="D569" s="332"/>
      <c r="E569" s="332"/>
      <c r="F569" s="332"/>
      <c r="G569" s="332"/>
    </row>
    <row r="570">
      <c r="A570" s="331"/>
      <c r="B570" s="332"/>
      <c r="C570" s="332"/>
      <c r="D570" s="332"/>
      <c r="E570" s="332"/>
      <c r="F570" s="332"/>
      <c r="G570" s="332"/>
    </row>
    <row r="571">
      <c r="A571" s="331"/>
      <c r="B571" s="332"/>
      <c r="C571" s="332"/>
      <c r="D571" s="332"/>
      <c r="E571" s="332"/>
      <c r="F571" s="332"/>
      <c r="G571" s="332"/>
    </row>
    <row r="572">
      <c r="A572" s="331"/>
      <c r="B572" s="332"/>
      <c r="C572" s="332"/>
      <c r="D572" s="332"/>
      <c r="E572" s="332"/>
      <c r="F572" s="332"/>
      <c r="G572" s="332"/>
    </row>
    <row r="573">
      <c r="A573" s="331"/>
      <c r="B573" s="332"/>
      <c r="C573" s="332"/>
      <c r="D573" s="332"/>
      <c r="E573" s="332"/>
      <c r="F573" s="332"/>
      <c r="G573" s="332"/>
    </row>
    <row r="574">
      <c r="A574" s="331"/>
      <c r="B574" s="332"/>
      <c r="C574" s="332"/>
      <c r="D574" s="332"/>
      <c r="E574" s="332"/>
      <c r="F574" s="332"/>
      <c r="G574" s="332"/>
    </row>
    <row r="575">
      <c r="A575" s="331"/>
      <c r="B575" s="332"/>
      <c r="C575" s="332"/>
      <c r="D575" s="332"/>
      <c r="E575" s="332"/>
      <c r="F575" s="332"/>
      <c r="G575" s="332"/>
    </row>
    <row r="576">
      <c r="A576" s="331"/>
      <c r="B576" s="332"/>
      <c r="C576" s="332"/>
      <c r="D576" s="332"/>
      <c r="E576" s="332"/>
      <c r="F576" s="332"/>
      <c r="G576" s="332"/>
    </row>
    <row r="577">
      <c r="A577" s="331"/>
      <c r="B577" s="332"/>
      <c r="C577" s="332"/>
      <c r="D577" s="332"/>
      <c r="E577" s="332"/>
      <c r="F577" s="332"/>
      <c r="G577" s="332"/>
    </row>
    <row r="578">
      <c r="A578" s="331"/>
      <c r="B578" s="332"/>
      <c r="C578" s="332"/>
      <c r="D578" s="332"/>
      <c r="E578" s="332"/>
      <c r="F578" s="332"/>
      <c r="G578" s="332"/>
    </row>
    <row r="579">
      <c r="A579" s="331"/>
      <c r="B579" s="332"/>
      <c r="C579" s="332"/>
      <c r="D579" s="332"/>
      <c r="E579" s="332"/>
      <c r="F579" s="332"/>
      <c r="G579" s="332"/>
    </row>
    <row r="580">
      <c r="A580" s="331"/>
      <c r="B580" s="332"/>
      <c r="C580" s="332"/>
      <c r="D580" s="332"/>
      <c r="E580" s="332"/>
      <c r="F580" s="332"/>
      <c r="G580" s="332"/>
    </row>
    <row r="581">
      <c r="A581" s="331"/>
      <c r="B581" s="332"/>
      <c r="C581" s="332"/>
      <c r="D581" s="332"/>
      <c r="E581" s="332"/>
      <c r="F581" s="332"/>
      <c r="G581" s="332"/>
    </row>
    <row r="582">
      <c r="A582" s="331"/>
      <c r="B582" s="332"/>
      <c r="C582" s="332"/>
      <c r="D582" s="332"/>
      <c r="E582" s="332"/>
      <c r="F582" s="332"/>
      <c r="G582" s="332"/>
    </row>
    <row r="583">
      <c r="A583" s="331"/>
      <c r="B583" s="332"/>
      <c r="C583" s="332"/>
      <c r="D583" s="332"/>
      <c r="E583" s="332"/>
      <c r="F583" s="332"/>
      <c r="G583" s="332"/>
    </row>
    <row r="584">
      <c r="A584" s="331"/>
      <c r="B584" s="332"/>
      <c r="C584" s="332"/>
      <c r="D584" s="332"/>
      <c r="E584" s="332"/>
      <c r="F584" s="332"/>
      <c r="G584" s="332"/>
    </row>
    <row r="585">
      <c r="A585" s="331"/>
      <c r="B585" s="332"/>
      <c r="C585" s="332"/>
      <c r="D585" s="332"/>
      <c r="E585" s="332"/>
      <c r="F585" s="332"/>
      <c r="G585" s="332"/>
    </row>
    <row r="586">
      <c r="A586" s="331"/>
      <c r="B586" s="332"/>
      <c r="C586" s="332"/>
      <c r="D586" s="332"/>
      <c r="E586" s="332"/>
      <c r="F586" s="332"/>
      <c r="G586" s="332"/>
    </row>
    <row r="587">
      <c r="A587" s="331"/>
      <c r="B587" s="332"/>
      <c r="C587" s="332"/>
      <c r="D587" s="332"/>
      <c r="E587" s="332"/>
      <c r="F587" s="332"/>
      <c r="G587" s="332"/>
    </row>
    <row r="588">
      <c r="A588" s="331"/>
      <c r="B588" s="332"/>
      <c r="C588" s="332"/>
      <c r="D588" s="332"/>
      <c r="E588" s="332"/>
      <c r="F588" s="332"/>
      <c r="G588" s="332"/>
    </row>
    <row r="589">
      <c r="A589" s="331"/>
      <c r="B589" s="332"/>
      <c r="C589" s="332"/>
      <c r="D589" s="332"/>
      <c r="E589" s="332"/>
      <c r="F589" s="332"/>
      <c r="G589" s="332"/>
    </row>
    <row r="590">
      <c r="A590" s="331"/>
      <c r="B590" s="332"/>
      <c r="C590" s="332"/>
      <c r="D590" s="332"/>
      <c r="E590" s="332"/>
      <c r="F590" s="332"/>
      <c r="G590" s="332"/>
    </row>
    <row r="591">
      <c r="A591" s="331"/>
      <c r="B591" s="332"/>
      <c r="C591" s="332"/>
      <c r="D591" s="332"/>
      <c r="E591" s="332"/>
      <c r="F591" s="332"/>
      <c r="G591" s="332"/>
    </row>
    <row r="592">
      <c r="A592" s="331"/>
      <c r="B592" s="332"/>
      <c r="C592" s="332"/>
      <c r="D592" s="332"/>
      <c r="E592" s="332"/>
      <c r="F592" s="332"/>
      <c r="G592" s="332"/>
    </row>
    <row r="593">
      <c r="A593" s="331"/>
      <c r="B593" s="332"/>
      <c r="C593" s="332"/>
      <c r="D593" s="332"/>
      <c r="E593" s="332"/>
      <c r="F593" s="332"/>
      <c r="G593" s="332"/>
    </row>
    <row r="594">
      <c r="A594" s="331"/>
      <c r="B594" s="332"/>
      <c r="C594" s="332"/>
      <c r="D594" s="332"/>
      <c r="E594" s="332"/>
      <c r="F594" s="332"/>
      <c r="G594" s="332"/>
    </row>
    <row r="595">
      <c r="A595" s="331"/>
      <c r="B595" s="332"/>
      <c r="C595" s="332"/>
      <c r="D595" s="332"/>
      <c r="E595" s="332"/>
      <c r="F595" s="332"/>
      <c r="G595" s="332"/>
    </row>
    <row r="596">
      <c r="A596" s="331"/>
      <c r="B596" s="332"/>
      <c r="C596" s="332"/>
      <c r="D596" s="332"/>
      <c r="E596" s="332"/>
      <c r="F596" s="332"/>
      <c r="G596" s="332"/>
    </row>
    <row r="597">
      <c r="A597" s="331"/>
      <c r="B597" s="332"/>
      <c r="C597" s="332"/>
      <c r="D597" s="332"/>
      <c r="E597" s="332"/>
      <c r="F597" s="332"/>
      <c r="G597" s="332"/>
    </row>
    <row r="598">
      <c r="A598" s="331"/>
      <c r="B598" s="332"/>
      <c r="C598" s="332"/>
      <c r="D598" s="332"/>
      <c r="E598" s="332"/>
      <c r="F598" s="332"/>
      <c r="G598" s="332"/>
    </row>
    <row r="599">
      <c r="A599" s="331"/>
      <c r="B599" s="332"/>
      <c r="C599" s="332"/>
      <c r="D599" s="332"/>
      <c r="E599" s="332"/>
      <c r="F599" s="332"/>
      <c r="G599" s="332"/>
    </row>
    <row r="600">
      <c r="A600" s="331"/>
      <c r="B600" s="332"/>
      <c r="C600" s="332"/>
      <c r="D600" s="332"/>
      <c r="E600" s="332"/>
      <c r="F600" s="332"/>
      <c r="G600" s="332"/>
    </row>
    <row r="601">
      <c r="A601" s="331"/>
      <c r="B601" s="332"/>
      <c r="C601" s="332"/>
      <c r="D601" s="332"/>
      <c r="E601" s="332"/>
      <c r="F601" s="332"/>
      <c r="G601" s="332"/>
    </row>
    <row r="602">
      <c r="A602" s="331"/>
      <c r="B602" s="332"/>
      <c r="C602" s="332"/>
      <c r="D602" s="332"/>
      <c r="E602" s="332"/>
      <c r="F602" s="332"/>
      <c r="G602" s="332"/>
    </row>
    <row r="603">
      <c r="A603" s="331"/>
      <c r="B603" s="332"/>
      <c r="C603" s="332"/>
      <c r="D603" s="332"/>
      <c r="E603" s="332"/>
      <c r="F603" s="332"/>
      <c r="G603" s="332"/>
    </row>
    <row r="604">
      <c r="A604" s="331"/>
      <c r="B604" s="332"/>
      <c r="C604" s="332"/>
      <c r="D604" s="332"/>
      <c r="E604" s="332"/>
      <c r="F604" s="332"/>
      <c r="G604" s="332"/>
    </row>
    <row r="605">
      <c r="A605" s="331"/>
      <c r="B605" s="332"/>
      <c r="C605" s="332"/>
      <c r="D605" s="332"/>
      <c r="E605" s="332"/>
      <c r="F605" s="332"/>
      <c r="G605" s="332"/>
    </row>
    <row r="606">
      <c r="A606" s="331"/>
      <c r="B606" s="332"/>
      <c r="C606" s="332"/>
      <c r="D606" s="332"/>
      <c r="E606" s="332"/>
      <c r="F606" s="332"/>
      <c r="G606" s="332"/>
    </row>
    <row r="607">
      <c r="A607" s="331"/>
      <c r="B607" s="332"/>
      <c r="C607" s="332"/>
      <c r="D607" s="332"/>
      <c r="E607" s="332"/>
      <c r="F607" s="332"/>
      <c r="G607" s="332"/>
    </row>
    <row r="608">
      <c r="A608" s="331"/>
      <c r="B608" s="332"/>
      <c r="C608" s="332"/>
      <c r="D608" s="332"/>
      <c r="E608" s="332"/>
      <c r="F608" s="332"/>
      <c r="G608" s="332"/>
    </row>
    <row r="609">
      <c r="A609" s="331"/>
      <c r="B609" s="332"/>
      <c r="C609" s="332"/>
      <c r="D609" s="332"/>
      <c r="E609" s="332"/>
      <c r="F609" s="332"/>
      <c r="G609" s="332"/>
    </row>
    <row r="610">
      <c r="A610" s="331"/>
      <c r="B610" s="332"/>
      <c r="C610" s="332"/>
      <c r="D610" s="332"/>
      <c r="E610" s="332"/>
      <c r="F610" s="332"/>
      <c r="G610" s="332"/>
    </row>
    <row r="611">
      <c r="A611" s="331"/>
      <c r="B611" s="332"/>
      <c r="C611" s="332"/>
      <c r="D611" s="332"/>
      <c r="E611" s="332"/>
      <c r="F611" s="332"/>
      <c r="G611" s="332"/>
    </row>
    <row r="612">
      <c r="A612" s="331"/>
      <c r="B612" s="332"/>
      <c r="C612" s="332"/>
      <c r="D612" s="332"/>
      <c r="E612" s="332"/>
      <c r="F612" s="332"/>
      <c r="G612" s="332"/>
    </row>
    <row r="613">
      <c r="A613" s="331"/>
      <c r="B613" s="332"/>
      <c r="C613" s="332"/>
      <c r="D613" s="332"/>
      <c r="E613" s="332"/>
      <c r="F613" s="332"/>
      <c r="G613" s="332"/>
    </row>
    <row r="614">
      <c r="A614" s="331"/>
      <c r="B614" s="332"/>
      <c r="C614" s="332"/>
      <c r="D614" s="332"/>
      <c r="E614" s="332"/>
      <c r="F614" s="332"/>
      <c r="G614" s="332"/>
    </row>
    <row r="615">
      <c r="A615" s="331"/>
      <c r="B615" s="332"/>
      <c r="C615" s="332"/>
      <c r="D615" s="332"/>
      <c r="E615" s="332"/>
      <c r="F615" s="332"/>
      <c r="G615" s="332"/>
    </row>
    <row r="616">
      <c r="A616" s="331"/>
      <c r="B616" s="332"/>
      <c r="C616" s="332"/>
      <c r="D616" s="332"/>
      <c r="E616" s="332"/>
      <c r="F616" s="332"/>
      <c r="G616" s="332"/>
    </row>
    <row r="617">
      <c r="A617" s="331"/>
      <c r="B617" s="332"/>
      <c r="C617" s="332"/>
      <c r="D617" s="332"/>
      <c r="E617" s="332"/>
      <c r="F617" s="332"/>
      <c r="G617" s="332"/>
    </row>
    <row r="618">
      <c r="A618" s="331"/>
      <c r="B618" s="332"/>
      <c r="C618" s="332"/>
      <c r="D618" s="332"/>
      <c r="E618" s="332"/>
      <c r="F618" s="332"/>
      <c r="G618" s="332"/>
    </row>
    <row r="619">
      <c r="A619" s="331"/>
      <c r="B619" s="332"/>
      <c r="C619" s="332"/>
      <c r="D619" s="332"/>
      <c r="E619" s="332"/>
      <c r="F619" s="332"/>
      <c r="G619" s="332"/>
    </row>
    <row r="620">
      <c r="A620" s="331"/>
      <c r="B620" s="332"/>
      <c r="C620" s="332"/>
      <c r="D620" s="332"/>
      <c r="E620" s="332"/>
      <c r="F620" s="332"/>
      <c r="G620" s="332"/>
    </row>
    <row r="621">
      <c r="A621" s="331"/>
      <c r="B621" s="332"/>
      <c r="C621" s="332"/>
      <c r="D621" s="332"/>
      <c r="E621" s="332"/>
      <c r="F621" s="332"/>
      <c r="G621" s="332"/>
    </row>
    <row r="622">
      <c r="A622" s="331"/>
      <c r="B622" s="332"/>
      <c r="C622" s="332"/>
      <c r="D622" s="332"/>
      <c r="E622" s="332"/>
      <c r="F622" s="332"/>
      <c r="G622" s="332"/>
    </row>
    <row r="623">
      <c r="A623" s="331"/>
      <c r="B623" s="332"/>
      <c r="C623" s="332"/>
      <c r="D623" s="332"/>
      <c r="E623" s="332"/>
      <c r="F623" s="332"/>
      <c r="G623" s="332"/>
    </row>
    <row r="624">
      <c r="A624" s="331"/>
      <c r="B624" s="332"/>
      <c r="C624" s="332"/>
      <c r="D624" s="332"/>
      <c r="E624" s="332"/>
      <c r="F624" s="332"/>
      <c r="G624" s="332"/>
    </row>
    <row r="625">
      <c r="A625" s="331"/>
      <c r="B625" s="332"/>
      <c r="C625" s="332"/>
      <c r="D625" s="332"/>
      <c r="E625" s="332"/>
      <c r="F625" s="332"/>
      <c r="G625" s="332"/>
    </row>
    <row r="626">
      <c r="A626" s="331"/>
      <c r="B626" s="332"/>
      <c r="C626" s="332"/>
      <c r="D626" s="332"/>
      <c r="E626" s="332"/>
      <c r="F626" s="332"/>
      <c r="G626" s="332"/>
    </row>
    <row r="627">
      <c r="A627" s="331"/>
      <c r="B627" s="332"/>
      <c r="C627" s="332"/>
      <c r="D627" s="332"/>
      <c r="E627" s="332"/>
      <c r="F627" s="332"/>
      <c r="G627" s="332"/>
    </row>
    <row r="628">
      <c r="A628" s="331"/>
      <c r="B628" s="332"/>
      <c r="C628" s="332"/>
      <c r="D628" s="332"/>
      <c r="E628" s="332"/>
      <c r="F628" s="332"/>
      <c r="G628" s="332"/>
    </row>
    <row r="629">
      <c r="A629" s="331"/>
      <c r="B629" s="332"/>
      <c r="C629" s="332"/>
      <c r="D629" s="332"/>
      <c r="E629" s="332"/>
      <c r="F629" s="332"/>
      <c r="G629" s="332"/>
    </row>
    <row r="630">
      <c r="A630" s="331"/>
      <c r="B630" s="332"/>
      <c r="C630" s="332"/>
      <c r="D630" s="332"/>
      <c r="E630" s="332"/>
      <c r="F630" s="332"/>
      <c r="G630" s="332"/>
    </row>
    <row r="631">
      <c r="A631" s="331"/>
      <c r="B631" s="332"/>
      <c r="C631" s="332"/>
      <c r="D631" s="332"/>
      <c r="E631" s="332"/>
      <c r="F631" s="332"/>
      <c r="G631" s="332"/>
    </row>
    <row r="632">
      <c r="A632" s="331"/>
      <c r="B632" s="332"/>
      <c r="C632" s="332"/>
      <c r="D632" s="332"/>
      <c r="E632" s="332"/>
      <c r="F632" s="332"/>
      <c r="G632" s="332"/>
    </row>
    <row r="633">
      <c r="A633" s="331"/>
      <c r="B633" s="332"/>
      <c r="C633" s="332"/>
      <c r="D633" s="332"/>
      <c r="E633" s="332"/>
      <c r="F633" s="332"/>
      <c r="G633" s="332"/>
    </row>
    <row r="634">
      <c r="A634" s="331"/>
      <c r="B634" s="332"/>
      <c r="C634" s="332"/>
      <c r="D634" s="332"/>
      <c r="E634" s="332"/>
      <c r="F634" s="332"/>
      <c r="G634" s="332"/>
    </row>
    <row r="635">
      <c r="A635" s="331"/>
      <c r="B635" s="332"/>
      <c r="C635" s="332"/>
      <c r="D635" s="332"/>
      <c r="E635" s="332"/>
      <c r="F635" s="332"/>
      <c r="G635" s="332"/>
    </row>
    <row r="636">
      <c r="A636" s="331"/>
      <c r="B636" s="332"/>
      <c r="C636" s="332"/>
      <c r="D636" s="332"/>
      <c r="E636" s="332"/>
      <c r="F636" s="332"/>
      <c r="G636" s="332"/>
    </row>
    <row r="637">
      <c r="A637" s="331"/>
      <c r="B637" s="332"/>
      <c r="C637" s="332"/>
      <c r="D637" s="332"/>
      <c r="E637" s="332"/>
      <c r="F637" s="332"/>
      <c r="G637" s="332"/>
    </row>
    <row r="638">
      <c r="A638" s="331"/>
      <c r="B638" s="332"/>
      <c r="C638" s="332"/>
      <c r="D638" s="332"/>
      <c r="E638" s="332"/>
      <c r="F638" s="332"/>
      <c r="G638" s="332"/>
    </row>
    <row r="639">
      <c r="A639" s="331"/>
      <c r="B639" s="332"/>
      <c r="C639" s="332"/>
      <c r="D639" s="332"/>
      <c r="E639" s="332"/>
      <c r="F639" s="332"/>
      <c r="G639" s="332"/>
    </row>
    <row r="640">
      <c r="A640" s="331"/>
      <c r="B640" s="332"/>
      <c r="C640" s="332"/>
      <c r="D640" s="332"/>
      <c r="E640" s="332"/>
      <c r="F640" s="332"/>
      <c r="G640" s="332"/>
    </row>
    <row r="641">
      <c r="A641" s="331"/>
      <c r="B641" s="332"/>
      <c r="C641" s="332"/>
      <c r="D641" s="332"/>
      <c r="E641" s="332"/>
      <c r="F641" s="332"/>
      <c r="G641" s="332"/>
    </row>
    <row r="642">
      <c r="A642" s="331"/>
      <c r="B642" s="332"/>
      <c r="C642" s="332"/>
      <c r="D642" s="332"/>
      <c r="E642" s="332"/>
      <c r="F642" s="332"/>
      <c r="G642" s="332"/>
    </row>
    <row r="643">
      <c r="A643" s="331"/>
      <c r="B643" s="332"/>
      <c r="C643" s="332"/>
      <c r="D643" s="332"/>
      <c r="E643" s="332"/>
      <c r="F643" s="332"/>
      <c r="G643" s="332"/>
    </row>
    <row r="644">
      <c r="A644" s="331"/>
      <c r="B644" s="332"/>
      <c r="C644" s="332"/>
      <c r="D644" s="332"/>
      <c r="E644" s="332"/>
      <c r="F644" s="332"/>
      <c r="G644" s="332"/>
    </row>
    <row r="645">
      <c r="A645" s="331"/>
      <c r="B645" s="332"/>
      <c r="C645" s="332"/>
      <c r="D645" s="332"/>
      <c r="E645" s="332"/>
      <c r="F645" s="332"/>
      <c r="G645" s="332"/>
    </row>
    <row r="646">
      <c r="A646" s="331"/>
      <c r="B646" s="332"/>
      <c r="C646" s="332"/>
      <c r="D646" s="332"/>
      <c r="E646" s="332"/>
      <c r="F646" s="332"/>
      <c r="G646" s="332"/>
    </row>
    <row r="647">
      <c r="A647" s="331"/>
      <c r="B647" s="332"/>
      <c r="C647" s="332"/>
      <c r="D647" s="332"/>
      <c r="E647" s="332"/>
      <c r="F647" s="332"/>
      <c r="G647" s="332"/>
    </row>
    <row r="648">
      <c r="A648" s="331"/>
      <c r="B648" s="332"/>
      <c r="C648" s="332"/>
      <c r="D648" s="332"/>
      <c r="E648" s="332"/>
      <c r="F648" s="332"/>
      <c r="G648" s="332"/>
    </row>
    <row r="649">
      <c r="A649" s="331"/>
      <c r="B649" s="332"/>
      <c r="C649" s="332"/>
      <c r="D649" s="332"/>
      <c r="E649" s="332"/>
      <c r="F649" s="332"/>
      <c r="G649" s="332"/>
    </row>
    <row r="650">
      <c r="A650" s="331"/>
      <c r="B650" s="332"/>
      <c r="C650" s="332"/>
      <c r="D650" s="332"/>
      <c r="E650" s="332"/>
      <c r="F650" s="332"/>
      <c r="G650" s="332"/>
    </row>
    <row r="651">
      <c r="A651" s="331"/>
      <c r="B651" s="332"/>
      <c r="C651" s="332"/>
      <c r="D651" s="332"/>
      <c r="E651" s="332"/>
      <c r="F651" s="332"/>
      <c r="G651" s="332"/>
    </row>
    <row r="652">
      <c r="A652" s="331"/>
      <c r="B652" s="332"/>
      <c r="C652" s="332"/>
      <c r="D652" s="332"/>
      <c r="E652" s="332"/>
      <c r="F652" s="332"/>
      <c r="G652" s="332"/>
    </row>
    <row r="653">
      <c r="A653" s="331"/>
      <c r="B653" s="332"/>
      <c r="C653" s="332"/>
      <c r="D653" s="332"/>
      <c r="E653" s="332"/>
      <c r="F653" s="332"/>
      <c r="G653" s="332"/>
    </row>
    <row r="654">
      <c r="A654" s="331"/>
      <c r="B654" s="332"/>
      <c r="C654" s="332"/>
      <c r="D654" s="332"/>
      <c r="E654" s="332"/>
      <c r="F654" s="332"/>
      <c r="G654" s="332"/>
    </row>
    <row r="655">
      <c r="A655" s="331"/>
      <c r="B655" s="332"/>
      <c r="C655" s="332"/>
      <c r="D655" s="332"/>
      <c r="E655" s="332"/>
      <c r="F655" s="332"/>
      <c r="G655" s="332"/>
    </row>
    <row r="656">
      <c r="A656" s="331"/>
      <c r="B656" s="332"/>
      <c r="C656" s="332"/>
      <c r="D656" s="332"/>
      <c r="E656" s="332"/>
      <c r="F656" s="332"/>
      <c r="G656" s="332"/>
    </row>
    <row r="657">
      <c r="A657" s="331"/>
      <c r="B657" s="332"/>
      <c r="C657" s="332"/>
      <c r="D657" s="332"/>
      <c r="E657" s="332"/>
      <c r="F657" s="332"/>
      <c r="G657" s="332"/>
    </row>
    <row r="658">
      <c r="A658" s="331"/>
      <c r="B658" s="332"/>
      <c r="C658" s="332"/>
      <c r="D658" s="332"/>
      <c r="E658" s="332"/>
      <c r="F658" s="332"/>
      <c r="G658" s="332"/>
    </row>
    <row r="659">
      <c r="A659" s="331"/>
      <c r="B659" s="332"/>
      <c r="C659" s="332"/>
      <c r="D659" s="332"/>
      <c r="E659" s="332"/>
      <c r="F659" s="332"/>
      <c r="G659" s="332"/>
    </row>
    <row r="660">
      <c r="A660" s="331"/>
      <c r="B660" s="332"/>
      <c r="C660" s="332"/>
      <c r="D660" s="332"/>
      <c r="E660" s="332"/>
      <c r="F660" s="332"/>
      <c r="G660" s="332"/>
    </row>
    <row r="661">
      <c r="A661" s="331"/>
      <c r="B661" s="332"/>
      <c r="C661" s="332"/>
      <c r="D661" s="332"/>
      <c r="E661" s="332"/>
      <c r="F661" s="332"/>
      <c r="G661" s="332"/>
    </row>
    <row r="662">
      <c r="A662" s="331"/>
      <c r="B662" s="332"/>
      <c r="C662" s="332"/>
      <c r="D662" s="332"/>
      <c r="E662" s="332"/>
      <c r="F662" s="332"/>
      <c r="G662" s="332"/>
    </row>
    <row r="663">
      <c r="A663" s="331"/>
      <c r="B663" s="332"/>
      <c r="C663" s="332"/>
      <c r="D663" s="332"/>
      <c r="E663" s="332"/>
      <c r="F663" s="332"/>
      <c r="G663" s="332"/>
    </row>
    <row r="664">
      <c r="A664" s="331"/>
      <c r="B664" s="332"/>
      <c r="C664" s="332"/>
      <c r="D664" s="332"/>
      <c r="E664" s="332"/>
      <c r="F664" s="332"/>
      <c r="G664" s="332"/>
    </row>
    <row r="665">
      <c r="A665" s="331"/>
      <c r="B665" s="332"/>
      <c r="C665" s="332"/>
      <c r="D665" s="332"/>
      <c r="E665" s="332"/>
      <c r="F665" s="332"/>
      <c r="G665" s="332"/>
    </row>
    <row r="666">
      <c r="A666" s="331"/>
      <c r="B666" s="332"/>
      <c r="C666" s="332"/>
      <c r="D666" s="332"/>
      <c r="E666" s="332"/>
      <c r="F666" s="332"/>
      <c r="G666" s="332"/>
    </row>
    <row r="667">
      <c r="A667" s="331"/>
      <c r="B667" s="332"/>
      <c r="C667" s="332"/>
      <c r="D667" s="332"/>
      <c r="E667" s="332"/>
      <c r="F667" s="332"/>
      <c r="G667" s="332"/>
    </row>
    <row r="668">
      <c r="A668" s="331"/>
      <c r="B668" s="332"/>
      <c r="C668" s="332"/>
      <c r="D668" s="332"/>
      <c r="E668" s="332"/>
      <c r="F668" s="332"/>
      <c r="G668" s="332"/>
    </row>
    <row r="669">
      <c r="A669" s="331"/>
      <c r="B669" s="332"/>
      <c r="C669" s="332"/>
      <c r="D669" s="332"/>
      <c r="E669" s="332"/>
      <c r="F669" s="332"/>
      <c r="G669" s="332"/>
    </row>
    <row r="670">
      <c r="A670" s="331"/>
      <c r="B670" s="332"/>
      <c r="C670" s="332"/>
      <c r="D670" s="332"/>
      <c r="E670" s="332"/>
      <c r="F670" s="332"/>
      <c r="G670" s="332"/>
    </row>
    <row r="671">
      <c r="A671" s="331"/>
      <c r="B671" s="332"/>
      <c r="C671" s="332"/>
      <c r="D671" s="332"/>
      <c r="E671" s="332"/>
      <c r="F671" s="332"/>
      <c r="G671" s="332"/>
    </row>
    <row r="672">
      <c r="A672" s="331"/>
      <c r="B672" s="332"/>
      <c r="C672" s="332"/>
      <c r="D672" s="332"/>
      <c r="E672" s="332"/>
      <c r="F672" s="332"/>
      <c r="G672" s="332"/>
    </row>
    <row r="673">
      <c r="A673" s="331"/>
      <c r="B673" s="332"/>
      <c r="C673" s="332"/>
      <c r="D673" s="332"/>
      <c r="E673" s="332"/>
      <c r="F673" s="332"/>
      <c r="G673" s="332"/>
    </row>
    <row r="674">
      <c r="A674" s="331"/>
      <c r="B674" s="332"/>
      <c r="C674" s="332"/>
      <c r="D674" s="332"/>
      <c r="E674" s="332"/>
      <c r="F674" s="332"/>
      <c r="G674" s="332"/>
    </row>
    <row r="675">
      <c r="A675" s="331"/>
      <c r="B675" s="332"/>
      <c r="C675" s="332"/>
      <c r="D675" s="332"/>
      <c r="E675" s="332"/>
      <c r="F675" s="332"/>
      <c r="G675" s="332"/>
    </row>
    <row r="676">
      <c r="A676" s="331"/>
      <c r="B676" s="332"/>
      <c r="C676" s="332"/>
      <c r="D676" s="332"/>
      <c r="E676" s="332"/>
      <c r="F676" s="332"/>
      <c r="G676" s="332"/>
    </row>
    <row r="677">
      <c r="A677" s="331"/>
      <c r="B677" s="332"/>
      <c r="C677" s="332"/>
      <c r="D677" s="332"/>
      <c r="E677" s="332"/>
      <c r="F677" s="332"/>
      <c r="G677" s="332"/>
    </row>
    <row r="678">
      <c r="A678" s="331"/>
      <c r="B678" s="332"/>
      <c r="C678" s="332"/>
      <c r="D678" s="332"/>
      <c r="E678" s="332"/>
      <c r="F678" s="332"/>
      <c r="G678" s="332"/>
    </row>
    <row r="679">
      <c r="A679" s="331"/>
      <c r="B679" s="332"/>
      <c r="C679" s="332"/>
      <c r="D679" s="332"/>
      <c r="E679" s="332"/>
      <c r="F679" s="332"/>
      <c r="G679" s="332"/>
    </row>
    <row r="680">
      <c r="A680" s="331"/>
      <c r="B680" s="332"/>
      <c r="C680" s="332"/>
      <c r="D680" s="332"/>
      <c r="E680" s="332"/>
      <c r="F680" s="332"/>
      <c r="G680" s="332"/>
    </row>
    <row r="681">
      <c r="A681" s="331"/>
      <c r="B681" s="332"/>
      <c r="C681" s="332"/>
      <c r="D681" s="332"/>
      <c r="E681" s="332"/>
      <c r="F681" s="332"/>
      <c r="G681" s="332"/>
    </row>
    <row r="682">
      <c r="A682" s="331"/>
      <c r="B682" s="332"/>
      <c r="C682" s="332"/>
      <c r="D682" s="332"/>
      <c r="E682" s="332"/>
      <c r="F682" s="332"/>
      <c r="G682" s="332"/>
    </row>
    <row r="683">
      <c r="A683" s="331"/>
      <c r="B683" s="332"/>
      <c r="C683" s="332"/>
      <c r="D683" s="332"/>
      <c r="E683" s="332"/>
      <c r="F683" s="332"/>
      <c r="G683" s="332"/>
    </row>
    <row r="684">
      <c r="A684" s="331"/>
      <c r="B684" s="332"/>
      <c r="C684" s="332"/>
      <c r="D684" s="332"/>
      <c r="E684" s="332"/>
      <c r="F684" s="332"/>
      <c r="G684" s="332"/>
    </row>
    <row r="685">
      <c r="A685" s="331"/>
      <c r="B685" s="332"/>
      <c r="C685" s="332"/>
      <c r="D685" s="332"/>
      <c r="E685" s="332"/>
      <c r="F685" s="332"/>
      <c r="G685" s="332"/>
    </row>
    <row r="686">
      <c r="A686" s="331"/>
      <c r="B686" s="332"/>
      <c r="C686" s="332"/>
      <c r="D686" s="332"/>
      <c r="E686" s="332"/>
      <c r="F686" s="332"/>
      <c r="G686" s="332"/>
    </row>
    <row r="687">
      <c r="A687" s="331"/>
      <c r="B687" s="332"/>
      <c r="C687" s="332"/>
      <c r="D687" s="332"/>
      <c r="E687" s="332"/>
      <c r="F687" s="332"/>
      <c r="G687" s="332"/>
    </row>
    <row r="688">
      <c r="A688" s="331"/>
      <c r="B688" s="332"/>
      <c r="C688" s="332"/>
      <c r="D688" s="332"/>
      <c r="E688" s="332"/>
      <c r="F688" s="332"/>
      <c r="G688" s="332"/>
    </row>
    <row r="689">
      <c r="A689" s="331"/>
      <c r="B689" s="332"/>
      <c r="C689" s="332"/>
      <c r="D689" s="332"/>
      <c r="E689" s="332"/>
      <c r="F689" s="332"/>
      <c r="G689" s="332"/>
    </row>
    <row r="690">
      <c r="A690" s="331"/>
      <c r="B690" s="332"/>
      <c r="C690" s="332"/>
      <c r="D690" s="332"/>
      <c r="E690" s="332"/>
      <c r="F690" s="332"/>
      <c r="G690" s="332"/>
    </row>
    <row r="691">
      <c r="A691" s="331"/>
      <c r="B691" s="332"/>
      <c r="C691" s="332"/>
      <c r="D691" s="332"/>
      <c r="E691" s="332"/>
      <c r="F691" s="332"/>
      <c r="G691" s="332"/>
    </row>
    <row r="692">
      <c r="A692" s="331"/>
      <c r="B692" s="332"/>
      <c r="C692" s="332"/>
      <c r="D692" s="332"/>
      <c r="E692" s="332"/>
      <c r="F692" s="332"/>
      <c r="G692" s="332"/>
    </row>
    <row r="693">
      <c r="A693" s="331"/>
      <c r="B693" s="332"/>
      <c r="C693" s="332"/>
      <c r="D693" s="332"/>
      <c r="E693" s="332"/>
      <c r="F693" s="332"/>
      <c r="G693" s="332"/>
    </row>
    <row r="694">
      <c r="A694" s="331"/>
      <c r="B694" s="332"/>
      <c r="C694" s="332"/>
      <c r="D694" s="332"/>
      <c r="E694" s="332"/>
      <c r="F694" s="332"/>
      <c r="G694" s="332"/>
    </row>
    <row r="695">
      <c r="A695" s="331"/>
      <c r="B695" s="332"/>
      <c r="C695" s="332"/>
      <c r="D695" s="332"/>
      <c r="E695" s="332"/>
      <c r="F695" s="332"/>
      <c r="G695" s="332"/>
    </row>
    <row r="696">
      <c r="A696" s="331"/>
      <c r="B696" s="332"/>
      <c r="C696" s="332"/>
      <c r="D696" s="332"/>
      <c r="E696" s="332"/>
      <c r="F696" s="332"/>
      <c r="G696" s="332"/>
    </row>
    <row r="697">
      <c r="A697" s="331"/>
      <c r="B697" s="332"/>
      <c r="C697" s="332"/>
      <c r="D697" s="332"/>
      <c r="E697" s="332"/>
      <c r="F697" s="332"/>
      <c r="G697" s="332"/>
    </row>
    <row r="698">
      <c r="A698" s="331"/>
      <c r="B698" s="332"/>
      <c r="C698" s="332"/>
      <c r="D698" s="332"/>
      <c r="E698" s="332"/>
      <c r="F698" s="332"/>
      <c r="G698" s="332"/>
    </row>
    <row r="699">
      <c r="A699" s="331"/>
      <c r="B699" s="332"/>
      <c r="C699" s="332"/>
      <c r="D699" s="332"/>
      <c r="E699" s="332"/>
      <c r="F699" s="332"/>
      <c r="G699" s="332"/>
    </row>
    <row r="700">
      <c r="A700" s="331"/>
      <c r="B700" s="332"/>
      <c r="C700" s="332"/>
      <c r="D700" s="332"/>
      <c r="E700" s="332"/>
      <c r="F700" s="332"/>
      <c r="G700" s="332"/>
    </row>
    <row r="701">
      <c r="A701" s="331"/>
      <c r="B701" s="332"/>
      <c r="C701" s="332"/>
      <c r="D701" s="332"/>
      <c r="E701" s="332"/>
      <c r="F701" s="332"/>
      <c r="G701" s="332"/>
    </row>
    <row r="702">
      <c r="A702" s="331"/>
      <c r="B702" s="332"/>
      <c r="C702" s="332"/>
      <c r="D702" s="332"/>
      <c r="E702" s="332"/>
      <c r="F702" s="332"/>
      <c r="G702" s="332"/>
    </row>
    <row r="703">
      <c r="A703" s="331"/>
      <c r="B703" s="332"/>
      <c r="C703" s="332"/>
      <c r="D703" s="332"/>
      <c r="E703" s="332"/>
      <c r="F703" s="332"/>
      <c r="G703" s="332"/>
    </row>
    <row r="704">
      <c r="A704" s="331"/>
      <c r="B704" s="332"/>
      <c r="C704" s="332"/>
      <c r="D704" s="332"/>
      <c r="E704" s="332"/>
      <c r="F704" s="332"/>
      <c r="G704" s="332"/>
    </row>
    <row r="705">
      <c r="A705" s="331"/>
      <c r="B705" s="332"/>
      <c r="C705" s="332"/>
      <c r="D705" s="332"/>
      <c r="E705" s="332"/>
      <c r="F705" s="332"/>
      <c r="G705" s="332"/>
    </row>
    <row r="706">
      <c r="A706" s="331"/>
      <c r="B706" s="332"/>
      <c r="C706" s="332"/>
      <c r="D706" s="332"/>
      <c r="E706" s="332"/>
      <c r="F706" s="332"/>
      <c r="G706" s="332"/>
    </row>
    <row r="707">
      <c r="A707" s="331"/>
      <c r="B707" s="332"/>
      <c r="C707" s="332"/>
      <c r="D707" s="332"/>
      <c r="E707" s="332"/>
      <c r="F707" s="332"/>
      <c r="G707" s="332"/>
    </row>
    <row r="708">
      <c r="A708" s="331"/>
      <c r="B708" s="332"/>
      <c r="C708" s="332"/>
      <c r="D708" s="332"/>
      <c r="E708" s="332"/>
      <c r="F708" s="332"/>
      <c r="G708" s="332"/>
    </row>
    <row r="709">
      <c r="A709" s="331"/>
      <c r="B709" s="332"/>
      <c r="C709" s="332"/>
      <c r="D709" s="332"/>
      <c r="E709" s="332"/>
      <c r="F709" s="332"/>
      <c r="G709" s="332"/>
    </row>
    <row r="710">
      <c r="A710" s="331"/>
      <c r="B710" s="332"/>
      <c r="C710" s="332"/>
      <c r="D710" s="332"/>
      <c r="E710" s="332"/>
      <c r="F710" s="332"/>
      <c r="G710" s="332"/>
    </row>
    <row r="711">
      <c r="A711" s="331"/>
      <c r="B711" s="332"/>
      <c r="C711" s="332"/>
      <c r="D711" s="332"/>
      <c r="E711" s="332"/>
      <c r="F711" s="332"/>
      <c r="G711" s="332"/>
    </row>
    <row r="712">
      <c r="A712" s="331"/>
      <c r="B712" s="332"/>
      <c r="C712" s="332"/>
      <c r="D712" s="332"/>
      <c r="E712" s="332"/>
      <c r="F712" s="332"/>
      <c r="G712" s="332"/>
    </row>
    <row r="713">
      <c r="A713" s="331"/>
      <c r="B713" s="332"/>
      <c r="C713" s="332"/>
      <c r="D713" s="332"/>
      <c r="E713" s="332"/>
      <c r="F713" s="332"/>
      <c r="G713" s="332"/>
    </row>
    <row r="714">
      <c r="A714" s="331"/>
      <c r="B714" s="332"/>
      <c r="C714" s="332"/>
      <c r="D714" s="332"/>
      <c r="E714" s="332"/>
      <c r="F714" s="332"/>
      <c r="G714" s="332"/>
    </row>
    <row r="715">
      <c r="A715" s="331"/>
      <c r="B715" s="332"/>
      <c r="C715" s="332"/>
      <c r="D715" s="332"/>
      <c r="E715" s="332"/>
      <c r="F715" s="332"/>
      <c r="G715" s="332"/>
    </row>
    <row r="716">
      <c r="A716" s="331"/>
      <c r="B716" s="332"/>
      <c r="C716" s="332"/>
      <c r="D716" s="332"/>
      <c r="E716" s="332"/>
      <c r="F716" s="332"/>
      <c r="G716" s="332"/>
    </row>
    <row r="717">
      <c r="A717" s="331"/>
      <c r="B717" s="332"/>
      <c r="C717" s="332"/>
      <c r="D717" s="332"/>
      <c r="E717" s="332"/>
      <c r="F717" s="332"/>
      <c r="G717" s="332"/>
    </row>
    <row r="718">
      <c r="A718" s="331"/>
      <c r="B718" s="332"/>
      <c r="C718" s="332"/>
      <c r="D718" s="332"/>
      <c r="E718" s="332"/>
      <c r="F718" s="332"/>
      <c r="G718" s="332"/>
    </row>
    <row r="719">
      <c r="A719" s="331"/>
      <c r="B719" s="332"/>
      <c r="C719" s="332"/>
      <c r="D719" s="332"/>
      <c r="E719" s="332"/>
      <c r="F719" s="332"/>
      <c r="G719" s="332"/>
    </row>
    <row r="720">
      <c r="A720" s="331"/>
      <c r="B720" s="332"/>
      <c r="C720" s="332"/>
      <c r="D720" s="332"/>
      <c r="E720" s="332"/>
      <c r="F720" s="332"/>
      <c r="G720" s="332"/>
    </row>
    <row r="721">
      <c r="A721" s="331"/>
      <c r="B721" s="332"/>
      <c r="C721" s="332"/>
      <c r="D721" s="332"/>
      <c r="E721" s="332"/>
      <c r="F721" s="332"/>
      <c r="G721" s="332"/>
    </row>
    <row r="722">
      <c r="A722" s="331"/>
      <c r="B722" s="332"/>
      <c r="C722" s="332"/>
      <c r="D722" s="332"/>
      <c r="E722" s="332"/>
      <c r="F722" s="332"/>
      <c r="G722" s="332"/>
    </row>
    <row r="723">
      <c r="A723" s="331"/>
      <c r="B723" s="332"/>
      <c r="C723" s="332"/>
      <c r="D723" s="332"/>
      <c r="E723" s="332"/>
      <c r="F723" s="332"/>
      <c r="G723" s="332"/>
    </row>
    <row r="724">
      <c r="A724" s="331"/>
      <c r="B724" s="332"/>
      <c r="C724" s="332"/>
      <c r="D724" s="332"/>
      <c r="E724" s="332"/>
      <c r="F724" s="332"/>
      <c r="G724" s="332"/>
    </row>
    <row r="725">
      <c r="A725" s="331"/>
      <c r="B725" s="332"/>
      <c r="C725" s="332"/>
      <c r="D725" s="332"/>
      <c r="E725" s="332"/>
      <c r="F725" s="332"/>
      <c r="G725" s="332"/>
    </row>
    <row r="726">
      <c r="A726" s="331"/>
      <c r="B726" s="332"/>
      <c r="C726" s="332"/>
      <c r="D726" s="332"/>
      <c r="E726" s="332"/>
      <c r="F726" s="332"/>
      <c r="G726" s="332"/>
    </row>
    <row r="727">
      <c r="A727" s="331"/>
      <c r="B727" s="332"/>
      <c r="C727" s="332"/>
      <c r="D727" s="332"/>
      <c r="E727" s="332"/>
      <c r="F727" s="332"/>
      <c r="G727" s="332"/>
    </row>
    <row r="728">
      <c r="A728" s="331"/>
      <c r="B728" s="332"/>
      <c r="C728" s="332"/>
      <c r="D728" s="332"/>
      <c r="E728" s="332"/>
      <c r="F728" s="332"/>
      <c r="G728" s="332"/>
    </row>
    <row r="729">
      <c r="A729" s="331"/>
      <c r="B729" s="332"/>
      <c r="C729" s="332"/>
      <c r="D729" s="332"/>
      <c r="E729" s="332"/>
      <c r="F729" s="332"/>
      <c r="G729" s="332"/>
    </row>
    <row r="730">
      <c r="A730" s="331"/>
      <c r="B730" s="332"/>
      <c r="C730" s="332"/>
      <c r="D730" s="332"/>
      <c r="E730" s="332"/>
      <c r="F730" s="332"/>
      <c r="G730" s="332"/>
    </row>
    <row r="731">
      <c r="A731" s="331"/>
      <c r="B731" s="332"/>
      <c r="C731" s="332"/>
      <c r="D731" s="332"/>
      <c r="E731" s="332"/>
      <c r="F731" s="332"/>
      <c r="G731" s="332"/>
    </row>
    <row r="732">
      <c r="A732" s="331"/>
      <c r="B732" s="332"/>
      <c r="C732" s="332"/>
      <c r="D732" s="332"/>
      <c r="E732" s="332"/>
      <c r="F732" s="332"/>
      <c r="G732" s="332"/>
    </row>
    <row r="733">
      <c r="A733" s="331"/>
      <c r="B733" s="332"/>
      <c r="C733" s="332"/>
      <c r="D733" s="332"/>
      <c r="E733" s="332"/>
      <c r="F733" s="332"/>
      <c r="G733" s="332"/>
    </row>
    <row r="734">
      <c r="A734" s="331"/>
      <c r="B734" s="332"/>
      <c r="C734" s="332"/>
      <c r="D734" s="332"/>
      <c r="E734" s="332"/>
      <c r="F734" s="332"/>
      <c r="G734" s="332"/>
    </row>
    <row r="735">
      <c r="A735" s="331"/>
      <c r="B735" s="332"/>
      <c r="C735" s="332"/>
      <c r="D735" s="332"/>
      <c r="E735" s="332"/>
      <c r="F735" s="332"/>
      <c r="G735" s="332"/>
    </row>
    <row r="736">
      <c r="A736" s="331"/>
      <c r="B736" s="332"/>
      <c r="C736" s="332"/>
      <c r="D736" s="332"/>
      <c r="E736" s="332"/>
      <c r="F736" s="332"/>
      <c r="G736" s="332"/>
    </row>
    <row r="737">
      <c r="A737" s="331"/>
      <c r="B737" s="332"/>
      <c r="C737" s="332"/>
      <c r="D737" s="332"/>
      <c r="E737" s="332"/>
      <c r="F737" s="332"/>
      <c r="G737" s="332"/>
    </row>
    <row r="738">
      <c r="A738" s="331"/>
      <c r="B738" s="332"/>
      <c r="C738" s="332"/>
      <c r="D738" s="332"/>
      <c r="E738" s="332"/>
      <c r="F738" s="332"/>
      <c r="G738" s="332"/>
    </row>
    <row r="739">
      <c r="A739" s="331"/>
      <c r="B739" s="332"/>
      <c r="C739" s="332"/>
      <c r="D739" s="332"/>
      <c r="E739" s="332"/>
      <c r="F739" s="332"/>
      <c r="G739" s="332"/>
    </row>
    <row r="740">
      <c r="A740" s="331"/>
      <c r="B740" s="332"/>
      <c r="C740" s="332"/>
      <c r="D740" s="332"/>
      <c r="E740" s="332"/>
      <c r="F740" s="332"/>
      <c r="G740" s="332"/>
    </row>
    <row r="741">
      <c r="A741" s="331"/>
      <c r="B741" s="332"/>
      <c r="C741" s="332"/>
      <c r="D741" s="332"/>
      <c r="E741" s="332"/>
      <c r="F741" s="332"/>
      <c r="G741" s="332"/>
    </row>
    <row r="742">
      <c r="A742" s="331"/>
      <c r="B742" s="332"/>
      <c r="C742" s="332"/>
      <c r="D742" s="332"/>
      <c r="E742" s="332"/>
      <c r="F742" s="332"/>
      <c r="G742" s="332"/>
    </row>
    <row r="743">
      <c r="A743" s="331"/>
      <c r="B743" s="332"/>
      <c r="C743" s="332"/>
      <c r="D743" s="332"/>
      <c r="E743" s="332"/>
      <c r="F743" s="332"/>
      <c r="G743" s="332"/>
    </row>
    <row r="744">
      <c r="A744" s="331"/>
      <c r="B744" s="332"/>
      <c r="C744" s="332"/>
      <c r="D744" s="332"/>
      <c r="E744" s="332"/>
      <c r="F744" s="332"/>
      <c r="G744" s="332"/>
    </row>
    <row r="745">
      <c r="A745" s="331"/>
      <c r="B745" s="332"/>
      <c r="C745" s="332"/>
      <c r="D745" s="332"/>
      <c r="E745" s="332"/>
      <c r="F745" s="332"/>
      <c r="G745" s="332"/>
    </row>
    <row r="746">
      <c r="A746" s="331"/>
      <c r="B746" s="332"/>
      <c r="C746" s="332"/>
      <c r="D746" s="332"/>
      <c r="E746" s="332"/>
      <c r="F746" s="332"/>
      <c r="G746" s="332"/>
    </row>
    <row r="747">
      <c r="A747" s="331"/>
      <c r="B747" s="332"/>
      <c r="C747" s="332"/>
      <c r="D747" s="332"/>
      <c r="E747" s="332"/>
      <c r="F747" s="332"/>
      <c r="G747" s="332"/>
    </row>
    <row r="748">
      <c r="A748" s="331"/>
      <c r="B748" s="332"/>
      <c r="C748" s="332"/>
      <c r="D748" s="332"/>
      <c r="E748" s="332"/>
      <c r="F748" s="332"/>
      <c r="G748" s="332"/>
    </row>
    <row r="749">
      <c r="A749" s="331"/>
      <c r="B749" s="332"/>
      <c r="C749" s="332"/>
      <c r="D749" s="332"/>
      <c r="E749" s="332"/>
      <c r="F749" s="332"/>
      <c r="G749" s="332"/>
    </row>
    <row r="750">
      <c r="A750" s="331"/>
      <c r="B750" s="332"/>
      <c r="C750" s="332"/>
      <c r="D750" s="332"/>
      <c r="E750" s="332"/>
      <c r="F750" s="332"/>
      <c r="G750" s="332"/>
    </row>
    <row r="751">
      <c r="A751" s="331"/>
      <c r="B751" s="332"/>
      <c r="C751" s="332"/>
      <c r="D751" s="332"/>
      <c r="E751" s="332"/>
      <c r="F751" s="332"/>
      <c r="G751" s="332"/>
    </row>
    <row r="752">
      <c r="A752" s="331"/>
      <c r="B752" s="332"/>
      <c r="C752" s="332"/>
      <c r="D752" s="332"/>
      <c r="E752" s="332"/>
      <c r="F752" s="332"/>
      <c r="G752" s="332"/>
    </row>
    <row r="753">
      <c r="A753" s="331"/>
      <c r="B753" s="332"/>
      <c r="C753" s="332"/>
      <c r="D753" s="332"/>
      <c r="E753" s="332"/>
      <c r="F753" s="332"/>
      <c r="G753" s="332"/>
    </row>
    <row r="754">
      <c r="A754" s="331"/>
      <c r="B754" s="332"/>
      <c r="C754" s="332"/>
      <c r="D754" s="332"/>
      <c r="E754" s="332"/>
      <c r="F754" s="332"/>
      <c r="G754" s="332"/>
    </row>
    <row r="755">
      <c r="A755" s="331"/>
      <c r="B755" s="332"/>
      <c r="C755" s="332"/>
      <c r="D755" s="332"/>
      <c r="E755" s="332"/>
      <c r="F755" s="332"/>
      <c r="G755" s="332"/>
    </row>
    <row r="756">
      <c r="A756" s="331"/>
      <c r="B756" s="332"/>
      <c r="C756" s="332"/>
      <c r="D756" s="332"/>
      <c r="E756" s="332"/>
      <c r="F756" s="332"/>
      <c r="G756" s="332"/>
    </row>
    <row r="757">
      <c r="A757" s="331"/>
      <c r="B757" s="332"/>
      <c r="C757" s="332"/>
      <c r="D757" s="332"/>
      <c r="E757" s="332"/>
      <c r="F757" s="332"/>
      <c r="G757" s="332"/>
    </row>
    <row r="758">
      <c r="A758" s="331"/>
      <c r="B758" s="332"/>
      <c r="C758" s="332"/>
      <c r="D758" s="332"/>
      <c r="E758" s="332"/>
      <c r="F758" s="332"/>
      <c r="G758" s="332"/>
    </row>
    <row r="759">
      <c r="A759" s="331"/>
      <c r="B759" s="332"/>
      <c r="C759" s="332"/>
      <c r="D759" s="332"/>
      <c r="E759" s="332"/>
      <c r="F759" s="332"/>
      <c r="G759" s="332"/>
    </row>
    <row r="760">
      <c r="A760" s="331"/>
      <c r="B760" s="332"/>
      <c r="C760" s="332"/>
      <c r="D760" s="332"/>
      <c r="E760" s="332"/>
      <c r="F760" s="332"/>
      <c r="G760" s="332"/>
    </row>
    <row r="761">
      <c r="A761" s="331"/>
      <c r="B761" s="332"/>
      <c r="C761" s="332"/>
      <c r="D761" s="332"/>
      <c r="E761" s="332"/>
      <c r="F761" s="332"/>
      <c r="G761" s="332"/>
    </row>
    <row r="762">
      <c r="A762" s="331"/>
      <c r="B762" s="332"/>
      <c r="C762" s="332"/>
      <c r="D762" s="332"/>
      <c r="E762" s="332"/>
      <c r="F762" s="332"/>
      <c r="G762" s="332"/>
    </row>
    <row r="763">
      <c r="A763" s="331"/>
      <c r="B763" s="332"/>
      <c r="C763" s="332"/>
      <c r="D763" s="332"/>
      <c r="E763" s="332"/>
      <c r="F763" s="332"/>
      <c r="G763" s="332"/>
    </row>
    <row r="764">
      <c r="A764" s="331"/>
      <c r="B764" s="332"/>
      <c r="C764" s="332"/>
      <c r="D764" s="332"/>
      <c r="E764" s="332"/>
      <c r="F764" s="332"/>
      <c r="G764" s="332"/>
    </row>
    <row r="765">
      <c r="A765" s="331"/>
      <c r="B765" s="332"/>
      <c r="C765" s="332"/>
      <c r="D765" s="332"/>
      <c r="E765" s="332"/>
      <c r="F765" s="332"/>
      <c r="G765" s="332"/>
    </row>
    <row r="766">
      <c r="A766" s="331"/>
      <c r="B766" s="332"/>
      <c r="C766" s="332"/>
      <c r="D766" s="332"/>
      <c r="E766" s="332"/>
      <c r="F766" s="332"/>
      <c r="G766" s="332"/>
    </row>
    <row r="767">
      <c r="A767" s="331"/>
      <c r="B767" s="332"/>
      <c r="C767" s="332"/>
      <c r="D767" s="332"/>
      <c r="E767" s="332"/>
      <c r="F767" s="332"/>
      <c r="G767" s="332"/>
    </row>
    <row r="768">
      <c r="A768" s="331"/>
      <c r="B768" s="332"/>
      <c r="C768" s="332"/>
      <c r="D768" s="332"/>
      <c r="E768" s="332"/>
      <c r="F768" s="332"/>
      <c r="G768" s="332"/>
    </row>
    <row r="769">
      <c r="A769" s="331"/>
      <c r="B769" s="332"/>
      <c r="C769" s="332"/>
      <c r="D769" s="332"/>
      <c r="E769" s="332"/>
      <c r="F769" s="332"/>
      <c r="G769" s="332"/>
    </row>
    <row r="770">
      <c r="A770" s="331"/>
      <c r="B770" s="332"/>
      <c r="C770" s="332"/>
      <c r="D770" s="332"/>
      <c r="E770" s="332"/>
      <c r="F770" s="332"/>
      <c r="G770" s="332"/>
    </row>
    <row r="771">
      <c r="A771" s="331"/>
      <c r="B771" s="332"/>
      <c r="C771" s="332"/>
      <c r="D771" s="332"/>
      <c r="E771" s="332"/>
      <c r="F771" s="332"/>
      <c r="G771" s="332"/>
    </row>
    <row r="772">
      <c r="A772" s="331"/>
      <c r="B772" s="332"/>
      <c r="C772" s="332"/>
      <c r="D772" s="332"/>
      <c r="E772" s="332"/>
      <c r="F772" s="332"/>
      <c r="G772" s="332"/>
    </row>
    <row r="773">
      <c r="A773" s="331"/>
      <c r="B773" s="332"/>
      <c r="C773" s="332"/>
      <c r="D773" s="332"/>
      <c r="E773" s="332"/>
      <c r="F773" s="332"/>
      <c r="G773" s="332"/>
    </row>
    <row r="774">
      <c r="A774" s="331"/>
      <c r="B774" s="332"/>
      <c r="C774" s="332"/>
      <c r="D774" s="332"/>
      <c r="E774" s="332"/>
      <c r="F774" s="332"/>
      <c r="G774" s="332"/>
    </row>
    <row r="775">
      <c r="A775" s="331"/>
      <c r="B775" s="332"/>
      <c r="C775" s="332"/>
      <c r="D775" s="332"/>
      <c r="E775" s="332"/>
      <c r="F775" s="332"/>
      <c r="G775" s="332"/>
    </row>
    <row r="776">
      <c r="A776" s="331"/>
      <c r="B776" s="332"/>
      <c r="C776" s="332"/>
      <c r="D776" s="332"/>
      <c r="E776" s="332"/>
      <c r="F776" s="332"/>
      <c r="G776" s="332"/>
    </row>
    <row r="777">
      <c r="A777" s="331"/>
      <c r="B777" s="332"/>
      <c r="C777" s="332"/>
      <c r="D777" s="332"/>
      <c r="E777" s="332"/>
      <c r="F777" s="332"/>
      <c r="G777" s="332"/>
    </row>
    <row r="778">
      <c r="A778" s="331"/>
      <c r="B778" s="332"/>
      <c r="C778" s="332"/>
      <c r="D778" s="332"/>
      <c r="E778" s="332"/>
      <c r="F778" s="332"/>
      <c r="G778" s="332"/>
    </row>
    <row r="779">
      <c r="A779" s="331"/>
      <c r="B779" s="332"/>
      <c r="C779" s="332"/>
      <c r="D779" s="332"/>
      <c r="E779" s="332"/>
      <c r="F779" s="332"/>
      <c r="G779" s="332"/>
    </row>
    <row r="780">
      <c r="A780" s="331"/>
      <c r="B780" s="332"/>
      <c r="C780" s="332"/>
      <c r="D780" s="332"/>
      <c r="E780" s="332"/>
      <c r="F780" s="332"/>
      <c r="G780" s="332"/>
    </row>
    <row r="781">
      <c r="A781" s="331"/>
      <c r="B781" s="332"/>
      <c r="C781" s="332"/>
      <c r="D781" s="332"/>
      <c r="E781" s="332"/>
      <c r="F781" s="332"/>
      <c r="G781" s="332"/>
    </row>
    <row r="782">
      <c r="A782" s="331"/>
      <c r="B782" s="332"/>
      <c r="C782" s="332"/>
      <c r="D782" s="332"/>
      <c r="E782" s="332"/>
      <c r="F782" s="332"/>
      <c r="G782" s="332"/>
    </row>
    <row r="783">
      <c r="A783" s="331"/>
      <c r="B783" s="332"/>
      <c r="C783" s="332"/>
      <c r="D783" s="332"/>
      <c r="E783" s="332"/>
      <c r="F783" s="332"/>
      <c r="G783" s="332"/>
    </row>
    <row r="784">
      <c r="A784" s="331"/>
      <c r="B784" s="332"/>
      <c r="C784" s="332"/>
      <c r="D784" s="332"/>
      <c r="E784" s="332"/>
      <c r="F784" s="332"/>
      <c r="G784" s="332"/>
    </row>
    <row r="785">
      <c r="A785" s="331"/>
      <c r="B785" s="332"/>
      <c r="C785" s="332"/>
      <c r="D785" s="332"/>
      <c r="E785" s="332"/>
      <c r="F785" s="332"/>
      <c r="G785" s="332"/>
    </row>
    <row r="786">
      <c r="A786" s="331"/>
      <c r="B786" s="332"/>
      <c r="C786" s="332"/>
      <c r="D786" s="332"/>
      <c r="E786" s="332"/>
      <c r="F786" s="332"/>
      <c r="G786" s="332"/>
    </row>
    <row r="787">
      <c r="A787" s="331"/>
      <c r="B787" s="332"/>
      <c r="C787" s="332"/>
      <c r="D787" s="332"/>
      <c r="E787" s="332"/>
      <c r="F787" s="332"/>
      <c r="G787" s="332"/>
    </row>
    <row r="788">
      <c r="A788" s="331"/>
      <c r="B788" s="332"/>
      <c r="C788" s="332"/>
      <c r="D788" s="332"/>
      <c r="E788" s="332"/>
      <c r="F788" s="332"/>
      <c r="G788" s="332"/>
    </row>
    <row r="789">
      <c r="A789" s="331"/>
      <c r="B789" s="332"/>
      <c r="C789" s="332"/>
      <c r="D789" s="332"/>
      <c r="E789" s="332"/>
      <c r="F789" s="332"/>
      <c r="G789" s="332"/>
    </row>
    <row r="790">
      <c r="A790" s="331"/>
      <c r="B790" s="332"/>
      <c r="C790" s="332"/>
      <c r="D790" s="332"/>
      <c r="E790" s="332"/>
      <c r="F790" s="332"/>
      <c r="G790" s="332"/>
    </row>
    <row r="791">
      <c r="A791" s="331"/>
      <c r="B791" s="332"/>
      <c r="C791" s="332"/>
      <c r="D791" s="332"/>
      <c r="E791" s="332"/>
      <c r="F791" s="332"/>
      <c r="G791" s="332"/>
    </row>
    <row r="792">
      <c r="A792" s="331"/>
      <c r="B792" s="332"/>
      <c r="C792" s="332"/>
      <c r="D792" s="332"/>
      <c r="E792" s="332"/>
      <c r="F792" s="332"/>
      <c r="G792" s="332"/>
    </row>
    <row r="793">
      <c r="A793" s="331"/>
      <c r="B793" s="332"/>
      <c r="C793" s="332"/>
      <c r="D793" s="332"/>
      <c r="E793" s="332"/>
      <c r="F793" s="332"/>
      <c r="G793" s="332"/>
    </row>
    <row r="794">
      <c r="A794" s="331"/>
      <c r="B794" s="332"/>
      <c r="C794" s="332"/>
      <c r="D794" s="332"/>
      <c r="E794" s="332"/>
      <c r="F794" s="332"/>
      <c r="G794" s="332"/>
    </row>
    <row r="795">
      <c r="A795" s="331"/>
      <c r="B795" s="332"/>
      <c r="C795" s="332"/>
      <c r="D795" s="332"/>
      <c r="E795" s="332"/>
      <c r="F795" s="332"/>
      <c r="G795" s="332"/>
    </row>
    <row r="796">
      <c r="A796" s="331"/>
      <c r="B796" s="332"/>
      <c r="C796" s="332"/>
      <c r="D796" s="332"/>
      <c r="E796" s="332"/>
      <c r="F796" s="332"/>
      <c r="G796" s="332"/>
    </row>
    <row r="797">
      <c r="A797" s="331"/>
      <c r="B797" s="332"/>
      <c r="C797" s="332"/>
      <c r="D797" s="332"/>
      <c r="E797" s="332"/>
      <c r="F797" s="332"/>
      <c r="G797" s="332"/>
    </row>
    <row r="798">
      <c r="A798" s="331"/>
      <c r="B798" s="332"/>
      <c r="C798" s="332"/>
      <c r="D798" s="332"/>
      <c r="E798" s="332"/>
      <c r="F798" s="332"/>
      <c r="G798" s="332"/>
    </row>
    <row r="799">
      <c r="A799" s="331"/>
      <c r="B799" s="332"/>
      <c r="C799" s="332"/>
      <c r="D799" s="332"/>
      <c r="E799" s="332"/>
      <c r="F799" s="332"/>
      <c r="G799" s="332"/>
    </row>
    <row r="800">
      <c r="A800" s="331"/>
      <c r="B800" s="332"/>
      <c r="C800" s="332"/>
      <c r="D800" s="332"/>
      <c r="E800" s="332"/>
      <c r="F800" s="332"/>
      <c r="G800" s="332"/>
    </row>
    <row r="801">
      <c r="A801" s="331"/>
      <c r="B801" s="332"/>
      <c r="C801" s="332"/>
      <c r="D801" s="332"/>
      <c r="E801" s="332"/>
      <c r="F801" s="332"/>
      <c r="G801" s="332"/>
    </row>
    <row r="802">
      <c r="A802" s="331"/>
      <c r="B802" s="332"/>
      <c r="C802" s="332"/>
      <c r="D802" s="332"/>
      <c r="E802" s="332"/>
      <c r="F802" s="332"/>
      <c r="G802" s="332"/>
    </row>
    <row r="803">
      <c r="A803" s="331"/>
      <c r="B803" s="332"/>
      <c r="C803" s="332"/>
      <c r="D803" s="332"/>
      <c r="E803" s="332"/>
      <c r="F803" s="332"/>
      <c r="G803" s="332"/>
    </row>
    <row r="804">
      <c r="A804" s="331"/>
      <c r="B804" s="332"/>
      <c r="C804" s="332"/>
      <c r="D804" s="332"/>
      <c r="E804" s="332"/>
      <c r="F804" s="332"/>
      <c r="G804" s="332"/>
    </row>
    <row r="805">
      <c r="A805" s="331"/>
      <c r="B805" s="332"/>
      <c r="C805" s="332"/>
      <c r="D805" s="332"/>
      <c r="E805" s="332"/>
      <c r="F805" s="332"/>
      <c r="G805" s="332"/>
    </row>
    <row r="806">
      <c r="A806" s="331"/>
      <c r="B806" s="332"/>
      <c r="C806" s="332"/>
      <c r="D806" s="332"/>
      <c r="E806" s="332"/>
      <c r="F806" s="332"/>
      <c r="G806" s="332"/>
    </row>
    <row r="807">
      <c r="A807" s="331"/>
      <c r="B807" s="332"/>
      <c r="C807" s="332"/>
      <c r="D807" s="332"/>
      <c r="E807" s="332"/>
      <c r="F807" s="332"/>
      <c r="G807" s="332"/>
    </row>
    <row r="808">
      <c r="A808" s="331"/>
      <c r="B808" s="332"/>
      <c r="C808" s="332"/>
      <c r="D808" s="332"/>
      <c r="E808" s="332"/>
      <c r="F808" s="332"/>
      <c r="G808" s="332"/>
    </row>
    <row r="809">
      <c r="A809" s="331"/>
      <c r="B809" s="332"/>
      <c r="C809" s="332"/>
      <c r="D809" s="332"/>
      <c r="E809" s="332"/>
      <c r="F809" s="332"/>
      <c r="G809" s="332"/>
    </row>
    <row r="810">
      <c r="A810" s="331"/>
      <c r="B810" s="332"/>
      <c r="C810" s="332"/>
      <c r="D810" s="332"/>
      <c r="E810" s="332"/>
      <c r="F810" s="332"/>
      <c r="G810" s="332"/>
    </row>
    <row r="811">
      <c r="A811" s="331"/>
      <c r="B811" s="332"/>
      <c r="C811" s="332"/>
      <c r="D811" s="332"/>
      <c r="E811" s="332"/>
      <c r="F811" s="332"/>
      <c r="G811" s="332"/>
    </row>
    <row r="812">
      <c r="A812" s="331"/>
      <c r="B812" s="332"/>
      <c r="C812" s="332"/>
      <c r="D812" s="332"/>
      <c r="E812" s="332"/>
      <c r="F812" s="332"/>
      <c r="G812" s="332"/>
    </row>
    <row r="813">
      <c r="A813" s="331"/>
      <c r="B813" s="332"/>
      <c r="C813" s="332"/>
      <c r="D813" s="332"/>
      <c r="E813" s="332"/>
      <c r="F813" s="332"/>
      <c r="G813" s="332"/>
    </row>
    <row r="814">
      <c r="A814" s="331"/>
      <c r="B814" s="332"/>
      <c r="C814" s="332"/>
      <c r="D814" s="332"/>
      <c r="E814" s="332"/>
      <c r="F814" s="332"/>
      <c r="G814" s="332"/>
    </row>
    <row r="815">
      <c r="A815" s="331"/>
      <c r="B815" s="332"/>
      <c r="C815" s="332"/>
      <c r="D815" s="332"/>
      <c r="E815" s="332"/>
      <c r="F815" s="332"/>
      <c r="G815" s="332"/>
    </row>
    <row r="816">
      <c r="A816" s="331"/>
      <c r="B816" s="332"/>
      <c r="C816" s="332"/>
      <c r="D816" s="332"/>
      <c r="E816" s="332"/>
      <c r="F816" s="332"/>
      <c r="G816" s="332"/>
    </row>
    <row r="817">
      <c r="A817" s="331"/>
      <c r="B817" s="332"/>
      <c r="C817" s="332"/>
      <c r="D817" s="332"/>
      <c r="E817" s="332"/>
      <c r="F817" s="332"/>
      <c r="G817" s="332"/>
    </row>
    <row r="818">
      <c r="A818" s="331"/>
      <c r="B818" s="332"/>
      <c r="C818" s="332"/>
      <c r="D818" s="332"/>
      <c r="E818" s="332"/>
      <c r="F818" s="332"/>
      <c r="G818" s="332"/>
    </row>
    <row r="819">
      <c r="A819" s="331"/>
      <c r="B819" s="332"/>
      <c r="C819" s="332"/>
      <c r="D819" s="332"/>
      <c r="E819" s="332"/>
      <c r="F819" s="332"/>
      <c r="G819" s="332"/>
    </row>
    <row r="820">
      <c r="A820" s="331"/>
      <c r="B820" s="332"/>
      <c r="C820" s="332"/>
      <c r="D820" s="332"/>
      <c r="E820" s="332"/>
      <c r="F820" s="332"/>
      <c r="G820" s="332"/>
    </row>
    <row r="821">
      <c r="A821" s="331"/>
      <c r="B821" s="332"/>
      <c r="C821" s="332"/>
      <c r="D821" s="332"/>
      <c r="E821" s="332"/>
      <c r="F821" s="332"/>
      <c r="G821" s="332"/>
    </row>
    <row r="822">
      <c r="A822" s="331"/>
      <c r="B822" s="332"/>
      <c r="C822" s="332"/>
      <c r="D822" s="332"/>
      <c r="E822" s="332"/>
      <c r="F822" s="332"/>
      <c r="G822" s="332"/>
    </row>
    <row r="823">
      <c r="A823" s="331"/>
      <c r="B823" s="332"/>
      <c r="C823" s="332"/>
      <c r="D823" s="332"/>
      <c r="E823" s="332"/>
      <c r="F823" s="332"/>
      <c r="G823" s="332"/>
    </row>
    <row r="824">
      <c r="A824" s="331"/>
      <c r="B824" s="332"/>
      <c r="C824" s="332"/>
      <c r="D824" s="332"/>
      <c r="E824" s="332"/>
      <c r="F824" s="332"/>
      <c r="G824" s="332"/>
    </row>
    <row r="825">
      <c r="A825" s="331"/>
      <c r="B825" s="332"/>
      <c r="C825" s="332"/>
      <c r="D825" s="332"/>
      <c r="E825" s="332"/>
      <c r="F825" s="332"/>
      <c r="G825" s="332"/>
    </row>
    <row r="826">
      <c r="A826" s="331"/>
      <c r="B826" s="332"/>
      <c r="C826" s="332"/>
      <c r="D826" s="332"/>
      <c r="E826" s="332"/>
      <c r="F826" s="332"/>
      <c r="G826" s="332"/>
    </row>
    <row r="827">
      <c r="A827" s="331"/>
      <c r="B827" s="332"/>
      <c r="C827" s="332"/>
      <c r="D827" s="332"/>
      <c r="E827" s="332"/>
      <c r="F827" s="332"/>
      <c r="G827" s="332"/>
    </row>
    <row r="828">
      <c r="A828" s="331"/>
      <c r="B828" s="332"/>
      <c r="C828" s="332"/>
      <c r="D828" s="332"/>
      <c r="E828" s="332"/>
      <c r="F828" s="332"/>
      <c r="G828" s="332"/>
    </row>
    <row r="829">
      <c r="A829" s="331"/>
      <c r="B829" s="332"/>
      <c r="C829" s="332"/>
      <c r="D829" s="332"/>
      <c r="E829" s="332"/>
      <c r="F829" s="332"/>
      <c r="G829" s="332"/>
    </row>
    <row r="830">
      <c r="A830" s="331"/>
      <c r="B830" s="332"/>
      <c r="C830" s="332"/>
      <c r="D830" s="332"/>
      <c r="E830" s="332"/>
      <c r="F830" s="332"/>
      <c r="G830" s="332"/>
    </row>
    <row r="831">
      <c r="A831" s="331"/>
      <c r="B831" s="332"/>
      <c r="C831" s="332"/>
      <c r="D831" s="332"/>
      <c r="E831" s="332"/>
      <c r="F831" s="332"/>
      <c r="G831" s="332"/>
    </row>
    <row r="832">
      <c r="A832" s="331"/>
      <c r="B832" s="332"/>
      <c r="C832" s="332"/>
      <c r="D832" s="332"/>
      <c r="E832" s="332"/>
      <c r="F832" s="332"/>
      <c r="G832" s="332"/>
    </row>
    <row r="833">
      <c r="A833" s="331"/>
      <c r="B833" s="332"/>
      <c r="C833" s="332"/>
      <c r="D833" s="332"/>
      <c r="E833" s="332"/>
      <c r="F833" s="332"/>
      <c r="G833" s="332"/>
    </row>
    <row r="834">
      <c r="A834" s="331"/>
      <c r="B834" s="332"/>
      <c r="C834" s="332"/>
      <c r="D834" s="332"/>
      <c r="E834" s="332"/>
      <c r="F834" s="332"/>
      <c r="G834" s="332"/>
    </row>
    <row r="835">
      <c r="A835" s="331"/>
      <c r="B835" s="332"/>
      <c r="C835" s="332"/>
      <c r="D835" s="332"/>
      <c r="E835" s="332"/>
      <c r="F835" s="332"/>
      <c r="G835" s="332"/>
    </row>
    <row r="836">
      <c r="A836" s="331"/>
      <c r="B836" s="332"/>
      <c r="C836" s="332"/>
      <c r="D836" s="332"/>
      <c r="E836" s="332"/>
      <c r="F836" s="332"/>
      <c r="G836" s="332"/>
    </row>
    <row r="837">
      <c r="A837" s="331"/>
      <c r="B837" s="332"/>
      <c r="C837" s="332"/>
      <c r="D837" s="332"/>
      <c r="E837" s="332"/>
      <c r="F837" s="332"/>
      <c r="G837" s="332"/>
    </row>
    <row r="838">
      <c r="A838" s="331"/>
      <c r="B838" s="332"/>
      <c r="C838" s="332"/>
      <c r="D838" s="332"/>
      <c r="E838" s="332"/>
      <c r="F838" s="332"/>
      <c r="G838" s="332"/>
    </row>
    <row r="839">
      <c r="A839" s="331"/>
      <c r="B839" s="332"/>
      <c r="C839" s="332"/>
      <c r="D839" s="332"/>
      <c r="E839" s="332"/>
      <c r="F839" s="332"/>
      <c r="G839" s="332"/>
    </row>
    <row r="840">
      <c r="A840" s="331"/>
      <c r="B840" s="332"/>
      <c r="C840" s="332"/>
      <c r="D840" s="332"/>
      <c r="E840" s="332"/>
      <c r="F840" s="332"/>
      <c r="G840" s="332"/>
    </row>
    <row r="841">
      <c r="A841" s="331"/>
      <c r="B841" s="332"/>
      <c r="C841" s="332"/>
      <c r="D841" s="332"/>
      <c r="E841" s="332"/>
      <c r="F841" s="332"/>
      <c r="G841" s="332"/>
    </row>
    <row r="842">
      <c r="A842" s="331"/>
      <c r="B842" s="332"/>
      <c r="C842" s="332"/>
      <c r="D842" s="332"/>
      <c r="E842" s="332"/>
      <c r="F842" s="332"/>
      <c r="G842" s="332"/>
    </row>
    <row r="843">
      <c r="A843" s="331"/>
      <c r="B843" s="332"/>
      <c r="C843" s="332"/>
      <c r="D843" s="332"/>
      <c r="E843" s="332"/>
      <c r="F843" s="332"/>
      <c r="G843" s="332"/>
    </row>
    <row r="844">
      <c r="A844" s="331"/>
      <c r="B844" s="332"/>
      <c r="C844" s="332"/>
      <c r="D844" s="332"/>
      <c r="E844" s="332"/>
      <c r="F844" s="332"/>
      <c r="G844" s="332"/>
    </row>
    <row r="845">
      <c r="A845" s="331"/>
      <c r="B845" s="332"/>
      <c r="C845" s="332"/>
      <c r="D845" s="332"/>
      <c r="E845" s="332"/>
      <c r="F845" s="332"/>
      <c r="G845" s="332"/>
    </row>
    <row r="846">
      <c r="A846" s="331"/>
      <c r="B846" s="332"/>
      <c r="C846" s="332"/>
      <c r="D846" s="332"/>
      <c r="E846" s="332"/>
      <c r="F846" s="332"/>
      <c r="G846" s="332"/>
    </row>
    <row r="847">
      <c r="A847" s="331"/>
      <c r="B847" s="332"/>
      <c r="C847" s="332"/>
      <c r="D847" s="332"/>
      <c r="E847" s="332"/>
      <c r="F847" s="332"/>
      <c r="G847" s="332"/>
    </row>
    <row r="848">
      <c r="A848" s="331"/>
      <c r="B848" s="332"/>
      <c r="C848" s="332"/>
      <c r="D848" s="332"/>
      <c r="E848" s="332"/>
      <c r="F848" s="332"/>
      <c r="G848" s="332"/>
    </row>
    <row r="849">
      <c r="A849" s="331"/>
      <c r="B849" s="332"/>
      <c r="C849" s="332"/>
      <c r="D849" s="332"/>
      <c r="E849" s="332"/>
      <c r="F849" s="332"/>
      <c r="G849" s="332"/>
    </row>
    <row r="850">
      <c r="A850" s="331"/>
      <c r="B850" s="332"/>
      <c r="C850" s="332"/>
      <c r="D850" s="332"/>
      <c r="E850" s="332"/>
      <c r="F850" s="332"/>
      <c r="G850" s="332"/>
    </row>
    <row r="851">
      <c r="A851" s="331"/>
      <c r="B851" s="332"/>
      <c r="C851" s="332"/>
      <c r="D851" s="332"/>
      <c r="E851" s="332"/>
      <c r="F851" s="332"/>
      <c r="G851" s="332"/>
    </row>
    <row r="852">
      <c r="A852" s="331"/>
      <c r="B852" s="332"/>
      <c r="C852" s="332"/>
      <c r="D852" s="332"/>
      <c r="E852" s="332"/>
      <c r="F852" s="332"/>
      <c r="G852" s="332"/>
    </row>
    <row r="853">
      <c r="A853" s="331"/>
      <c r="B853" s="332"/>
      <c r="C853" s="332"/>
      <c r="D853" s="332"/>
      <c r="E853" s="332"/>
      <c r="F853" s="332"/>
      <c r="G853" s="332"/>
    </row>
    <row r="854">
      <c r="A854" s="331"/>
      <c r="B854" s="332"/>
      <c r="C854" s="332"/>
      <c r="D854" s="332"/>
      <c r="E854" s="332"/>
      <c r="F854" s="332"/>
      <c r="G854" s="332"/>
    </row>
    <row r="855">
      <c r="A855" s="331"/>
      <c r="B855" s="332"/>
      <c r="C855" s="332"/>
      <c r="D855" s="332"/>
      <c r="E855" s="332"/>
      <c r="F855" s="332"/>
      <c r="G855" s="332"/>
    </row>
    <row r="856">
      <c r="A856" s="331"/>
      <c r="B856" s="332"/>
      <c r="C856" s="332"/>
      <c r="D856" s="332"/>
      <c r="E856" s="332"/>
      <c r="F856" s="332"/>
      <c r="G856" s="332"/>
    </row>
    <row r="857">
      <c r="A857" s="331"/>
      <c r="B857" s="332"/>
      <c r="C857" s="332"/>
      <c r="D857" s="332"/>
      <c r="E857" s="332"/>
      <c r="F857" s="332"/>
      <c r="G857" s="332"/>
    </row>
    <row r="858">
      <c r="A858" s="331"/>
      <c r="B858" s="332"/>
      <c r="C858" s="332"/>
      <c r="D858" s="332"/>
      <c r="E858" s="332"/>
      <c r="F858" s="332"/>
      <c r="G858" s="332"/>
    </row>
    <row r="859">
      <c r="A859" s="331"/>
      <c r="B859" s="332"/>
      <c r="C859" s="332"/>
      <c r="D859" s="332"/>
      <c r="E859" s="332"/>
      <c r="F859" s="332"/>
      <c r="G859" s="332"/>
    </row>
    <row r="860">
      <c r="A860" s="331"/>
      <c r="B860" s="332"/>
      <c r="C860" s="332"/>
      <c r="D860" s="332"/>
      <c r="E860" s="332"/>
      <c r="F860" s="332"/>
      <c r="G860" s="332"/>
    </row>
    <row r="861">
      <c r="A861" s="331"/>
      <c r="B861" s="332"/>
      <c r="C861" s="332"/>
      <c r="D861" s="332"/>
      <c r="E861" s="332"/>
      <c r="F861" s="332"/>
      <c r="G861" s="332"/>
    </row>
    <row r="862">
      <c r="A862" s="331"/>
      <c r="B862" s="332"/>
      <c r="C862" s="332"/>
      <c r="D862" s="332"/>
      <c r="E862" s="332"/>
      <c r="F862" s="332"/>
      <c r="G862" s="332"/>
    </row>
    <row r="863">
      <c r="A863" s="331"/>
      <c r="B863" s="332"/>
      <c r="C863" s="332"/>
      <c r="D863" s="332"/>
      <c r="E863" s="332"/>
      <c r="F863" s="332"/>
      <c r="G863" s="332"/>
    </row>
    <row r="864">
      <c r="A864" s="331"/>
      <c r="B864" s="332"/>
      <c r="C864" s="332"/>
      <c r="D864" s="332"/>
      <c r="E864" s="332"/>
      <c r="F864" s="332"/>
      <c r="G864" s="332"/>
    </row>
    <row r="865">
      <c r="A865" s="331"/>
      <c r="B865" s="332"/>
      <c r="C865" s="332"/>
      <c r="D865" s="332"/>
      <c r="E865" s="332"/>
      <c r="F865" s="332"/>
      <c r="G865" s="332"/>
    </row>
    <row r="866">
      <c r="A866" s="331"/>
      <c r="B866" s="332"/>
      <c r="C866" s="332"/>
      <c r="D866" s="332"/>
      <c r="E866" s="332"/>
      <c r="F866" s="332"/>
      <c r="G866" s="332"/>
    </row>
    <row r="867">
      <c r="A867" s="331"/>
      <c r="B867" s="332"/>
      <c r="C867" s="332"/>
      <c r="D867" s="332"/>
      <c r="E867" s="332"/>
      <c r="F867" s="332"/>
      <c r="G867" s="332"/>
    </row>
    <row r="868">
      <c r="A868" s="331"/>
      <c r="B868" s="332"/>
      <c r="C868" s="332"/>
      <c r="D868" s="332"/>
      <c r="E868" s="332"/>
      <c r="F868" s="332"/>
      <c r="G868" s="332"/>
    </row>
    <row r="869">
      <c r="A869" s="331"/>
      <c r="B869" s="332"/>
      <c r="C869" s="332"/>
      <c r="D869" s="332"/>
      <c r="E869" s="332"/>
      <c r="F869" s="332"/>
      <c r="G869" s="332"/>
    </row>
    <row r="870">
      <c r="A870" s="331"/>
      <c r="B870" s="332"/>
      <c r="C870" s="332"/>
      <c r="D870" s="332"/>
      <c r="E870" s="332"/>
      <c r="F870" s="332"/>
      <c r="G870" s="332"/>
    </row>
    <row r="871">
      <c r="A871" s="331"/>
      <c r="B871" s="332"/>
      <c r="C871" s="332"/>
      <c r="D871" s="332"/>
      <c r="E871" s="332"/>
      <c r="F871" s="332"/>
      <c r="G871" s="332"/>
    </row>
    <row r="872">
      <c r="A872" s="331"/>
      <c r="B872" s="332"/>
      <c r="C872" s="332"/>
      <c r="D872" s="332"/>
      <c r="E872" s="332"/>
      <c r="F872" s="332"/>
      <c r="G872" s="332"/>
    </row>
    <row r="873">
      <c r="A873" s="331"/>
      <c r="B873" s="332"/>
      <c r="C873" s="332"/>
      <c r="D873" s="332"/>
      <c r="E873" s="332"/>
      <c r="F873" s="332"/>
      <c r="G873" s="332"/>
    </row>
    <row r="874">
      <c r="A874" s="331"/>
      <c r="B874" s="332"/>
      <c r="C874" s="332"/>
      <c r="D874" s="332"/>
      <c r="E874" s="332"/>
      <c r="F874" s="332"/>
      <c r="G874" s="332"/>
    </row>
    <row r="875">
      <c r="A875" s="331"/>
      <c r="B875" s="332"/>
      <c r="C875" s="332"/>
      <c r="D875" s="332"/>
      <c r="E875" s="332"/>
      <c r="F875" s="332"/>
      <c r="G875" s="332"/>
    </row>
    <row r="876">
      <c r="A876" s="331"/>
      <c r="B876" s="332"/>
      <c r="C876" s="332"/>
      <c r="D876" s="332"/>
      <c r="E876" s="332"/>
      <c r="F876" s="332"/>
      <c r="G876" s="332"/>
    </row>
    <row r="877">
      <c r="A877" s="331"/>
      <c r="B877" s="332"/>
      <c r="C877" s="332"/>
      <c r="D877" s="332"/>
      <c r="E877" s="332"/>
      <c r="F877" s="332"/>
      <c r="G877" s="332"/>
    </row>
    <row r="878">
      <c r="A878" s="331"/>
      <c r="B878" s="332"/>
      <c r="C878" s="332"/>
      <c r="D878" s="332"/>
      <c r="E878" s="332"/>
      <c r="F878" s="332"/>
      <c r="G878" s="332"/>
    </row>
    <row r="879">
      <c r="A879" s="331"/>
      <c r="B879" s="332"/>
      <c r="C879" s="332"/>
      <c r="D879" s="332"/>
      <c r="E879" s="332"/>
      <c r="F879" s="332"/>
      <c r="G879" s="332"/>
    </row>
    <row r="880">
      <c r="A880" s="331"/>
      <c r="B880" s="332"/>
      <c r="C880" s="332"/>
      <c r="D880" s="332"/>
      <c r="E880" s="332"/>
      <c r="F880" s="332"/>
      <c r="G880" s="332"/>
    </row>
    <row r="881">
      <c r="A881" s="331"/>
      <c r="B881" s="332"/>
      <c r="C881" s="332"/>
      <c r="D881" s="332"/>
      <c r="E881" s="332"/>
      <c r="F881" s="332"/>
      <c r="G881" s="332"/>
    </row>
    <row r="882">
      <c r="A882" s="331"/>
      <c r="B882" s="332"/>
      <c r="C882" s="332"/>
      <c r="D882" s="332"/>
      <c r="E882" s="332"/>
      <c r="F882" s="332"/>
      <c r="G882" s="332"/>
    </row>
    <row r="883">
      <c r="A883" s="331"/>
      <c r="B883" s="332"/>
      <c r="C883" s="332"/>
      <c r="D883" s="332"/>
      <c r="E883" s="332"/>
      <c r="F883" s="332"/>
      <c r="G883" s="332"/>
    </row>
    <row r="884">
      <c r="A884" s="331"/>
      <c r="B884" s="332"/>
      <c r="C884" s="332"/>
      <c r="D884" s="332"/>
      <c r="E884" s="332"/>
      <c r="F884" s="332"/>
      <c r="G884" s="332"/>
    </row>
    <row r="885">
      <c r="A885" s="331"/>
      <c r="B885" s="332"/>
      <c r="C885" s="332"/>
      <c r="D885" s="332"/>
      <c r="E885" s="332"/>
      <c r="F885" s="332"/>
      <c r="G885" s="332"/>
    </row>
    <row r="886">
      <c r="A886" s="331"/>
      <c r="B886" s="332"/>
      <c r="C886" s="332"/>
      <c r="D886" s="332"/>
      <c r="E886" s="332"/>
      <c r="F886" s="332"/>
      <c r="G886" s="332"/>
    </row>
    <row r="887">
      <c r="A887" s="331"/>
      <c r="B887" s="332"/>
      <c r="C887" s="332"/>
      <c r="D887" s="332"/>
      <c r="E887" s="332"/>
      <c r="F887" s="332"/>
      <c r="G887" s="332"/>
    </row>
    <row r="888">
      <c r="A888" s="331"/>
      <c r="B888" s="332"/>
      <c r="C888" s="332"/>
      <c r="D888" s="332"/>
      <c r="E888" s="332"/>
      <c r="F888" s="332"/>
      <c r="G888" s="332"/>
    </row>
    <row r="889">
      <c r="A889" s="331"/>
      <c r="B889" s="332"/>
      <c r="C889" s="332"/>
      <c r="D889" s="332"/>
      <c r="E889" s="332"/>
      <c r="F889" s="332"/>
      <c r="G889" s="332"/>
    </row>
    <row r="890">
      <c r="A890" s="331"/>
      <c r="B890" s="332"/>
      <c r="C890" s="332"/>
      <c r="D890" s="332"/>
      <c r="E890" s="332"/>
      <c r="F890" s="332"/>
      <c r="G890" s="332"/>
    </row>
    <row r="891">
      <c r="A891" s="331"/>
      <c r="B891" s="332"/>
      <c r="C891" s="332"/>
      <c r="D891" s="332"/>
      <c r="E891" s="332"/>
      <c r="F891" s="332"/>
      <c r="G891" s="332"/>
    </row>
    <row r="892">
      <c r="A892" s="331"/>
      <c r="B892" s="332"/>
      <c r="C892" s="332"/>
      <c r="D892" s="332"/>
      <c r="E892" s="332"/>
      <c r="F892" s="332"/>
      <c r="G892" s="332"/>
    </row>
    <row r="893">
      <c r="A893" s="331"/>
      <c r="B893" s="332"/>
      <c r="C893" s="332"/>
      <c r="D893" s="332"/>
      <c r="E893" s="332"/>
      <c r="F893" s="332"/>
      <c r="G893" s="332"/>
    </row>
    <row r="894">
      <c r="A894" s="331"/>
      <c r="B894" s="332"/>
      <c r="C894" s="332"/>
      <c r="D894" s="332"/>
      <c r="E894" s="332"/>
      <c r="F894" s="332"/>
      <c r="G894" s="332"/>
    </row>
    <row r="895">
      <c r="A895" s="331"/>
      <c r="B895" s="332"/>
      <c r="C895" s="332"/>
      <c r="D895" s="332"/>
      <c r="E895" s="332"/>
      <c r="F895" s="332"/>
      <c r="G895" s="332"/>
    </row>
    <row r="896">
      <c r="A896" s="331"/>
      <c r="B896" s="332"/>
      <c r="C896" s="332"/>
      <c r="D896" s="332"/>
      <c r="E896" s="332"/>
      <c r="F896" s="332"/>
      <c r="G896" s="332"/>
    </row>
    <row r="897">
      <c r="A897" s="331"/>
      <c r="B897" s="332"/>
      <c r="C897" s="332"/>
      <c r="D897" s="332"/>
      <c r="E897" s="332"/>
      <c r="F897" s="332"/>
      <c r="G897" s="332"/>
    </row>
    <row r="898">
      <c r="A898" s="331"/>
      <c r="B898" s="332"/>
      <c r="C898" s="332"/>
      <c r="D898" s="332"/>
      <c r="E898" s="332"/>
      <c r="F898" s="332"/>
      <c r="G898" s="332"/>
    </row>
    <row r="899">
      <c r="A899" s="331"/>
      <c r="B899" s="332"/>
      <c r="C899" s="332"/>
      <c r="D899" s="332"/>
      <c r="E899" s="332"/>
      <c r="F899" s="332"/>
      <c r="G899" s="332"/>
    </row>
    <row r="900">
      <c r="A900" s="331"/>
      <c r="B900" s="332"/>
      <c r="C900" s="332"/>
      <c r="D900" s="332"/>
      <c r="E900" s="332"/>
      <c r="F900" s="332"/>
      <c r="G900" s="332"/>
    </row>
    <row r="901">
      <c r="A901" s="331"/>
      <c r="B901" s="332"/>
      <c r="C901" s="332"/>
      <c r="D901" s="332"/>
      <c r="E901" s="332"/>
      <c r="F901" s="332"/>
      <c r="G901" s="332"/>
    </row>
    <row r="902">
      <c r="A902" s="331"/>
      <c r="B902" s="332"/>
      <c r="C902" s="332"/>
      <c r="D902" s="332"/>
      <c r="E902" s="332"/>
      <c r="F902" s="332"/>
      <c r="G902" s="332"/>
    </row>
    <row r="903">
      <c r="A903" s="331"/>
      <c r="B903" s="332"/>
      <c r="C903" s="332"/>
      <c r="D903" s="332"/>
      <c r="E903" s="332"/>
      <c r="F903" s="332"/>
      <c r="G903" s="332"/>
    </row>
    <row r="904">
      <c r="A904" s="331"/>
      <c r="B904" s="332"/>
      <c r="C904" s="332"/>
      <c r="D904" s="332"/>
      <c r="E904" s="332"/>
      <c r="F904" s="332"/>
      <c r="G904" s="332"/>
    </row>
    <row r="905">
      <c r="A905" s="331"/>
      <c r="B905" s="332"/>
      <c r="C905" s="332"/>
      <c r="D905" s="332"/>
      <c r="E905" s="332"/>
      <c r="F905" s="332"/>
      <c r="G905" s="332"/>
    </row>
    <row r="906">
      <c r="A906" s="331"/>
      <c r="B906" s="332"/>
      <c r="C906" s="332"/>
      <c r="D906" s="332"/>
      <c r="E906" s="332"/>
      <c r="F906" s="332"/>
      <c r="G906" s="332"/>
    </row>
    <row r="907">
      <c r="A907" s="331"/>
      <c r="B907" s="332"/>
      <c r="C907" s="332"/>
      <c r="D907" s="332"/>
      <c r="E907" s="332"/>
      <c r="F907" s="332"/>
      <c r="G907" s="332"/>
    </row>
    <row r="908">
      <c r="A908" s="331"/>
      <c r="B908" s="332"/>
      <c r="C908" s="332"/>
      <c r="D908" s="332"/>
      <c r="E908" s="332"/>
      <c r="F908" s="332"/>
      <c r="G908" s="332"/>
    </row>
    <row r="909">
      <c r="A909" s="331"/>
      <c r="B909" s="332"/>
      <c r="C909" s="332"/>
      <c r="D909" s="332"/>
      <c r="E909" s="332"/>
      <c r="F909" s="332"/>
      <c r="G909" s="332"/>
    </row>
    <row r="910">
      <c r="A910" s="331"/>
      <c r="B910" s="332"/>
      <c r="C910" s="332"/>
      <c r="D910" s="332"/>
      <c r="E910" s="332"/>
      <c r="F910" s="332"/>
      <c r="G910" s="332"/>
    </row>
    <row r="911">
      <c r="A911" s="331"/>
      <c r="B911" s="332"/>
      <c r="C911" s="332"/>
      <c r="D911" s="332"/>
      <c r="E911" s="332"/>
      <c r="F911" s="332"/>
      <c r="G911" s="332"/>
    </row>
    <row r="912">
      <c r="A912" s="331"/>
      <c r="B912" s="332"/>
      <c r="C912" s="332"/>
      <c r="D912" s="332"/>
      <c r="E912" s="332"/>
      <c r="F912" s="332"/>
      <c r="G912" s="332"/>
    </row>
    <row r="913">
      <c r="A913" s="331"/>
      <c r="B913" s="332"/>
      <c r="C913" s="332"/>
      <c r="D913" s="332"/>
      <c r="E913" s="332"/>
      <c r="F913" s="332"/>
      <c r="G913" s="332"/>
    </row>
    <row r="914">
      <c r="A914" s="331"/>
      <c r="B914" s="332"/>
      <c r="C914" s="332"/>
      <c r="D914" s="332"/>
      <c r="E914" s="332"/>
      <c r="F914" s="332"/>
      <c r="G914" s="332"/>
    </row>
    <row r="915">
      <c r="A915" s="331"/>
      <c r="B915" s="332"/>
      <c r="C915" s="332"/>
      <c r="D915" s="332"/>
      <c r="E915" s="332"/>
      <c r="F915" s="332"/>
      <c r="G915" s="332"/>
    </row>
    <row r="916">
      <c r="A916" s="331"/>
      <c r="B916" s="332"/>
      <c r="C916" s="332"/>
      <c r="D916" s="332"/>
      <c r="E916" s="332"/>
      <c r="F916" s="332"/>
      <c r="G916" s="332"/>
    </row>
    <row r="917">
      <c r="A917" s="331"/>
      <c r="B917" s="332"/>
      <c r="C917" s="332"/>
      <c r="D917" s="332"/>
      <c r="E917" s="332"/>
      <c r="F917" s="332"/>
      <c r="G917" s="332"/>
    </row>
    <row r="918">
      <c r="A918" s="331"/>
      <c r="B918" s="332"/>
      <c r="C918" s="332"/>
      <c r="D918" s="332"/>
      <c r="E918" s="332"/>
      <c r="F918" s="332"/>
      <c r="G918" s="332"/>
    </row>
    <row r="919">
      <c r="A919" s="331"/>
      <c r="B919" s="332"/>
      <c r="C919" s="332"/>
      <c r="D919" s="332"/>
      <c r="E919" s="332"/>
      <c r="F919" s="332"/>
      <c r="G919" s="332"/>
    </row>
    <row r="920">
      <c r="A920" s="331"/>
      <c r="B920" s="332"/>
      <c r="C920" s="332"/>
      <c r="D920" s="332"/>
      <c r="E920" s="332"/>
      <c r="F920" s="332"/>
      <c r="G920" s="332"/>
    </row>
    <row r="921">
      <c r="A921" s="331"/>
      <c r="B921" s="332"/>
      <c r="C921" s="332"/>
      <c r="D921" s="332"/>
      <c r="E921" s="332"/>
      <c r="F921" s="332"/>
      <c r="G921" s="332"/>
    </row>
    <row r="922">
      <c r="A922" s="331"/>
      <c r="B922" s="332"/>
      <c r="C922" s="332"/>
      <c r="D922" s="332"/>
      <c r="E922" s="332"/>
      <c r="F922" s="332"/>
      <c r="G922" s="332"/>
    </row>
    <row r="923">
      <c r="A923" s="331"/>
      <c r="B923" s="332"/>
      <c r="C923" s="332"/>
      <c r="D923" s="332"/>
      <c r="E923" s="332"/>
      <c r="F923" s="332"/>
      <c r="G923" s="332"/>
    </row>
    <row r="924">
      <c r="A924" s="331"/>
      <c r="B924" s="332"/>
      <c r="C924" s="332"/>
      <c r="D924" s="332"/>
      <c r="E924" s="332"/>
      <c r="F924" s="332"/>
      <c r="G924" s="332"/>
    </row>
    <row r="925">
      <c r="A925" s="331"/>
      <c r="B925" s="332"/>
      <c r="C925" s="332"/>
      <c r="D925" s="332"/>
      <c r="E925" s="332"/>
      <c r="F925" s="332"/>
      <c r="G925" s="332"/>
    </row>
    <row r="926">
      <c r="A926" s="331"/>
      <c r="B926" s="332"/>
      <c r="C926" s="332"/>
      <c r="D926" s="332"/>
      <c r="E926" s="332"/>
      <c r="F926" s="332"/>
      <c r="G926" s="332"/>
    </row>
    <row r="927">
      <c r="A927" s="331"/>
      <c r="B927" s="332"/>
      <c r="C927" s="332"/>
      <c r="D927" s="332"/>
      <c r="E927" s="332"/>
      <c r="F927" s="332"/>
      <c r="G927" s="332"/>
    </row>
    <row r="928">
      <c r="A928" s="331"/>
      <c r="B928" s="332"/>
      <c r="C928" s="332"/>
      <c r="D928" s="332"/>
      <c r="E928" s="332"/>
      <c r="F928" s="332"/>
      <c r="G928" s="332"/>
    </row>
    <row r="929">
      <c r="A929" s="331"/>
      <c r="B929" s="332"/>
      <c r="C929" s="332"/>
      <c r="D929" s="332"/>
      <c r="E929" s="332"/>
      <c r="F929" s="332"/>
      <c r="G929" s="332"/>
    </row>
    <row r="930">
      <c r="A930" s="331"/>
      <c r="B930" s="332"/>
      <c r="C930" s="332"/>
      <c r="D930" s="332"/>
      <c r="E930" s="332"/>
      <c r="F930" s="332"/>
      <c r="G930" s="332"/>
    </row>
    <row r="931">
      <c r="A931" s="331"/>
      <c r="B931" s="332"/>
      <c r="C931" s="332"/>
      <c r="D931" s="332"/>
      <c r="E931" s="332"/>
      <c r="F931" s="332"/>
      <c r="G931" s="332"/>
    </row>
    <row r="932">
      <c r="A932" s="331"/>
      <c r="B932" s="332"/>
      <c r="C932" s="332"/>
      <c r="D932" s="332"/>
      <c r="E932" s="332"/>
      <c r="F932" s="332"/>
      <c r="G932" s="332"/>
    </row>
    <row r="933">
      <c r="A933" s="331"/>
      <c r="B933" s="332"/>
      <c r="C933" s="332"/>
      <c r="D933" s="332"/>
      <c r="E933" s="332"/>
      <c r="F933" s="332"/>
      <c r="G933" s="332"/>
    </row>
    <row r="934">
      <c r="A934" s="331"/>
      <c r="B934" s="332"/>
      <c r="C934" s="332"/>
      <c r="D934" s="332"/>
      <c r="E934" s="332"/>
      <c r="F934" s="332"/>
      <c r="G934" s="332"/>
    </row>
    <row r="935">
      <c r="A935" s="331"/>
      <c r="B935" s="332"/>
      <c r="C935" s="332"/>
      <c r="D935" s="332"/>
      <c r="E935" s="332"/>
      <c r="F935" s="332"/>
      <c r="G935" s="332"/>
    </row>
    <row r="936">
      <c r="A936" s="331"/>
      <c r="B936" s="332"/>
      <c r="C936" s="332"/>
      <c r="D936" s="332"/>
      <c r="E936" s="332"/>
      <c r="F936" s="332"/>
      <c r="G936" s="332"/>
    </row>
    <row r="937">
      <c r="A937" s="331"/>
      <c r="B937" s="332"/>
      <c r="C937" s="332"/>
      <c r="D937" s="332"/>
      <c r="E937" s="332"/>
      <c r="F937" s="332"/>
      <c r="G937" s="332"/>
    </row>
    <row r="938">
      <c r="A938" s="331"/>
      <c r="B938" s="332"/>
      <c r="C938" s="332"/>
      <c r="D938" s="332"/>
      <c r="E938" s="332"/>
      <c r="F938" s="332"/>
      <c r="G938" s="332"/>
    </row>
    <row r="939">
      <c r="A939" s="331"/>
      <c r="B939" s="332"/>
      <c r="C939" s="332"/>
      <c r="D939" s="332"/>
      <c r="E939" s="332"/>
      <c r="F939" s="332"/>
      <c r="G939" s="332"/>
    </row>
    <row r="940">
      <c r="A940" s="331"/>
      <c r="B940" s="332"/>
      <c r="C940" s="332"/>
      <c r="D940" s="332"/>
      <c r="E940" s="332"/>
      <c r="F940" s="332"/>
      <c r="G940" s="332"/>
    </row>
    <row r="941">
      <c r="A941" s="331"/>
      <c r="B941" s="332"/>
      <c r="C941" s="332"/>
      <c r="D941" s="332"/>
      <c r="E941" s="332"/>
      <c r="F941" s="332"/>
      <c r="G941" s="332"/>
    </row>
    <row r="942">
      <c r="A942" s="331"/>
      <c r="B942" s="332"/>
      <c r="C942" s="332"/>
      <c r="D942" s="332"/>
      <c r="E942" s="332"/>
      <c r="F942" s="332"/>
      <c r="G942" s="332"/>
    </row>
    <row r="943">
      <c r="A943" s="331"/>
      <c r="B943" s="332"/>
      <c r="C943" s="332"/>
      <c r="D943" s="332"/>
      <c r="E943" s="332"/>
      <c r="F943" s="332"/>
      <c r="G943" s="332"/>
    </row>
    <row r="944">
      <c r="A944" s="331"/>
      <c r="B944" s="332"/>
      <c r="C944" s="332"/>
      <c r="D944" s="332"/>
      <c r="E944" s="332"/>
      <c r="F944" s="332"/>
      <c r="G944" s="332"/>
    </row>
    <row r="945">
      <c r="A945" s="331"/>
      <c r="B945" s="332"/>
      <c r="C945" s="332"/>
      <c r="D945" s="332"/>
      <c r="E945" s="332"/>
      <c r="F945" s="332"/>
      <c r="G945" s="332"/>
    </row>
    <row r="946">
      <c r="A946" s="331"/>
      <c r="B946" s="332"/>
      <c r="C946" s="332"/>
      <c r="D946" s="332"/>
      <c r="E946" s="332"/>
      <c r="F946" s="332"/>
      <c r="G946" s="332"/>
    </row>
    <row r="947">
      <c r="A947" s="331"/>
      <c r="B947" s="332"/>
      <c r="C947" s="332"/>
      <c r="D947" s="332"/>
      <c r="E947" s="332"/>
      <c r="F947" s="332"/>
      <c r="G947" s="332"/>
    </row>
    <row r="948">
      <c r="A948" s="331"/>
      <c r="B948" s="332"/>
      <c r="C948" s="332"/>
      <c r="D948" s="332"/>
      <c r="E948" s="332"/>
      <c r="F948" s="332"/>
      <c r="G948" s="332"/>
    </row>
    <row r="949">
      <c r="A949" s="331"/>
      <c r="B949" s="332"/>
      <c r="C949" s="332"/>
      <c r="D949" s="332"/>
      <c r="E949" s="332"/>
      <c r="F949" s="332"/>
      <c r="G949" s="332"/>
    </row>
    <row r="950">
      <c r="A950" s="331"/>
      <c r="B950" s="332"/>
      <c r="C950" s="332"/>
      <c r="D950" s="332"/>
      <c r="E950" s="332"/>
      <c r="F950" s="332"/>
      <c r="G950" s="332"/>
    </row>
    <row r="951">
      <c r="A951" s="331"/>
      <c r="B951" s="332"/>
      <c r="C951" s="332"/>
      <c r="D951" s="332"/>
      <c r="E951" s="332"/>
      <c r="F951" s="332"/>
      <c r="G951" s="332"/>
    </row>
    <row r="952">
      <c r="A952" s="331"/>
      <c r="B952" s="332"/>
      <c r="C952" s="332"/>
      <c r="D952" s="332"/>
      <c r="E952" s="332"/>
      <c r="F952" s="332"/>
      <c r="G952" s="332"/>
    </row>
    <row r="953">
      <c r="A953" s="331"/>
      <c r="B953" s="332"/>
      <c r="C953" s="332"/>
      <c r="D953" s="332"/>
      <c r="E953" s="332"/>
      <c r="F953" s="332"/>
      <c r="G953" s="332"/>
    </row>
    <row r="954">
      <c r="A954" s="331"/>
      <c r="B954" s="332"/>
      <c r="C954" s="332"/>
      <c r="D954" s="332"/>
      <c r="E954" s="332"/>
      <c r="F954" s="332"/>
      <c r="G954" s="332"/>
    </row>
    <row r="955">
      <c r="A955" s="331"/>
      <c r="B955" s="332"/>
      <c r="C955" s="332"/>
      <c r="D955" s="332"/>
      <c r="E955" s="332"/>
      <c r="F955" s="332"/>
      <c r="G955" s="332"/>
    </row>
    <row r="956">
      <c r="A956" s="331"/>
      <c r="B956" s="332"/>
      <c r="C956" s="332"/>
      <c r="D956" s="332"/>
      <c r="E956" s="332"/>
      <c r="F956" s="332"/>
      <c r="G956" s="332"/>
    </row>
    <row r="957">
      <c r="A957" s="331"/>
      <c r="B957" s="332"/>
      <c r="C957" s="332"/>
      <c r="D957" s="332"/>
      <c r="E957" s="332"/>
      <c r="F957" s="332"/>
      <c r="G957" s="332"/>
    </row>
    <row r="958">
      <c r="A958" s="331"/>
      <c r="B958" s="332"/>
      <c r="C958" s="332"/>
      <c r="D958" s="332"/>
      <c r="E958" s="332"/>
      <c r="F958" s="332"/>
      <c r="G958" s="332"/>
    </row>
    <row r="959">
      <c r="A959" s="331"/>
      <c r="B959" s="332"/>
      <c r="C959" s="332"/>
      <c r="D959" s="332"/>
      <c r="E959" s="332"/>
      <c r="F959" s="332"/>
      <c r="G959" s="332"/>
    </row>
    <row r="960">
      <c r="A960" s="331"/>
      <c r="B960" s="332"/>
      <c r="C960" s="332"/>
      <c r="D960" s="332"/>
      <c r="E960" s="332"/>
      <c r="F960" s="332"/>
      <c r="G960" s="332"/>
    </row>
    <row r="961">
      <c r="A961" s="331"/>
      <c r="B961" s="332"/>
      <c r="C961" s="332"/>
      <c r="D961" s="332"/>
      <c r="E961" s="332"/>
      <c r="F961" s="332"/>
      <c r="G961" s="332"/>
    </row>
    <row r="962">
      <c r="A962" s="331"/>
      <c r="B962" s="332"/>
      <c r="C962" s="332"/>
      <c r="D962" s="332"/>
      <c r="E962" s="332"/>
      <c r="F962" s="332"/>
      <c r="G962" s="332"/>
    </row>
    <row r="963">
      <c r="A963" s="331"/>
      <c r="B963" s="332"/>
      <c r="C963" s="332"/>
      <c r="D963" s="332"/>
      <c r="E963" s="332"/>
      <c r="F963" s="332"/>
      <c r="G963" s="332"/>
    </row>
    <row r="964">
      <c r="A964" s="331"/>
      <c r="B964" s="332"/>
      <c r="C964" s="332"/>
      <c r="D964" s="332"/>
      <c r="E964" s="332"/>
      <c r="F964" s="332"/>
      <c r="G964" s="332"/>
    </row>
    <row r="965">
      <c r="A965" s="331"/>
      <c r="B965" s="332"/>
      <c r="C965" s="332"/>
      <c r="D965" s="332"/>
      <c r="E965" s="332"/>
      <c r="F965" s="332"/>
      <c r="G965" s="332"/>
    </row>
    <row r="966">
      <c r="A966" s="331"/>
      <c r="B966" s="332"/>
      <c r="C966" s="332"/>
      <c r="D966" s="332"/>
      <c r="E966" s="332"/>
      <c r="F966" s="332"/>
      <c r="G966" s="332"/>
    </row>
    <row r="967">
      <c r="A967" s="331"/>
      <c r="B967" s="332"/>
      <c r="C967" s="332"/>
      <c r="D967" s="332"/>
      <c r="E967" s="332"/>
      <c r="F967" s="332"/>
      <c r="G967" s="332"/>
    </row>
    <row r="968">
      <c r="A968" s="331"/>
      <c r="B968" s="332"/>
      <c r="C968" s="332"/>
      <c r="D968" s="332"/>
      <c r="E968" s="332"/>
      <c r="F968" s="332"/>
      <c r="G968" s="332"/>
    </row>
    <row r="969">
      <c r="A969" s="331"/>
      <c r="B969" s="332"/>
      <c r="C969" s="332"/>
      <c r="D969" s="332"/>
      <c r="E969" s="332"/>
      <c r="F969" s="332"/>
      <c r="G969" s="332"/>
    </row>
    <row r="970">
      <c r="A970" s="331"/>
      <c r="B970" s="332"/>
      <c r="C970" s="332"/>
      <c r="D970" s="332"/>
      <c r="E970" s="332"/>
      <c r="F970" s="332"/>
      <c r="G970" s="332"/>
    </row>
    <row r="971">
      <c r="A971" s="331"/>
      <c r="B971" s="332"/>
      <c r="C971" s="332"/>
      <c r="D971" s="332"/>
      <c r="E971" s="332"/>
      <c r="F971" s="332"/>
      <c r="G971" s="332"/>
    </row>
    <row r="972">
      <c r="A972" s="331"/>
      <c r="B972" s="332"/>
      <c r="C972" s="332"/>
      <c r="D972" s="332"/>
      <c r="E972" s="332"/>
      <c r="F972" s="332"/>
      <c r="G972" s="332"/>
    </row>
    <row r="973">
      <c r="A973" s="331"/>
      <c r="B973" s="332"/>
      <c r="C973" s="332"/>
      <c r="D973" s="332"/>
      <c r="E973" s="332"/>
      <c r="F973" s="332"/>
      <c r="G973" s="332"/>
    </row>
    <row r="974">
      <c r="A974" s="331"/>
      <c r="B974" s="332"/>
      <c r="C974" s="332"/>
      <c r="D974" s="332"/>
      <c r="E974" s="332"/>
      <c r="F974" s="332"/>
      <c r="G974" s="332"/>
    </row>
    <row r="975">
      <c r="A975" s="331"/>
      <c r="B975" s="332"/>
      <c r="C975" s="332"/>
      <c r="D975" s="332"/>
      <c r="E975" s="332"/>
      <c r="F975" s="332"/>
      <c r="G975" s="332"/>
    </row>
    <row r="976">
      <c r="A976" s="331"/>
      <c r="B976" s="332"/>
      <c r="C976" s="332"/>
      <c r="D976" s="332"/>
      <c r="E976" s="332"/>
      <c r="F976" s="332"/>
      <c r="G976" s="332"/>
    </row>
    <row r="977">
      <c r="A977" s="331"/>
      <c r="B977" s="332"/>
      <c r="C977" s="332"/>
      <c r="D977" s="332"/>
      <c r="E977" s="332"/>
      <c r="F977" s="332"/>
      <c r="G977" s="332"/>
    </row>
    <row r="978">
      <c r="A978" s="331"/>
      <c r="B978" s="332"/>
      <c r="C978" s="332"/>
      <c r="D978" s="332"/>
      <c r="E978" s="332"/>
      <c r="F978" s="332"/>
      <c r="G978" s="332"/>
    </row>
    <row r="979">
      <c r="A979" s="331"/>
      <c r="B979" s="332"/>
      <c r="C979" s="332"/>
      <c r="D979" s="332"/>
      <c r="E979" s="332"/>
      <c r="F979" s="332"/>
      <c r="G979" s="332"/>
    </row>
    <row r="980">
      <c r="A980" s="331"/>
      <c r="B980" s="332"/>
      <c r="C980" s="332"/>
      <c r="D980" s="332"/>
      <c r="E980" s="332"/>
      <c r="F980" s="332"/>
      <c r="G980" s="332"/>
    </row>
    <row r="981">
      <c r="A981" s="331"/>
      <c r="B981" s="332"/>
      <c r="C981" s="332"/>
      <c r="D981" s="332"/>
      <c r="E981" s="332"/>
      <c r="F981" s="332"/>
      <c r="G981" s="332"/>
    </row>
    <row r="982">
      <c r="A982" s="331"/>
      <c r="B982" s="332"/>
      <c r="C982" s="332"/>
      <c r="D982" s="332"/>
      <c r="E982" s="332"/>
      <c r="F982" s="332"/>
      <c r="G982" s="332"/>
    </row>
    <row r="983">
      <c r="A983" s="331"/>
      <c r="B983" s="332"/>
      <c r="C983" s="332"/>
      <c r="D983" s="332"/>
      <c r="E983" s="332"/>
      <c r="F983" s="332"/>
      <c r="G983" s="332"/>
    </row>
    <row r="984">
      <c r="A984" s="331"/>
      <c r="B984" s="332"/>
      <c r="C984" s="332"/>
      <c r="D984" s="332"/>
      <c r="E984" s="332"/>
      <c r="F984" s="332"/>
      <c r="G984" s="332"/>
    </row>
    <row r="985">
      <c r="A985" s="331"/>
      <c r="B985" s="332"/>
      <c r="C985" s="332"/>
      <c r="D985" s="332"/>
      <c r="E985" s="332"/>
      <c r="F985" s="332"/>
      <c r="G985" s="332"/>
    </row>
    <row r="986">
      <c r="A986" s="331"/>
      <c r="B986" s="332"/>
      <c r="C986" s="332"/>
      <c r="D986" s="332"/>
      <c r="E986" s="332"/>
      <c r="F986" s="332"/>
      <c r="G986" s="332"/>
    </row>
    <row r="987">
      <c r="A987" s="331"/>
      <c r="B987" s="332"/>
      <c r="C987" s="332"/>
      <c r="D987" s="332"/>
      <c r="E987" s="332"/>
      <c r="F987" s="332"/>
      <c r="G987" s="332"/>
    </row>
    <row r="988">
      <c r="A988" s="331"/>
      <c r="B988" s="332"/>
      <c r="C988" s="332"/>
      <c r="D988" s="332"/>
      <c r="E988" s="332"/>
      <c r="F988" s="332"/>
      <c r="G988" s="332"/>
    </row>
    <row r="989">
      <c r="A989" s="331"/>
      <c r="B989" s="332"/>
      <c r="C989" s="332"/>
      <c r="D989" s="332"/>
      <c r="E989" s="332"/>
      <c r="F989" s="332"/>
      <c r="G989" s="332"/>
    </row>
    <row r="990">
      <c r="A990" s="331"/>
      <c r="B990" s="332"/>
      <c r="C990" s="332"/>
      <c r="D990" s="332"/>
      <c r="E990" s="332"/>
      <c r="F990" s="332"/>
      <c r="G990" s="332"/>
    </row>
    <row r="991">
      <c r="A991" s="331"/>
      <c r="B991" s="332"/>
      <c r="C991" s="332"/>
      <c r="D991" s="332"/>
      <c r="E991" s="332"/>
      <c r="F991" s="332"/>
      <c r="G991" s="332"/>
    </row>
    <row r="992">
      <c r="A992" s="331"/>
      <c r="B992" s="332"/>
      <c r="C992" s="332"/>
      <c r="D992" s="332"/>
      <c r="E992" s="332"/>
      <c r="F992" s="332"/>
      <c r="G992" s="332"/>
    </row>
    <row r="993">
      <c r="A993" s="331"/>
      <c r="B993" s="332"/>
      <c r="C993" s="332"/>
      <c r="D993" s="332"/>
      <c r="E993" s="332"/>
      <c r="F993" s="332"/>
      <c r="G993" s="332"/>
    </row>
    <row r="994">
      <c r="A994" s="331"/>
      <c r="B994" s="332"/>
      <c r="C994" s="332"/>
      <c r="D994" s="332"/>
      <c r="E994" s="332"/>
      <c r="F994" s="332"/>
      <c r="G994" s="332"/>
    </row>
    <row r="995">
      <c r="A995" s="331"/>
      <c r="B995" s="332"/>
      <c r="C995" s="332"/>
      <c r="D995" s="332"/>
      <c r="E995" s="332"/>
      <c r="F995" s="332"/>
      <c r="G995" s="332"/>
    </row>
    <row r="996">
      <c r="A996" s="331"/>
      <c r="B996" s="332"/>
      <c r="C996" s="332"/>
      <c r="D996" s="332"/>
      <c r="E996" s="332"/>
      <c r="F996" s="332"/>
      <c r="G996" s="332"/>
    </row>
    <row r="997">
      <c r="A997" s="331"/>
      <c r="B997" s="332"/>
      <c r="C997" s="332"/>
      <c r="D997" s="332"/>
      <c r="E997" s="332"/>
      <c r="F997" s="332"/>
      <c r="G997" s="332"/>
    </row>
    <row r="998">
      <c r="A998" s="331"/>
      <c r="B998" s="332"/>
      <c r="C998" s="332"/>
      <c r="D998" s="332"/>
      <c r="E998" s="332"/>
      <c r="F998" s="332"/>
      <c r="G998" s="332"/>
    </row>
    <row r="999">
      <c r="A999" s="331"/>
      <c r="B999" s="332"/>
      <c r="C999" s="332"/>
      <c r="D999" s="332"/>
      <c r="E999" s="332"/>
      <c r="F999" s="332"/>
      <c r="G999" s="332"/>
    </row>
    <row r="1000">
      <c r="A1000" s="331"/>
      <c r="B1000" s="332"/>
      <c r="C1000" s="332"/>
      <c r="D1000" s="332"/>
      <c r="E1000" s="332"/>
      <c r="F1000" s="332"/>
      <c r="G1000" s="332"/>
    </row>
  </sheetData>
  <drawing r:id="rId1"/>
</worksheet>
</file>